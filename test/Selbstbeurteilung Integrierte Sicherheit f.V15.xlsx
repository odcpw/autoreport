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DieseArbeitsmappe"/>
  <mc:AlternateContent xmlns:mc="http://schemas.openxmlformats.org/markup-compatibility/2006">
    <mc:Choice Requires="x15">
      <x15ac:absPath xmlns:x15ac="http://schemas.microsoft.com/office/spreadsheetml/2010/11/ac" url="C:\Temp\github\test\"/>
    </mc:Choice>
  </mc:AlternateContent>
  <xr:revisionPtr revIDLastSave="0" documentId="13_ncr:1_{254B14FA-AC25-4DFD-820A-E6C072899F40}" xr6:coauthVersionLast="47" xr6:coauthVersionMax="47" xr10:uidLastSave="{00000000-0000-0000-0000-000000000000}"/>
  <bookViews>
    <workbookView xWindow="-108" yWindow="-108" windowWidth="23256" windowHeight="13896" xr2:uid="{00000000-000D-0000-FFFF-FFFF00000000}"/>
  </bookViews>
  <sheets>
    <sheet name="Instructions" sheetId="33" r:id="rId1"/>
    <sheet name="Fiche signalétique" sheetId="15" r:id="rId2"/>
    <sheet name="Interlocuteurs sécurité" sheetId="17" r:id="rId3"/>
    <sheet name="Autoévaluation client" sheetId="13" r:id="rId4"/>
    <sheet name="Annexes" sheetId="18" r:id="rId5"/>
    <sheet name="Analyse" sheetId="19" r:id="rId6"/>
    <sheet name="Auswertungen" sheetId="9" r:id="rId7"/>
    <sheet name="Spinne ohne FZ, BGM, ISO45001" sheetId="31" r:id="rId8"/>
    <sheet name="Spinne mit FZ, BGM, ISO45001" sheetId="32" r:id="rId9"/>
    <sheet name="Versionenprotokoll" sheetId="36" r:id="rId10"/>
  </sheets>
  <definedNames>
    <definedName name="_xlnm._FilterDatabase" localSheetId="5" hidden="1">Analyse!$A$1:$R$679</definedName>
    <definedName name="_xlnm._FilterDatabase" localSheetId="4" hidden="1">Annexes!$A$1:$B$42</definedName>
    <definedName name="_xlnm._FilterDatabase" localSheetId="3" hidden="1">'Autoévaluation client'!$A$2:$G$648</definedName>
    <definedName name="_xlnm.Print_Area" localSheetId="5">Analyse!$A:$L</definedName>
    <definedName name="_xlnm.Print_Area" localSheetId="2">'Interlocuteurs sécurité'!$A:$B</definedName>
    <definedName name="_xlnm.Print_Titles" localSheetId="3">'Autoévaluation client'!$2:$2</definedName>
    <definedName name="_xlnm.Print_Titles" localSheetId="1">'Fiche signalétique'!$2:$2</definedName>
    <definedName name="_xlnm.Print_Titles" localSheetId="2">'Interlocuteurs sécurité'!$2:$2</definedName>
    <definedName name="Spinne1">Analyse!$C$4</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8" i="13" l="1"/>
  <c r="A239" i="13"/>
  <c r="A240" i="13"/>
  <c r="A241" i="13"/>
  <c r="A242" i="13"/>
  <c r="A243" i="13"/>
  <c r="E233" i="13"/>
  <c r="E234" i="13"/>
  <c r="E235" i="13"/>
  <c r="E236" i="13"/>
  <c r="A233" i="13"/>
  <c r="A234" i="13"/>
  <c r="A235" i="13"/>
  <c r="A236" i="13"/>
  <c r="P540" i="19"/>
  <c r="N540" i="19"/>
  <c r="P549" i="19"/>
  <c r="E549" i="19"/>
  <c r="D549" i="19"/>
  <c r="C549" i="19"/>
  <c r="O549" i="19"/>
  <c r="B549" i="19"/>
  <c r="A549" i="19"/>
  <c r="P548" i="19"/>
  <c r="E548" i="19"/>
  <c r="D548" i="19"/>
  <c r="C548" i="19"/>
  <c r="O548" i="19"/>
  <c r="B548" i="19"/>
  <c r="A548" i="19"/>
  <c r="D679" i="19"/>
  <c r="D678" i="19"/>
  <c r="D677" i="19"/>
  <c r="D676" i="19"/>
  <c r="D674" i="19"/>
  <c r="D672" i="19"/>
  <c r="D671" i="19"/>
  <c r="D670" i="19"/>
  <c r="D668" i="19"/>
  <c r="D666" i="19"/>
  <c r="D665" i="19"/>
  <c r="D663" i="19"/>
  <c r="D661" i="19"/>
  <c r="D660" i="19"/>
  <c r="D659"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8" i="19"/>
  <c r="D627" i="19"/>
  <c r="D626" i="19"/>
  <c r="D625" i="19"/>
  <c r="D624" i="19"/>
  <c r="D623" i="19"/>
  <c r="D622" i="19"/>
  <c r="D621" i="19"/>
  <c r="D620" i="19"/>
  <c r="D619" i="19"/>
  <c r="D618" i="19"/>
  <c r="D617" i="19"/>
  <c r="D616" i="19"/>
  <c r="D615" i="19"/>
  <c r="D614" i="19"/>
  <c r="D613" i="19"/>
  <c r="D612" i="19"/>
  <c r="D611" i="19"/>
  <c r="D610" i="19"/>
  <c r="D609" i="19"/>
  <c r="D608" i="19"/>
  <c r="D606" i="19"/>
  <c r="D605" i="19"/>
  <c r="D604" i="19"/>
  <c r="D603" i="19"/>
  <c r="D602" i="19"/>
  <c r="D601" i="19"/>
  <c r="D600" i="19"/>
  <c r="D599" i="19"/>
  <c r="D598" i="19"/>
  <c r="D597" i="19"/>
  <c r="D596" i="19"/>
  <c r="D595" i="19"/>
  <c r="D594" i="19"/>
  <c r="D593" i="19"/>
  <c r="D592" i="19"/>
  <c r="D591" i="19"/>
  <c r="D590" i="19"/>
  <c r="D589" i="19"/>
  <c r="D588" i="19"/>
  <c r="D582" i="19"/>
  <c r="D571" i="19"/>
  <c r="D586" i="19"/>
  <c r="D585" i="19"/>
  <c r="D584" i="19"/>
  <c r="D583" i="19"/>
  <c r="D581" i="19"/>
  <c r="D580" i="19"/>
  <c r="D579" i="19"/>
  <c r="D578" i="19"/>
  <c r="D577" i="19"/>
  <c r="D576" i="19"/>
  <c r="D575" i="19"/>
  <c r="D574" i="19"/>
  <c r="D573" i="19"/>
  <c r="D572" i="19"/>
  <c r="D570" i="19"/>
  <c r="D569" i="19"/>
  <c r="D568" i="19"/>
  <c r="D567" i="19"/>
  <c r="D566" i="19"/>
  <c r="D565" i="19"/>
  <c r="D564" i="19"/>
  <c r="D563" i="19"/>
  <c r="D562" i="19"/>
  <c r="D561" i="19"/>
  <c r="D560" i="19"/>
  <c r="D559" i="19"/>
  <c r="D558" i="19"/>
  <c r="D550" i="19"/>
  <c r="D540" i="19"/>
  <c r="D532" i="19"/>
  <c r="D526" i="19"/>
  <c r="D517" i="19"/>
  <c r="D507" i="19"/>
  <c r="D491" i="19"/>
  <c r="D464" i="19"/>
  <c r="D454" i="19"/>
  <c r="D555" i="19"/>
  <c r="D554" i="19"/>
  <c r="D553" i="19"/>
  <c r="D552" i="19"/>
  <c r="D551" i="19"/>
  <c r="D547" i="19"/>
  <c r="D546" i="19"/>
  <c r="D545" i="19"/>
  <c r="D544" i="19"/>
  <c r="D543" i="19"/>
  <c r="D542" i="19"/>
  <c r="D541" i="19"/>
  <c r="D539" i="19"/>
  <c r="D538" i="19"/>
  <c r="D537" i="19"/>
  <c r="D536" i="19"/>
  <c r="D535" i="19"/>
  <c r="D534" i="19"/>
  <c r="D533" i="19"/>
  <c r="D531" i="19"/>
  <c r="D530" i="19"/>
  <c r="D529" i="19"/>
  <c r="D528" i="19"/>
  <c r="D527" i="19"/>
  <c r="D525" i="19"/>
  <c r="D524" i="19"/>
  <c r="D523" i="19"/>
  <c r="D522" i="19"/>
  <c r="D521" i="19"/>
  <c r="D520" i="19"/>
  <c r="D519" i="19"/>
  <c r="D518" i="19"/>
  <c r="D516" i="19"/>
  <c r="D515" i="19"/>
  <c r="D514" i="19"/>
  <c r="D513" i="19"/>
  <c r="D512" i="19"/>
  <c r="D511" i="19"/>
  <c r="D510" i="19"/>
  <c r="D509" i="19"/>
  <c r="D508" i="19"/>
  <c r="D506" i="19"/>
  <c r="D505" i="19"/>
  <c r="D504" i="19"/>
  <c r="D503" i="19"/>
  <c r="D502" i="19"/>
  <c r="D501" i="19"/>
  <c r="D500" i="19"/>
  <c r="D499" i="19"/>
  <c r="D498" i="19"/>
  <c r="D497" i="19"/>
  <c r="D496" i="19"/>
  <c r="D495" i="19"/>
  <c r="D494" i="19"/>
  <c r="D493" i="19"/>
  <c r="D492"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3" i="19"/>
  <c r="D462" i="19"/>
  <c r="D461" i="19"/>
  <c r="D460" i="19"/>
  <c r="D459" i="19"/>
  <c r="D458" i="19"/>
  <c r="D457" i="19"/>
  <c r="D456" i="19"/>
  <c r="D455" i="19"/>
  <c r="D453" i="19"/>
  <c r="D452" i="19"/>
  <c r="D451" i="19"/>
  <c r="D450" i="19"/>
  <c r="D449" i="19"/>
  <c r="D448" i="19"/>
  <c r="D447" i="19"/>
  <c r="D437" i="19"/>
  <c r="D444" i="19"/>
  <c r="D443" i="19"/>
  <c r="D442" i="19"/>
  <c r="D441" i="19"/>
  <c r="D440" i="19"/>
  <c r="D439" i="19"/>
  <c r="D438" i="19"/>
  <c r="D436" i="19"/>
  <c r="D435" i="19"/>
  <c r="D434" i="19"/>
  <c r="D433" i="19"/>
  <c r="D432" i="19"/>
  <c r="D431" i="19"/>
  <c r="D423" i="19"/>
  <c r="D410" i="19"/>
  <c r="D428" i="19"/>
  <c r="D427" i="19"/>
  <c r="D426" i="19"/>
  <c r="D425" i="19"/>
  <c r="D424" i="19"/>
  <c r="D422" i="19"/>
  <c r="D421" i="19"/>
  <c r="D420" i="19"/>
  <c r="D419" i="19"/>
  <c r="D418" i="19"/>
  <c r="D417" i="19"/>
  <c r="D416" i="19"/>
  <c r="D415" i="19"/>
  <c r="D414" i="19"/>
  <c r="D413" i="19"/>
  <c r="D412" i="19"/>
  <c r="D411" i="19"/>
  <c r="D409" i="19"/>
  <c r="D408" i="19"/>
  <c r="D407" i="19"/>
  <c r="D406" i="19"/>
  <c r="D405" i="19"/>
  <c r="D404" i="19"/>
  <c r="D403" i="19"/>
  <c r="D402" i="19"/>
  <c r="D401" i="19"/>
  <c r="D400" i="19"/>
  <c r="D399" i="19"/>
  <c r="D398" i="19"/>
  <c r="D397" i="19"/>
  <c r="D396" i="19"/>
  <c r="D395" i="19"/>
  <c r="D394" i="19"/>
  <c r="D380" i="19"/>
  <c r="D391" i="19"/>
  <c r="D390" i="19"/>
  <c r="D389" i="19"/>
  <c r="D388" i="19"/>
  <c r="D387" i="19"/>
  <c r="D386" i="19"/>
  <c r="D385" i="19"/>
  <c r="D384" i="19"/>
  <c r="D383" i="19"/>
  <c r="D382" i="19"/>
  <c r="D381" i="19"/>
  <c r="D379" i="19"/>
  <c r="D378" i="19"/>
  <c r="D377" i="19"/>
  <c r="D376" i="19"/>
  <c r="D375" i="19"/>
  <c r="D374" i="19"/>
  <c r="D373" i="19"/>
  <c r="D372" i="19"/>
  <c r="D371" i="19"/>
  <c r="D370" i="19"/>
  <c r="D350" i="19"/>
  <c r="D340" i="19"/>
  <c r="D326" i="19"/>
  <c r="D317" i="19"/>
  <c r="D309" i="19"/>
  <c r="D304" i="19"/>
  <c r="D297" i="19"/>
  <c r="D293" i="19"/>
  <c r="D285" i="19"/>
  <c r="D249" i="19"/>
  <c r="D367" i="19"/>
  <c r="D366" i="19"/>
  <c r="D365" i="19"/>
  <c r="D364" i="19"/>
  <c r="D363" i="19"/>
  <c r="D362" i="19"/>
  <c r="D361" i="19"/>
  <c r="D360" i="19"/>
  <c r="D359" i="19"/>
  <c r="D358" i="19"/>
  <c r="D357" i="19"/>
  <c r="D356" i="19"/>
  <c r="D355" i="19"/>
  <c r="D354" i="19"/>
  <c r="D353" i="19"/>
  <c r="D352" i="19"/>
  <c r="D351" i="19"/>
  <c r="D349" i="19"/>
  <c r="D348" i="19"/>
  <c r="D347" i="19"/>
  <c r="D346" i="19"/>
  <c r="D345" i="19"/>
  <c r="D344" i="19"/>
  <c r="D343" i="19"/>
  <c r="D342" i="19"/>
  <c r="D341" i="19"/>
  <c r="D339" i="19"/>
  <c r="D338" i="19"/>
  <c r="D337" i="19"/>
  <c r="D336" i="19"/>
  <c r="D335" i="19"/>
  <c r="D334" i="19"/>
  <c r="D333" i="19"/>
  <c r="D332" i="19"/>
  <c r="D331" i="19"/>
  <c r="D330" i="19"/>
  <c r="D329" i="19"/>
  <c r="D328" i="19"/>
  <c r="D327" i="19"/>
  <c r="D325" i="19"/>
  <c r="D324" i="19"/>
  <c r="D323" i="19"/>
  <c r="D322" i="19"/>
  <c r="D321" i="19"/>
  <c r="D318" i="19"/>
  <c r="D316" i="19"/>
  <c r="D315" i="19"/>
  <c r="D314" i="19"/>
  <c r="D313" i="19"/>
  <c r="D312" i="19"/>
  <c r="D311" i="19"/>
  <c r="D310" i="19"/>
  <c r="D308" i="19"/>
  <c r="D307" i="19"/>
  <c r="D306" i="19"/>
  <c r="D305" i="19"/>
  <c r="D303" i="19"/>
  <c r="D302" i="19"/>
  <c r="D301" i="19"/>
  <c r="D300" i="19"/>
  <c r="D299" i="19"/>
  <c r="D298" i="19"/>
  <c r="D296" i="19"/>
  <c r="D295" i="19"/>
  <c r="D294" i="19"/>
  <c r="D292" i="19"/>
  <c r="D291" i="19"/>
  <c r="D290" i="19"/>
  <c r="D289" i="19"/>
  <c r="D288" i="19"/>
  <c r="D287" i="19"/>
  <c r="D286"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8" i="19"/>
  <c r="D247" i="19"/>
  <c r="D246" i="19"/>
  <c r="D245" i="19"/>
  <c r="D244" i="19"/>
  <c r="D243" i="19"/>
  <c r="D242" i="19"/>
  <c r="D227" i="19"/>
  <c r="D223" i="19"/>
  <c r="D193" i="19"/>
  <c r="D189" i="19"/>
  <c r="D182" i="19"/>
  <c r="D175" i="19"/>
  <c r="D164" i="19"/>
  <c r="D170" i="19"/>
  <c r="D152" i="19"/>
  <c r="D239" i="19"/>
  <c r="D238" i="19"/>
  <c r="D237" i="19"/>
  <c r="D236" i="19"/>
  <c r="D235" i="19"/>
  <c r="D234" i="19"/>
  <c r="D233" i="19"/>
  <c r="D228" i="19"/>
  <c r="D226" i="19"/>
  <c r="D225" i="19"/>
  <c r="D224"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2" i="19"/>
  <c r="D191" i="19"/>
  <c r="D190" i="19"/>
  <c r="D188" i="19"/>
  <c r="D187" i="19"/>
  <c r="D186" i="19"/>
  <c r="D185" i="19"/>
  <c r="D184" i="19"/>
  <c r="D183" i="19"/>
  <c r="D181" i="19"/>
  <c r="D180" i="19"/>
  <c r="D179" i="19"/>
  <c r="D178" i="19"/>
  <c r="D177" i="19"/>
  <c r="D176" i="19"/>
  <c r="D174" i="19"/>
  <c r="D173" i="19"/>
  <c r="D172" i="19"/>
  <c r="D171" i="19"/>
  <c r="D169" i="19"/>
  <c r="D168" i="19"/>
  <c r="D167" i="19"/>
  <c r="D166" i="19"/>
  <c r="D165" i="19"/>
  <c r="D163" i="19"/>
  <c r="D162" i="19"/>
  <c r="D161" i="19"/>
  <c r="D160" i="19"/>
  <c r="D159" i="19"/>
  <c r="D158" i="19"/>
  <c r="D157" i="19"/>
  <c r="D156" i="19"/>
  <c r="D155" i="19"/>
  <c r="D154" i="19"/>
  <c r="D153" i="19"/>
  <c r="D151" i="19"/>
  <c r="D150" i="19"/>
  <c r="D149" i="19"/>
  <c r="D148" i="19"/>
  <c r="D147" i="19"/>
  <c r="D146" i="19"/>
  <c r="D145" i="19"/>
  <c r="D139" i="19"/>
  <c r="D133" i="19"/>
  <c r="D128" i="19"/>
  <c r="D127" i="19"/>
  <c r="D123" i="19"/>
  <c r="D119" i="19"/>
  <c r="D107" i="19"/>
  <c r="D106" i="19"/>
  <c r="D103" i="19"/>
  <c r="D91" i="19"/>
  <c r="D73" i="19"/>
  <c r="D143" i="19"/>
  <c r="D142" i="19"/>
  <c r="D141" i="19"/>
  <c r="D140" i="19"/>
  <c r="D138" i="19"/>
  <c r="D137" i="19"/>
  <c r="D136" i="19"/>
  <c r="D135" i="19"/>
  <c r="D134" i="19"/>
  <c r="D132" i="19"/>
  <c r="D131" i="19"/>
  <c r="D130" i="19"/>
  <c r="D129" i="19"/>
  <c r="D126" i="19"/>
  <c r="D125" i="19"/>
  <c r="D124" i="19"/>
  <c r="D122" i="19"/>
  <c r="D121" i="19"/>
  <c r="D120" i="19"/>
  <c r="D118" i="19"/>
  <c r="D117" i="19"/>
  <c r="D116" i="19"/>
  <c r="D115" i="19"/>
  <c r="D114" i="19"/>
  <c r="D113" i="19"/>
  <c r="D112" i="19"/>
  <c r="D111" i="19"/>
  <c r="D110" i="19"/>
  <c r="D109" i="19"/>
  <c r="D108" i="19"/>
  <c r="D105" i="19"/>
  <c r="D104" i="19"/>
  <c r="D102" i="19"/>
  <c r="D101" i="19"/>
  <c r="D100" i="19"/>
  <c r="D99" i="19"/>
  <c r="D98" i="19"/>
  <c r="D97" i="19"/>
  <c r="D96" i="19"/>
  <c r="D95" i="19"/>
  <c r="D94" i="19"/>
  <c r="D93" i="19"/>
  <c r="D92" i="19"/>
  <c r="D90" i="19"/>
  <c r="D89" i="19"/>
  <c r="D88" i="19"/>
  <c r="D87" i="19"/>
  <c r="D86" i="19"/>
  <c r="D85" i="19"/>
  <c r="D84" i="19"/>
  <c r="D83" i="19"/>
  <c r="D82" i="19"/>
  <c r="D81" i="19"/>
  <c r="D80" i="19"/>
  <c r="D79" i="19"/>
  <c r="D78" i="19"/>
  <c r="D77" i="19"/>
  <c r="D76" i="19"/>
  <c r="D75" i="19"/>
  <c r="D74" i="19"/>
  <c r="D72" i="19"/>
  <c r="D71" i="19"/>
  <c r="D70" i="19"/>
  <c r="D69" i="19"/>
  <c r="D68" i="19"/>
  <c r="D67" i="19"/>
  <c r="D66" i="19"/>
  <c r="D65" i="19"/>
  <c r="D63" i="19"/>
  <c r="D62" i="19"/>
  <c r="D61" i="19"/>
  <c r="D60" i="19"/>
  <c r="D59" i="19"/>
  <c r="D58" i="19"/>
  <c r="D57" i="19"/>
  <c r="D55" i="19"/>
  <c r="D54" i="19"/>
  <c r="D53" i="19"/>
  <c r="D52" i="19"/>
  <c r="D51" i="19"/>
  <c r="D50" i="19"/>
  <c r="D49" i="19"/>
  <c r="D48" i="19"/>
  <c r="D47" i="19"/>
  <c r="D46" i="19"/>
  <c r="D45" i="19"/>
  <c r="D44" i="19"/>
  <c r="D43" i="19"/>
  <c r="D41" i="19"/>
  <c r="D40" i="19"/>
  <c r="D39" i="19"/>
  <c r="D38" i="19"/>
  <c r="D37" i="19"/>
  <c r="D36" i="19"/>
  <c r="D35" i="19"/>
  <c r="D34" i="19"/>
  <c r="D33" i="19"/>
  <c r="D32" i="19"/>
  <c r="D31" i="19"/>
  <c r="D30" i="19"/>
  <c r="D28" i="19"/>
  <c r="D27" i="19"/>
  <c r="D26" i="19"/>
  <c r="D25" i="19"/>
  <c r="D24" i="19"/>
  <c r="D23" i="19"/>
  <c r="D22" i="19"/>
  <c r="D21" i="19"/>
  <c r="D20" i="19"/>
  <c r="D19" i="19"/>
  <c r="D18" i="19"/>
  <c r="D17" i="19"/>
  <c r="D16" i="19"/>
  <c r="D14" i="19"/>
  <c r="D13" i="19"/>
  <c r="D12" i="19"/>
  <c r="D11" i="19"/>
  <c r="D10" i="19"/>
  <c r="D9" i="19"/>
  <c r="D8" i="19"/>
  <c r="D7" i="19"/>
  <c r="D6" i="19"/>
  <c r="E661" i="19"/>
  <c r="E660" i="19"/>
  <c r="E659" i="19"/>
  <c r="N664" i="19"/>
  <c r="P666" i="19"/>
  <c r="E666" i="19"/>
  <c r="C666" i="19"/>
  <c r="O666" i="19"/>
  <c r="B666" i="19"/>
  <c r="A666" i="19"/>
  <c r="N657" i="19"/>
  <c r="N662" i="19"/>
  <c r="N667" i="19"/>
  <c r="N669" i="19"/>
  <c r="N673" i="19"/>
  <c r="P679" i="19"/>
  <c r="E679" i="19"/>
  <c r="C679" i="19"/>
  <c r="O679" i="19"/>
  <c r="B679" i="19"/>
  <c r="A679" i="19"/>
  <c r="P678" i="19"/>
  <c r="E678" i="19"/>
  <c r="C678" i="19"/>
  <c r="O678" i="19"/>
  <c r="B678" i="19"/>
  <c r="A678" i="19"/>
  <c r="P677" i="19"/>
  <c r="E677" i="19"/>
  <c r="C677" i="19"/>
  <c r="O677" i="19"/>
  <c r="B677" i="19"/>
  <c r="A677" i="19"/>
  <c r="P676" i="19"/>
  <c r="E676" i="19"/>
  <c r="C676" i="19"/>
  <c r="O676" i="19"/>
  <c r="B676" i="19"/>
  <c r="A676" i="19"/>
  <c r="N675" i="19"/>
  <c r="B675" i="19"/>
  <c r="A675" i="19"/>
  <c r="P674" i="19"/>
  <c r="P673" i="19"/>
  <c r="E674" i="19"/>
  <c r="C674" i="19"/>
  <c r="O674" i="19"/>
  <c r="O673" i="19"/>
  <c r="B674" i="19"/>
  <c r="A674" i="19"/>
  <c r="B673" i="19"/>
  <c r="A673" i="19"/>
  <c r="P672" i="19"/>
  <c r="E672" i="19"/>
  <c r="C672" i="19"/>
  <c r="O672" i="19"/>
  <c r="B672" i="19"/>
  <c r="A672" i="19"/>
  <c r="P671" i="19"/>
  <c r="E671" i="19"/>
  <c r="C671" i="19"/>
  <c r="O671" i="19"/>
  <c r="B671" i="19"/>
  <c r="A671" i="19"/>
  <c r="P670" i="19"/>
  <c r="E670" i="19"/>
  <c r="C670" i="19"/>
  <c r="O670" i="19"/>
  <c r="B670" i="19"/>
  <c r="A670" i="19"/>
  <c r="B669" i="19"/>
  <c r="A669" i="19"/>
  <c r="P668" i="19"/>
  <c r="P667" i="19"/>
  <c r="E668" i="19"/>
  <c r="C668" i="19"/>
  <c r="O668" i="19"/>
  <c r="O667" i="19"/>
  <c r="B668" i="19"/>
  <c r="A668" i="19"/>
  <c r="B667" i="19"/>
  <c r="A667" i="19"/>
  <c r="P665" i="19"/>
  <c r="P664" i="19"/>
  <c r="E665" i="19"/>
  <c r="C665" i="19"/>
  <c r="O665" i="19"/>
  <c r="O664" i="19"/>
  <c r="B665" i="19"/>
  <c r="A665" i="19"/>
  <c r="B664" i="19"/>
  <c r="A664" i="19"/>
  <c r="A658" i="19"/>
  <c r="A661" i="19"/>
  <c r="A659" i="19"/>
  <c r="A660" i="19"/>
  <c r="C661" i="19"/>
  <c r="B661" i="19"/>
  <c r="C660" i="19"/>
  <c r="B660" i="19"/>
  <c r="C659" i="19"/>
  <c r="B659" i="19"/>
  <c r="B658" i="19"/>
  <c r="P332" i="19"/>
  <c r="E332" i="19"/>
  <c r="C332" i="19"/>
  <c r="O332" i="19"/>
  <c r="B332" i="19"/>
  <c r="A332" i="19"/>
  <c r="P669" i="19"/>
  <c r="O669" i="19"/>
  <c r="P313" i="19"/>
  <c r="E313" i="19"/>
  <c r="C313" i="19"/>
  <c r="O313" i="19"/>
  <c r="B313" i="19"/>
  <c r="A313" i="19"/>
  <c r="P312" i="19"/>
  <c r="E312" i="19"/>
  <c r="C312" i="19"/>
  <c r="O312" i="19"/>
  <c r="B312" i="19"/>
  <c r="A312" i="19"/>
  <c r="B145" i="19"/>
  <c r="N240" i="19"/>
  <c r="N317" i="19"/>
  <c r="P318" i="19"/>
  <c r="P317" i="19"/>
  <c r="E318" i="19"/>
  <c r="O318" i="19"/>
  <c r="O317" i="19"/>
  <c r="E317" i="19"/>
  <c r="R317" i="19"/>
  <c r="L317" i="19"/>
  <c r="C584" i="19"/>
  <c r="C583" i="19"/>
  <c r="B1" i="19"/>
  <c r="B3" i="9"/>
  <c r="P642" i="19"/>
  <c r="E642" i="19"/>
  <c r="C642" i="19"/>
  <c r="O642" i="19"/>
  <c r="B642" i="19"/>
  <c r="A642" i="19"/>
  <c r="A5" i="19"/>
  <c r="N587" i="19"/>
  <c r="N629" i="19"/>
  <c r="N607" i="19"/>
  <c r="A663" i="19"/>
  <c r="E663" i="19"/>
  <c r="C663" i="19"/>
  <c r="B663" i="19"/>
  <c r="B662" i="19"/>
  <c r="A662" i="19"/>
  <c r="B645" i="19"/>
  <c r="B657" i="19"/>
  <c r="A657" i="19"/>
  <c r="P656" i="19"/>
  <c r="E656" i="19"/>
  <c r="C656" i="19"/>
  <c r="O656" i="19"/>
  <c r="B656" i="19"/>
  <c r="A656" i="19"/>
  <c r="P655" i="19"/>
  <c r="E655" i="19"/>
  <c r="C655" i="19"/>
  <c r="O655" i="19"/>
  <c r="B655" i="19"/>
  <c r="A655" i="19"/>
  <c r="P654" i="19"/>
  <c r="E654" i="19"/>
  <c r="C654" i="19"/>
  <c r="O654" i="19"/>
  <c r="B654" i="19"/>
  <c r="A654" i="19"/>
  <c r="P653" i="19"/>
  <c r="E653" i="19"/>
  <c r="C653" i="19"/>
  <c r="O653" i="19"/>
  <c r="B653" i="19"/>
  <c r="A653" i="19"/>
  <c r="P652" i="19"/>
  <c r="E652" i="19"/>
  <c r="C652" i="19"/>
  <c r="O652" i="19"/>
  <c r="B652" i="19"/>
  <c r="A652" i="19"/>
  <c r="P651" i="19"/>
  <c r="E651" i="19"/>
  <c r="C651" i="19"/>
  <c r="O651" i="19"/>
  <c r="B651" i="19"/>
  <c r="A651" i="19"/>
  <c r="P650" i="19"/>
  <c r="E650" i="19"/>
  <c r="C650" i="19"/>
  <c r="O650" i="19"/>
  <c r="B650" i="19"/>
  <c r="A650" i="19"/>
  <c r="P649" i="19"/>
  <c r="E649" i="19"/>
  <c r="C649" i="19"/>
  <c r="O649" i="19"/>
  <c r="B649" i="19"/>
  <c r="A649" i="19"/>
  <c r="P648" i="19"/>
  <c r="E648" i="19"/>
  <c r="C648" i="19"/>
  <c r="O648" i="19"/>
  <c r="B648" i="19"/>
  <c r="A648" i="19"/>
  <c r="P647" i="19"/>
  <c r="E647" i="19"/>
  <c r="C647" i="19"/>
  <c r="O647" i="19"/>
  <c r="B647" i="19"/>
  <c r="A647" i="19"/>
  <c r="P646" i="19"/>
  <c r="E646" i="19"/>
  <c r="C646" i="19"/>
  <c r="O646" i="19"/>
  <c r="B646" i="19"/>
  <c r="A646" i="19"/>
  <c r="P645" i="19"/>
  <c r="E645" i="19"/>
  <c r="C645" i="19"/>
  <c r="O645" i="19"/>
  <c r="A645" i="19"/>
  <c r="P644" i="19"/>
  <c r="E644" i="19"/>
  <c r="C644" i="19"/>
  <c r="O644" i="19"/>
  <c r="B644" i="19"/>
  <c r="A644" i="19"/>
  <c r="P643" i="19"/>
  <c r="E643" i="19"/>
  <c r="C643" i="19"/>
  <c r="O643" i="19"/>
  <c r="B643" i="19"/>
  <c r="A643" i="19"/>
  <c r="P641" i="19"/>
  <c r="E641" i="19"/>
  <c r="C641" i="19"/>
  <c r="O641" i="19"/>
  <c r="B641" i="19"/>
  <c r="A641" i="19"/>
  <c r="P640" i="19"/>
  <c r="E640" i="19"/>
  <c r="C640" i="19"/>
  <c r="O640" i="19"/>
  <c r="B640" i="19"/>
  <c r="A640" i="19"/>
  <c r="P639" i="19"/>
  <c r="E639" i="19"/>
  <c r="C639" i="19"/>
  <c r="O639" i="19"/>
  <c r="B639" i="19"/>
  <c r="A639" i="19"/>
  <c r="P638" i="19"/>
  <c r="E638" i="19"/>
  <c r="C638" i="19"/>
  <c r="O638" i="19"/>
  <c r="B638" i="19"/>
  <c r="A638" i="19"/>
  <c r="P637" i="19"/>
  <c r="E637" i="19"/>
  <c r="C637" i="19"/>
  <c r="O637" i="19"/>
  <c r="B637" i="19"/>
  <c r="A637" i="19"/>
  <c r="P636" i="19"/>
  <c r="E636" i="19"/>
  <c r="C636" i="19"/>
  <c r="O636" i="19"/>
  <c r="B636" i="19"/>
  <c r="A636" i="19"/>
  <c r="P635" i="19"/>
  <c r="E635" i="19"/>
  <c r="C635" i="19"/>
  <c r="O635" i="19"/>
  <c r="B635" i="19"/>
  <c r="A635" i="19"/>
  <c r="P634" i="19"/>
  <c r="E634" i="19"/>
  <c r="C634" i="19"/>
  <c r="O634" i="19"/>
  <c r="B634" i="19"/>
  <c r="A634" i="19"/>
  <c r="P633" i="19"/>
  <c r="E633" i="19"/>
  <c r="C633" i="19"/>
  <c r="O633" i="19"/>
  <c r="B633" i="19"/>
  <c r="A633" i="19"/>
  <c r="P632" i="19"/>
  <c r="E632" i="19"/>
  <c r="C632" i="19"/>
  <c r="O632" i="19"/>
  <c r="B632" i="19"/>
  <c r="A632" i="19"/>
  <c r="P631" i="19"/>
  <c r="E631" i="19"/>
  <c r="C631" i="19"/>
  <c r="O631" i="19"/>
  <c r="B631" i="19"/>
  <c r="A631" i="19"/>
  <c r="E630" i="19"/>
  <c r="C630" i="19"/>
  <c r="O630" i="19"/>
  <c r="A630" i="19"/>
  <c r="B630" i="19"/>
  <c r="A629" i="19"/>
  <c r="B629" i="19"/>
  <c r="P630" i="19"/>
  <c r="P628" i="19"/>
  <c r="E628" i="19"/>
  <c r="C628" i="19"/>
  <c r="O628" i="19"/>
  <c r="B628" i="19"/>
  <c r="A628" i="19"/>
  <c r="P627" i="19"/>
  <c r="E627" i="19"/>
  <c r="C627" i="19"/>
  <c r="O627" i="19"/>
  <c r="B627" i="19"/>
  <c r="A627" i="19"/>
  <c r="P626" i="19"/>
  <c r="E626" i="19"/>
  <c r="C626" i="19"/>
  <c r="O626" i="19"/>
  <c r="B626" i="19"/>
  <c r="A626" i="19"/>
  <c r="P625" i="19"/>
  <c r="E625" i="19"/>
  <c r="C625" i="19"/>
  <c r="O625" i="19"/>
  <c r="B625" i="19"/>
  <c r="A625" i="19"/>
  <c r="P624" i="19"/>
  <c r="E624" i="19"/>
  <c r="C624" i="19"/>
  <c r="O624" i="19"/>
  <c r="B624" i="19"/>
  <c r="A624" i="19"/>
  <c r="P623" i="19"/>
  <c r="E623" i="19"/>
  <c r="C623" i="19"/>
  <c r="O623" i="19"/>
  <c r="B623" i="19"/>
  <c r="A623" i="19"/>
  <c r="P622" i="19"/>
  <c r="E622" i="19"/>
  <c r="C622" i="19"/>
  <c r="O622" i="19"/>
  <c r="B622" i="19"/>
  <c r="A622" i="19"/>
  <c r="P621" i="19"/>
  <c r="E621" i="19"/>
  <c r="C621" i="19"/>
  <c r="O621" i="19"/>
  <c r="B621" i="19"/>
  <c r="A621" i="19"/>
  <c r="P620" i="19"/>
  <c r="E620" i="19"/>
  <c r="C620" i="19"/>
  <c r="O620" i="19"/>
  <c r="B620" i="19"/>
  <c r="A620" i="19"/>
  <c r="P619" i="19"/>
  <c r="E619" i="19"/>
  <c r="C619" i="19"/>
  <c r="O619" i="19"/>
  <c r="B619" i="19"/>
  <c r="A619" i="19"/>
  <c r="P618" i="19"/>
  <c r="E618" i="19"/>
  <c r="C618" i="19"/>
  <c r="O618" i="19"/>
  <c r="B618" i="19"/>
  <c r="A618" i="19"/>
  <c r="P617" i="19"/>
  <c r="E617" i="19"/>
  <c r="C617" i="19"/>
  <c r="O617" i="19"/>
  <c r="B617" i="19"/>
  <c r="A617" i="19"/>
  <c r="P616" i="19"/>
  <c r="E616" i="19"/>
  <c r="C616" i="19"/>
  <c r="O616" i="19"/>
  <c r="B616" i="19"/>
  <c r="A616" i="19"/>
  <c r="P615" i="19"/>
  <c r="E615" i="19"/>
  <c r="C615" i="19"/>
  <c r="O615" i="19"/>
  <c r="B615" i="19"/>
  <c r="A615" i="19"/>
  <c r="P614" i="19"/>
  <c r="E614" i="19"/>
  <c r="C614" i="19"/>
  <c r="O614" i="19"/>
  <c r="B614" i="19"/>
  <c r="A614" i="19"/>
  <c r="P613" i="19"/>
  <c r="E613" i="19"/>
  <c r="C613" i="19"/>
  <c r="O613" i="19"/>
  <c r="B613" i="19"/>
  <c r="A613" i="19"/>
  <c r="P612" i="19"/>
  <c r="E612" i="19"/>
  <c r="C612" i="19"/>
  <c r="O612" i="19"/>
  <c r="B612" i="19"/>
  <c r="A612" i="19"/>
  <c r="P611" i="19"/>
  <c r="E611" i="19"/>
  <c r="C611" i="19"/>
  <c r="O611" i="19"/>
  <c r="B611" i="19"/>
  <c r="A611" i="19"/>
  <c r="P610" i="19"/>
  <c r="E610" i="19"/>
  <c r="C610" i="19"/>
  <c r="O610" i="19"/>
  <c r="B610" i="19"/>
  <c r="A610" i="19"/>
  <c r="P609" i="19"/>
  <c r="E609" i="19"/>
  <c r="C609" i="19"/>
  <c r="O609" i="19"/>
  <c r="B609" i="19"/>
  <c r="A609" i="19"/>
  <c r="E608" i="19"/>
  <c r="C608" i="19"/>
  <c r="O608" i="19"/>
  <c r="A608" i="19"/>
  <c r="B608" i="19"/>
  <c r="A607" i="19"/>
  <c r="B607" i="19"/>
  <c r="P597" i="19"/>
  <c r="E597" i="19"/>
  <c r="C597" i="19"/>
  <c r="O597" i="19"/>
  <c r="B597" i="19"/>
  <c r="A597" i="19"/>
  <c r="P592" i="19"/>
  <c r="E592" i="19"/>
  <c r="C592" i="19"/>
  <c r="O592" i="19"/>
  <c r="B592" i="19"/>
  <c r="A592" i="19"/>
  <c r="P608" i="19"/>
  <c r="P606" i="19"/>
  <c r="E606" i="19"/>
  <c r="C606" i="19"/>
  <c r="O606" i="19"/>
  <c r="B606" i="19"/>
  <c r="A606" i="19"/>
  <c r="P605" i="19"/>
  <c r="E605" i="19"/>
  <c r="C605" i="19"/>
  <c r="O605" i="19"/>
  <c r="B605" i="19"/>
  <c r="A605" i="19"/>
  <c r="P604" i="19"/>
  <c r="E604" i="19"/>
  <c r="C604" i="19"/>
  <c r="O604" i="19"/>
  <c r="B604" i="19"/>
  <c r="A604" i="19"/>
  <c r="P603" i="19"/>
  <c r="E603" i="19"/>
  <c r="C603" i="19"/>
  <c r="O603" i="19"/>
  <c r="B603" i="19"/>
  <c r="A603" i="19"/>
  <c r="P602" i="19"/>
  <c r="E602" i="19"/>
  <c r="C602" i="19"/>
  <c r="O602" i="19"/>
  <c r="B602" i="19"/>
  <c r="A602" i="19"/>
  <c r="P601" i="19"/>
  <c r="E601" i="19"/>
  <c r="C601" i="19"/>
  <c r="O601" i="19"/>
  <c r="B601" i="19"/>
  <c r="A601" i="19"/>
  <c r="P600" i="19"/>
  <c r="E600" i="19"/>
  <c r="C600" i="19"/>
  <c r="O600" i="19"/>
  <c r="B600" i="19"/>
  <c r="A600" i="19"/>
  <c r="P599" i="19"/>
  <c r="E599" i="19"/>
  <c r="C599" i="19"/>
  <c r="O599" i="19"/>
  <c r="B599" i="19"/>
  <c r="A599" i="19"/>
  <c r="P598" i="19"/>
  <c r="E598" i="19"/>
  <c r="C598" i="19"/>
  <c r="O598" i="19"/>
  <c r="B598" i="19"/>
  <c r="A598" i="19"/>
  <c r="E596" i="19"/>
  <c r="C596" i="19"/>
  <c r="B596" i="19"/>
  <c r="A596" i="19"/>
  <c r="E595" i="19"/>
  <c r="C595" i="19"/>
  <c r="B595" i="19"/>
  <c r="A595" i="19"/>
  <c r="E594" i="19"/>
  <c r="C594" i="19"/>
  <c r="B594" i="19"/>
  <c r="A594" i="19"/>
  <c r="E593" i="19"/>
  <c r="C593" i="19"/>
  <c r="B593" i="19"/>
  <c r="A593" i="19"/>
  <c r="E591" i="19"/>
  <c r="C591" i="19"/>
  <c r="B591" i="19"/>
  <c r="A591" i="19"/>
  <c r="E590" i="19"/>
  <c r="C590" i="19"/>
  <c r="B590" i="19"/>
  <c r="A590" i="19"/>
  <c r="E589" i="19"/>
  <c r="C589" i="19"/>
  <c r="B589" i="19"/>
  <c r="A589" i="19"/>
  <c r="A16" i="9"/>
  <c r="A17" i="9"/>
  <c r="A18" i="9"/>
  <c r="O629" i="19"/>
  <c r="O607" i="19"/>
  <c r="P629" i="19"/>
  <c r="P607" i="19"/>
  <c r="N15" i="19"/>
  <c r="A28" i="19"/>
  <c r="N119" i="19"/>
  <c r="C6" i="19"/>
  <c r="N454" i="19"/>
  <c r="N350" i="19"/>
  <c r="N571" i="19"/>
  <c r="N556" i="19"/>
  <c r="N550" i="19"/>
  <c r="N532" i="19"/>
  <c r="N526" i="19"/>
  <c r="N507" i="19"/>
  <c r="N491" i="19"/>
  <c r="N464" i="19"/>
  <c r="N446" i="19"/>
  <c r="N445" i="19"/>
  <c r="N437" i="19"/>
  <c r="N430" i="19"/>
  <c r="N423" i="19"/>
  <c r="N410" i="19"/>
  <c r="N369" i="19"/>
  <c r="N380" i="19"/>
  <c r="P381" i="19"/>
  <c r="P367" i="19"/>
  <c r="N340" i="19"/>
  <c r="N326" i="19"/>
  <c r="N320" i="19"/>
  <c r="N309" i="19"/>
  <c r="N304" i="19"/>
  <c r="N297" i="19"/>
  <c r="N293" i="19"/>
  <c r="N285" i="19"/>
  <c r="N175" i="19"/>
  <c r="N170" i="19"/>
  <c r="N164" i="19"/>
  <c r="N152" i="19"/>
  <c r="N144" i="19"/>
  <c r="N145" i="19"/>
  <c r="N64" i="19"/>
  <c r="N241" i="19"/>
  <c r="N227" i="19"/>
  <c r="N223" i="19"/>
  <c r="N193" i="19"/>
  <c r="N189" i="19"/>
  <c r="N182" i="19"/>
  <c r="N139" i="19"/>
  <c r="P147" i="19"/>
  <c r="P148" i="19"/>
  <c r="P149" i="19"/>
  <c r="P150" i="19"/>
  <c r="P151" i="19"/>
  <c r="P146" i="19"/>
  <c r="P154" i="19"/>
  <c r="N123" i="19"/>
  <c r="N106" i="19"/>
  <c r="N107" i="19"/>
  <c r="C114" i="19"/>
  <c r="C113" i="19"/>
  <c r="C112" i="19"/>
  <c r="C111" i="19"/>
  <c r="C110" i="19"/>
  <c r="C115" i="19"/>
  <c r="C116" i="19"/>
  <c r="C117" i="19"/>
  <c r="C118" i="19"/>
  <c r="N103" i="19"/>
  <c r="N73" i="19"/>
  <c r="C69" i="19"/>
  <c r="N66" i="19"/>
  <c r="N65" i="19"/>
  <c r="P145" i="19"/>
  <c r="P508" i="19"/>
  <c r="P72" i="19"/>
  <c r="P26" i="19"/>
  <c r="P455" i="19"/>
  <c r="P545" i="19"/>
  <c r="P543" i="19"/>
  <c r="P541" i="19"/>
  <c r="P534" i="19"/>
  <c r="P533" i="19"/>
  <c r="P530" i="19"/>
  <c r="P529" i="19"/>
  <c r="P516" i="19"/>
  <c r="P515" i="19"/>
  <c r="P514" i="19"/>
  <c r="P513" i="19"/>
  <c r="P506" i="19"/>
  <c r="P505" i="19"/>
  <c r="P504" i="19"/>
  <c r="P503" i="19"/>
  <c r="P502" i="19"/>
  <c r="P501" i="19"/>
  <c r="P500" i="19"/>
  <c r="P499" i="19"/>
  <c r="P498" i="19"/>
  <c r="P497" i="19"/>
  <c r="P496" i="19"/>
  <c r="P495" i="19"/>
  <c r="P494" i="19"/>
  <c r="P493" i="19"/>
  <c r="P492"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2" i="19"/>
  <c r="P461" i="19"/>
  <c r="P460" i="19"/>
  <c r="P459" i="19"/>
  <c r="P458" i="19"/>
  <c r="P457" i="19"/>
  <c r="P456" i="19"/>
  <c r="P452" i="19"/>
  <c r="P451" i="19"/>
  <c r="P450" i="19"/>
  <c r="P663" i="19"/>
  <c r="P662" i="19"/>
  <c r="P661" i="19"/>
  <c r="P660" i="19"/>
  <c r="P659" i="19"/>
  <c r="P596" i="19"/>
  <c r="P595" i="19"/>
  <c r="P594" i="19"/>
  <c r="P593" i="19"/>
  <c r="P591" i="19"/>
  <c r="P590" i="19"/>
  <c r="P589" i="19"/>
  <c r="P588" i="19"/>
  <c r="P586" i="19"/>
  <c r="P585" i="19"/>
  <c r="P584" i="19"/>
  <c r="P583" i="19"/>
  <c r="P581" i="19"/>
  <c r="P580" i="19"/>
  <c r="P579" i="19"/>
  <c r="P578" i="19"/>
  <c r="P577" i="19"/>
  <c r="P576" i="19"/>
  <c r="P575" i="19"/>
  <c r="P574" i="19"/>
  <c r="P573" i="19"/>
  <c r="P572" i="19"/>
  <c r="P570" i="19"/>
  <c r="P569" i="19"/>
  <c r="P568" i="19"/>
  <c r="P567" i="19"/>
  <c r="P566" i="19"/>
  <c r="P565" i="19"/>
  <c r="P564" i="19"/>
  <c r="P563" i="19"/>
  <c r="P562" i="19"/>
  <c r="P561" i="19"/>
  <c r="P560" i="19"/>
  <c r="P559" i="19"/>
  <c r="P558" i="19"/>
  <c r="P555" i="19"/>
  <c r="P554" i="19"/>
  <c r="P553" i="19"/>
  <c r="P552" i="19"/>
  <c r="P551" i="19"/>
  <c r="P547" i="19"/>
  <c r="P546" i="19"/>
  <c r="P544" i="19"/>
  <c r="P542" i="19"/>
  <c r="P539" i="19"/>
  <c r="P538" i="19"/>
  <c r="P537" i="19"/>
  <c r="P536" i="19"/>
  <c r="P535" i="19"/>
  <c r="P531" i="19"/>
  <c r="P528" i="19"/>
  <c r="P527" i="19"/>
  <c r="P525" i="19"/>
  <c r="P524" i="19"/>
  <c r="P523" i="19"/>
  <c r="P522" i="19"/>
  <c r="P521" i="19"/>
  <c r="P520" i="19"/>
  <c r="P519" i="19"/>
  <c r="P518" i="19"/>
  <c r="P512" i="19"/>
  <c r="P511" i="19"/>
  <c r="P510" i="19"/>
  <c r="P509" i="19"/>
  <c r="P463" i="19"/>
  <c r="P453" i="19"/>
  <c r="P449" i="19"/>
  <c r="P448" i="19"/>
  <c r="P447" i="19"/>
  <c r="P444" i="19"/>
  <c r="P443" i="19"/>
  <c r="P442" i="19"/>
  <c r="P441" i="19"/>
  <c r="P440" i="19"/>
  <c r="P439" i="19"/>
  <c r="P438" i="19"/>
  <c r="P436" i="19"/>
  <c r="P435" i="19"/>
  <c r="P434" i="19"/>
  <c r="P433" i="19"/>
  <c r="P432" i="19"/>
  <c r="P431" i="19"/>
  <c r="P428" i="19"/>
  <c r="P427" i="19"/>
  <c r="P426" i="19"/>
  <c r="P425" i="19"/>
  <c r="P424" i="19"/>
  <c r="P422" i="19"/>
  <c r="P421" i="19"/>
  <c r="P420" i="19"/>
  <c r="P419" i="19"/>
  <c r="P418" i="19"/>
  <c r="P417" i="19"/>
  <c r="P416" i="19"/>
  <c r="P415" i="19"/>
  <c r="P414" i="19"/>
  <c r="P413" i="19"/>
  <c r="P412" i="19"/>
  <c r="P411" i="19"/>
  <c r="P409" i="19"/>
  <c r="P408" i="19"/>
  <c r="P407" i="19"/>
  <c r="P406" i="19"/>
  <c r="P405" i="19"/>
  <c r="P404" i="19"/>
  <c r="P403" i="19"/>
  <c r="P402" i="19"/>
  <c r="P401" i="19"/>
  <c r="P400" i="19"/>
  <c r="P399" i="19"/>
  <c r="P398" i="19"/>
  <c r="P397" i="19"/>
  <c r="P396" i="19"/>
  <c r="P395" i="19"/>
  <c r="P394" i="19"/>
  <c r="P391" i="19"/>
  <c r="P390" i="19"/>
  <c r="P389" i="19"/>
  <c r="P388" i="19"/>
  <c r="P387" i="19"/>
  <c r="P386" i="19"/>
  <c r="P385" i="19"/>
  <c r="P384" i="19"/>
  <c r="P383" i="19"/>
  <c r="P382" i="19"/>
  <c r="P379" i="19"/>
  <c r="P378" i="19"/>
  <c r="P377" i="19"/>
  <c r="P376" i="19"/>
  <c r="P375" i="19"/>
  <c r="P374" i="19"/>
  <c r="P373" i="19"/>
  <c r="P372" i="19"/>
  <c r="P371" i="19"/>
  <c r="P370" i="19"/>
  <c r="P366" i="19"/>
  <c r="P365" i="19"/>
  <c r="P364" i="19"/>
  <c r="P363" i="19"/>
  <c r="P362" i="19"/>
  <c r="P361" i="19"/>
  <c r="P360" i="19"/>
  <c r="P359" i="19"/>
  <c r="P358" i="19"/>
  <c r="P357" i="19"/>
  <c r="P356" i="19"/>
  <c r="P355" i="19"/>
  <c r="P354" i="19"/>
  <c r="P353" i="19"/>
  <c r="P352" i="19"/>
  <c r="P351" i="19"/>
  <c r="P349" i="19"/>
  <c r="P348" i="19"/>
  <c r="P347" i="19"/>
  <c r="P346" i="19"/>
  <c r="P345" i="19"/>
  <c r="P344" i="19"/>
  <c r="P343" i="19"/>
  <c r="P342" i="19"/>
  <c r="P341" i="19"/>
  <c r="P339" i="19"/>
  <c r="P338" i="19"/>
  <c r="P337" i="19"/>
  <c r="P336" i="19"/>
  <c r="P335" i="19"/>
  <c r="P334" i="19"/>
  <c r="P333" i="19"/>
  <c r="P331" i="19"/>
  <c r="P330" i="19"/>
  <c r="P329" i="19"/>
  <c r="P328" i="19"/>
  <c r="P327" i="19"/>
  <c r="P325" i="19"/>
  <c r="P324" i="19"/>
  <c r="P323" i="19"/>
  <c r="P322" i="19"/>
  <c r="P321" i="19"/>
  <c r="P316" i="19"/>
  <c r="P315" i="19"/>
  <c r="P314" i="19"/>
  <c r="P311" i="19"/>
  <c r="P310" i="19"/>
  <c r="P308" i="19"/>
  <c r="P307" i="19"/>
  <c r="P306" i="19"/>
  <c r="P305" i="19"/>
  <c r="P303" i="19"/>
  <c r="P302" i="19"/>
  <c r="P301" i="19"/>
  <c r="P300" i="19"/>
  <c r="P299" i="19"/>
  <c r="P298" i="19"/>
  <c r="P296" i="19"/>
  <c r="P295" i="19"/>
  <c r="P294" i="19"/>
  <c r="P292" i="19"/>
  <c r="P291" i="19"/>
  <c r="P290" i="19"/>
  <c r="P289" i="19"/>
  <c r="P288" i="19"/>
  <c r="P287" i="19"/>
  <c r="P286"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8" i="19"/>
  <c r="P247" i="19"/>
  <c r="P246" i="19"/>
  <c r="P245" i="19"/>
  <c r="P244" i="19"/>
  <c r="P243" i="19"/>
  <c r="P242" i="19"/>
  <c r="P239" i="19"/>
  <c r="P238" i="19"/>
  <c r="P237" i="19"/>
  <c r="P236" i="19"/>
  <c r="P235" i="19"/>
  <c r="P234" i="19"/>
  <c r="P233" i="19"/>
  <c r="P232" i="19"/>
  <c r="P231" i="19"/>
  <c r="P230" i="19"/>
  <c r="P229" i="19"/>
  <c r="P228" i="19"/>
  <c r="P226" i="19"/>
  <c r="P225" i="19"/>
  <c r="P224"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2" i="19"/>
  <c r="P191" i="19"/>
  <c r="P190" i="19"/>
  <c r="P188" i="19"/>
  <c r="P187" i="19"/>
  <c r="P186" i="19"/>
  <c r="P185" i="19"/>
  <c r="P184" i="19"/>
  <c r="P183" i="19"/>
  <c r="P181" i="19"/>
  <c r="P180" i="19"/>
  <c r="P179" i="19"/>
  <c r="P178" i="19"/>
  <c r="P177" i="19"/>
  <c r="P176" i="19"/>
  <c r="P174" i="19"/>
  <c r="P173" i="19"/>
  <c r="P172" i="19"/>
  <c r="P171" i="19"/>
  <c r="P169" i="19"/>
  <c r="P168" i="19"/>
  <c r="P167" i="19"/>
  <c r="P166" i="19"/>
  <c r="P165" i="19"/>
  <c r="P163" i="19"/>
  <c r="P162" i="19"/>
  <c r="P161" i="19"/>
  <c r="P160" i="19"/>
  <c r="P159" i="19"/>
  <c r="P158" i="19"/>
  <c r="P157" i="19"/>
  <c r="P156" i="19"/>
  <c r="P155" i="19"/>
  <c r="P153" i="19"/>
  <c r="P143" i="19"/>
  <c r="P142" i="19"/>
  <c r="P141" i="19"/>
  <c r="P140" i="19"/>
  <c r="P138" i="19"/>
  <c r="P137" i="19"/>
  <c r="P136" i="19"/>
  <c r="P135" i="19"/>
  <c r="P134" i="19"/>
  <c r="P132" i="19"/>
  <c r="P131" i="19"/>
  <c r="P130" i="19"/>
  <c r="P129" i="19"/>
  <c r="P126" i="19"/>
  <c r="P125" i="19"/>
  <c r="P124" i="19"/>
  <c r="P122" i="19"/>
  <c r="P121" i="19"/>
  <c r="P120" i="19"/>
  <c r="P118" i="19"/>
  <c r="P117" i="19"/>
  <c r="P116" i="19"/>
  <c r="P115" i="19"/>
  <c r="P114" i="19"/>
  <c r="P113" i="19"/>
  <c r="P112" i="19"/>
  <c r="P111" i="19"/>
  <c r="P110" i="19"/>
  <c r="P109" i="19"/>
  <c r="P108" i="19"/>
  <c r="P105" i="19"/>
  <c r="P104" i="19"/>
  <c r="P102" i="19"/>
  <c r="P101" i="19"/>
  <c r="P100" i="19"/>
  <c r="P99" i="19"/>
  <c r="P98" i="19"/>
  <c r="P97" i="19"/>
  <c r="P96" i="19"/>
  <c r="P95" i="19"/>
  <c r="P94" i="19"/>
  <c r="P93" i="19"/>
  <c r="P92" i="19"/>
  <c r="P90" i="19"/>
  <c r="P89" i="19"/>
  <c r="P88" i="19"/>
  <c r="P87" i="19"/>
  <c r="P86" i="19"/>
  <c r="P85" i="19"/>
  <c r="P84" i="19"/>
  <c r="P83" i="19"/>
  <c r="P82" i="19"/>
  <c r="P81" i="19"/>
  <c r="P80" i="19"/>
  <c r="P79" i="19"/>
  <c r="P78" i="19"/>
  <c r="P77" i="19"/>
  <c r="P76" i="19"/>
  <c r="P75" i="19"/>
  <c r="P74" i="19"/>
  <c r="P71" i="19"/>
  <c r="P70" i="19"/>
  <c r="P69" i="19"/>
  <c r="P68" i="19"/>
  <c r="P67" i="19"/>
  <c r="P63" i="19"/>
  <c r="P62" i="19"/>
  <c r="P61" i="19"/>
  <c r="P60" i="19"/>
  <c r="P59" i="19"/>
  <c r="P58" i="19"/>
  <c r="P57" i="19"/>
  <c r="P55" i="19"/>
  <c r="P54" i="19"/>
  <c r="P53" i="19"/>
  <c r="P52" i="19"/>
  <c r="P51" i="19"/>
  <c r="P50" i="19"/>
  <c r="P49" i="19"/>
  <c r="P48" i="19"/>
  <c r="P47" i="19"/>
  <c r="P46" i="19"/>
  <c r="P45" i="19"/>
  <c r="P44" i="19"/>
  <c r="P43" i="19"/>
  <c r="P41" i="19"/>
  <c r="P40" i="19"/>
  <c r="P39" i="19"/>
  <c r="P38" i="19"/>
  <c r="P37" i="19"/>
  <c r="P36" i="19"/>
  <c r="P35" i="19"/>
  <c r="P34" i="19"/>
  <c r="P33" i="19"/>
  <c r="P32" i="19"/>
  <c r="P31" i="19"/>
  <c r="P30" i="19"/>
  <c r="P28" i="19"/>
  <c r="P27" i="19"/>
  <c r="P25" i="19"/>
  <c r="P24" i="19"/>
  <c r="P23" i="19"/>
  <c r="P22" i="19"/>
  <c r="P21" i="19"/>
  <c r="P20" i="19"/>
  <c r="P19" i="19"/>
  <c r="P18" i="19"/>
  <c r="P17" i="19"/>
  <c r="P16" i="19"/>
  <c r="P14" i="19"/>
  <c r="P13" i="19"/>
  <c r="P12" i="19"/>
  <c r="P11" i="19"/>
  <c r="P10" i="19"/>
  <c r="P9" i="19"/>
  <c r="P8" i="19"/>
  <c r="P7" i="19"/>
  <c r="P6" i="19"/>
  <c r="N658" i="19"/>
  <c r="N582" i="19"/>
  <c r="N557" i="19"/>
  <c r="A530" i="19"/>
  <c r="B530" i="19"/>
  <c r="C530" i="19"/>
  <c r="O530" i="19"/>
  <c r="E530" i="19"/>
  <c r="A531" i="19"/>
  <c r="B531" i="19"/>
  <c r="C531" i="19"/>
  <c r="O531" i="19"/>
  <c r="E531" i="19"/>
  <c r="N517" i="19"/>
  <c r="N429" i="19"/>
  <c r="N393" i="19"/>
  <c r="B244" i="19"/>
  <c r="N249" i="19"/>
  <c r="N133" i="19"/>
  <c r="N128" i="19"/>
  <c r="N91" i="19"/>
  <c r="N56" i="19"/>
  <c r="N127" i="19"/>
  <c r="N5" i="19"/>
  <c r="N392" i="19"/>
  <c r="N368" i="19"/>
  <c r="N319" i="19"/>
  <c r="P675" i="19"/>
  <c r="L675" i="19"/>
  <c r="P587" i="19"/>
  <c r="P123" i="19"/>
  <c r="L540" i="19"/>
  <c r="P430" i="19"/>
  <c r="L430" i="19"/>
  <c r="P454" i="19"/>
  <c r="R454" i="19"/>
  <c r="P446" i="19"/>
  <c r="L446" i="19"/>
  <c r="R145" i="19"/>
  <c r="L145" i="19"/>
  <c r="P437" i="19"/>
  <c r="P517" i="19"/>
  <c r="P526" i="19"/>
  <c r="L526" i="19"/>
  <c r="P582" i="19"/>
  <c r="P464" i="19"/>
  <c r="P380" i="19"/>
  <c r="L380" i="19"/>
  <c r="P532" i="19"/>
  <c r="L532" i="19"/>
  <c r="P507" i="19"/>
  <c r="P393" i="19"/>
  <c r="P410" i="19"/>
  <c r="P557" i="19"/>
  <c r="P491" i="19"/>
  <c r="P340" i="19"/>
  <c r="P550" i="19"/>
  <c r="P350" i="19"/>
  <c r="P369" i="19"/>
  <c r="P423" i="19"/>
  <c r="L423" i="19"/>
  <c r="P658" i="19"/>
  <c r="L658" i="19"/>
  <c r="P571" i="19"/>
  <c r="P170" i="19"/>
  <c r="P189" i="19"/>
  <c r="P223" i="19"/>
  <c r="P293" i="19"/>
  <c r="P164" i="19"/>
  <c r="P152" i="19"/>
  <c r="P285" i="19"/>
  <c r="L285" i="19"/>
  <c r="P304" i="19"/>
  <c r="P182" i="19"/>
  <c r="P320" i="19"/>
  <c r="R320" i="19"/>
  <c r="P193" i="19"/>
  <c r="P227" i="19"/>
  <c r="P297" i="19"/>
  <c r="P175" i="19"/>
  <c r="P309" i="19"/>
  <c r="P249" i="19"/>
  <c r="P15" i="19"/>
  <c r="P241" i="19"/>
  <c r="P326" i="19"/>
  <c r="P128" i="19"/>
  <c r="P119" i="19"/>
  <c r="L119" i="19"/>
  <c r="P139" i="19"/>
  <c r="P73" i="19"/>
  <c r="P91" i="19"/>
  <c r="P66" i="19"/>
  <c r="P107" i="19"/>
  <c r="R107" i="19"/>
  <c r="P103" i="19"/>
  <c r="R103" i="19"/>
  <c r="P133" i="19"/>
  <c r="P29" i="19"/>
  <c r="P56" i="19"/>
  <c r="P42" i="19"/>
  <c r="P5" i="19"/>
  <c r="L5" i="19"/>
  <c r="L669" i="19"/>
  <c r="R675" i="19"/>
  <c r="L66" i="19"/>
  <c r="R66" i="19"/>
  <c r="R430" i="19"/>
  <c r="R380" i="19"/>
  <c r="R526" i="19"/>
  <c r="L454" i="19"/>
  <c r="R532" i="19"/>
  <c r="R446" i="19"/>
  <c r="R557" i="19"/>
  <c r="L557" i="19"/>
  <c r="R464" i="19"/>
  <c r="L464" i="19"/>
  <c r="R491" i="19"/>
  <c r="L491" i="19"/>
  <c r="R582" i="19"/>
  <c r="L582" i="19"/>
  <c r="R540" i="19"/>
  <c r="R571" i="19"/>
  <c r="L571" i="19"/>
  <c r="R550" i="19"/>
  <c r="L550" i="19"/>
  <c r="R507" i="19"/>
  <c r="L507" i="19"/>
  <c r="R517" i="19"/>
  <c r="L517" i="19"/>
  <c r="R658" i="19"/>
  <c r="R91" i="19"/>
  <c r="L91" i="19"/>
  <c r="R249" i="19"/>
  <c r="L249" i="19"/>
  <c r="R304" i="19"/>
  <c r="L304" i="19"/>
  <c r="R309" i="19"/>
  <c r="L309" i="19"/>
  <c r="R340" i="19"/>
  <c r="L340" i="19"/>
  <c r="R437" i="19"/>
  <c r="L437" i="19"/>
  <c r="R56" i="19"/>
  <c r="L56" i="19"/>
  <c r="R175" i="19"/>
  <c r="L175" i="19"/>
  <c r="R139" i="19"/>
  <c r="L139" i="19"/>
  <c r="R164" i="19"/>
  <c r="L164" i="19"/>
  <c r="L103" i="19"/>
  <c r="R326" i="19"/>
  <c r="L326" i="19"/>
  <c r="R193" i="19"/>
  <c r="L193" i="19"/>
  <c r="R223" i="19"/>
  <c r="L223" i="19"/>
  <c r="R152" i="19"/>
  <c r="L152" i="19"/>
  <c r="R297" i="19"/>
  <c r="L297" i="19"/>
  <c r="R369" i="19"/>
  <c r="L369" i="19"/>
  <c r="R119" i="19"/>
  <c r="L107" i="19"/>
  <c r="R241" i="19"/>
  <c r="L241" i="19"/>
  <c r="L320" i="19"/>
  <c r="R189" i="19"/>
  <c r="L189" i="19"/>
  <c r="R410" i="19"/>
  <c r="L410" i="19"/>
  <c r="R73" i="19"/>
  <c r="L73" i="19"/>
  <c r="R133" i="19"/>
  <c r="L133" i="19"/>
  <c r="R227" i="19"/>
  <c r="L227" i="19"/>
  <c r="R293" i="19"/>
  <c r="L293" i="19"/>
  <c r="R350" i="19"/>
  <c r="L350" i="19"/>
  <c r="R128" i="19"/>
  <c r="L128" i="19"/>
  <c r="R423" i="19"/>
  <c r="R182" i="19"/>
  <c r="L182" i="19"/>
  <c r="R170" i="19"/>
  <c r="L170" i="19"/>
  <c r="R393" i="19"/>
  <c r="L393" i="19"/>
  <c r="R5" i="19"/>
  <c r="N4" i="19"/>
  <c r="B321" i="19"/>
  <c r="E425" i="19"/>
  <c r="E426" i="19"/>
  <c r="E427" i="19"/>
  <c r="E428" i="19"/>
  <c r="E424" i="19"/>
  <c r="E410" i="19"/>
  <c r="E411" i="19"/>
  <c r="E412" i="19"/>
  <c r="E413" i="19"/>
  <c r="E414" i="19"/>
  <c r="E415" i="19"/>
  <c r="E416" i="19"/>
  <c r="E417" i="19"/>
  <c r="E418" i="19"/>
  <c r="E419" i="19"/>
  <c r="E420" i="19"/>
  <c r="E421" i="19"/>
  <c r="E422" i="19"/>
  <c r="E423" i="19"/>
  <c r="E404" i="19"/>
  <c r="E405" i="19"/>
  <c r="E406" i="19"/>
  <c r="E407" i="19"/>
  <c r="E408" i="19"/>
  <c r="E409" i="19"/>
  <c r="E395" i="19"/>
  <c r="E396" i="19"/>
  <c r="E397" i="19"/>
  <c r="E398" i="19"/>
  <c r="E399" i="19"/>
  <c r="E400" i="19"/>
  <c r="E401" i="19"/>
  <c r="E402" i="19"/>
  <c r="E403" i="19"/>
  <c r="E394" i="19"/>
  <c r="E371" i="19"/>
  <c r="E372" i="19"/>
  <c r="E373" i="19"/>
  <c r="E374" i="19"/>
  <c r="E375" i="19"/>
  <c r="E376" i="19"/>
  <c r="E377" i="19"/>
  <c r="E378" i="19"/>
  <c r="E379" i="19"/>
  <c r="E380" i="19"/>
  <c r="E381" i="19"/>
  <c r="E382" i="19"/>
  <c r="E383" i="19"/>
  <c r="E384" i="19"/>
  <c r="E385" i="19"/>
  <c r="E386" i="19"/>
  <c r="E387" i="19"/>
  <c r="E388" i="19"/>
  <c r="E389" i="19"/>
  <c r="E390" i="19"/>
  <c r="E391" i="19"/>
  <c r="E370" i="19"/>
  <c r="E359" i="19"/>
  <c r="E360" i="19"/>
  <c r="E361" i="19"/>
  <c r="E362" i="19"/>
  <c r="E363" i="19"/>
  <c r="E364" i="19"/>
  <c r="E365" i="19"/>
  <c r="E366" i="19"/>
  <c r="E367" i="19"/>
  <c r="E352" i="19"/>
  <c r="E353" i="19"/>
  <c r="E354" i="19"/>
  <c r="E355" i="19"/>
  <c r="E356" i="19"/>
  <c r="E357" i="19"/>
  <c r="E358" i="19"/>
  <c r="E351" i="19"/>
  <c r="E347" i="19"/>
  <c r="E348" i="19"/>
  <c r="E349" i="19"/>
  <c r="E342" i="19"/>
  <c r="E343" i="19"/>
  <c r="E344" i="19"/>
  <c r="E345" i="19"/>
  <c r="E346" i="19"/>
  <c r="E341" i="19"/>
  <c r="E340" i="19"/>
  <c r="E350" i="19"/>
  <c r="E327" i="19"/>
  <c r="E328" i="19"/>
  <c r="E329" i="19"/>
  <c r="E330" i="19"/>
  <c r="E331" i="19"/>
  <c r="E333" i="19"/>
  <c r="E334" i="19"/>
  <c r="E335" i="19"/>
  <c r="E336" i="19"/>
  <c r="E316" i="19"/>
  <c r="E337" i="19"/>
  <c r="E338" i="19"/>
  <c r="E339" i="19"/>
  <c r="E322" i="19"/>
  <c r="E323" i="19"/>
  <c r="E324" i="19"/>
  <c r="E325" i="19"/>
  <c r="E311" i="19"/>
  <c r="E314" i="19"/>
  <c r="E315" i="19"/>
  <c r="E310" i="19"/>
  <c r="E306" i="19"/>
  <c r="E307" i="19"/>
  <c r="E308" i="19"/>
  <c r="E305" i="19"/>
  <c r="E299" i="19"/>
  <c r="E300" i="19"/>
  <c r="E301" i="19"/>
  <c r="E302" i="19"/>
  <c r="E303" i="19"/>
  <c r="E298" i="19"/>
  <c r="E295" i="19"/>
  <c r="E296" i="19"/>
  <c r="E294" i="19"/>
  <c r="E287" i="19"/>
  <c r="E288" i="19"/>
  <c r="E289" i="19"/>
  <c r="E290" i="19"/>
  <c r="E291" i="19"/>
  <c r="E292" i="19"/>
  <c r="E286" i="19"/>
  <c r="E267" i="19"/>
  <c r="E268" i="19"/>
  <c r="E269" i="19"/>
  <c r="E270" i="19"/>
  <c r="E271" i="19"/>
  <c r="E272" i="19"/>
  <c r="E273" i="19"/>
  <c r="E274" i="19"/>
  <c r="E275" i="19"/>
  <c r="E276" i="19"/>
  <c r="E277" i="19"/>
  <c r="E278" i="19"/>
  <c r="E279" i="19"/>
  <c r="E280" i="19"/>
  <c r="E281" i="19"/>
  <c r="E282" i="19"/>
  <c r="E283" i="19"/>
  <c r="E284" i="19"/>
  <c r="E251" i="19"/>
  <c r="E252" i="19"/>
  <c r="E253" i="19"/>
  <c r="E254" i="19"/>
  <c r="E255" i="19"/>
  <c r="E256" i="19"/>
  <c r="E257" i="19"/>
  <c r="E258" i="19"/>
  <c r="E259" i="19"/>
  <c r="E260" i="19"/>
  <c r="E261" i="19"/>
  <c r="E262" i="19"/>
  <c r="E263" i="19"/>
  <c r="E264" i="19"/>
  <c r="E265" i="19"/>
  <c r="E266" i="19"/>
  <c r="E250" i="19"/>
  <c r="E243" i="19"/>
  <c r="E244" i="19"/>
  <c r="E245" i="19"/>
  <c r="E246" i="19"/>
  <c r="E247" i="19"/>
  <c r="E248" i="19"/>
  <c r="E242" i="19"/>
  <c r="E229" i="19"/>
  <c r="E230" i="19"/>
  <c r="E231" i="19"/>
  <c r="E232" i="19"/>
  <c r="E233" i="19"/>
  <c r="E234" i="19"/>
  <c r="E235" i="19"/>
  <c r="E236" i="19"/>
  <c r="E237" i="19"/>
  <c r="E238" i="19"/>
  <c r="E239" i="19"/>
  <c r="E228" i="19"/>
  <c r="E225" i="19"/>
  <c r="E226" i="19"/>
  <c r="E224" i="19"/>
  <c r="E222" i="19"/>
  <c r="E203" i="19"/>
  <c r="E204" i="19"/>
  <c r="E205" i="19"/>
  <c r="E206" i="19"/>
  <c r="E207" i="19"/>
  <c r="E208" i="19"/>
  <c r="E209" i="19"/>
  <c r="E210" i="19"/>
  <c r="E211" i="19"/>
  <c r="E212" i="19"/>
  <c r="E213" i="19"/>
  <c r="E214" i="19"/>
  <c r="E215" i="19"/>
  <c r="E216" i="19"/>
  <c r="E217" i="19"/>
  <c r="E218" i="19"/>
  <c r="E219" i="19"/>
  <c r="E220" i="19"/>
  <c r="E221" i="19"/>
  <c r="E195" i="19"/>
  <c r="E196" i="19"/>
  <c r="E197" i="19"/>
  <c r="E198" i="19"/>
  <c r="E199" i="19"/>
  <c r="E200" i="19"/>
  <c r="E201" i="19"/>
  <c r="E202" i="19"/>
  <c r="E194" i="19"/>
  <c r="E191" i="19"/>
  <c r="E192" i="19"/>
  <c r="E190" i="19"/>
  <c r="E184" i="19"/>
  <c r="E185" i="19"/>
  <c r="E186" i="19"/>
  <c r="E187" i="19"/>
  <c r="E188" i="19"/>
  <c r="E183" i="19"/>
  <c r="E177" i="19"/>
  <c r="E178" i="19"/>
  <c r="E179" i="19"/>
  <c r="E180" i="19"/>
  <c r="E181" i="19"/>
  <c r="E176" i="19"/>
  <c r="E172" i="19"/>
  <c r="E173" i="19"/>
  <c r="E174" i="19"/>
  <c r="E171" i="19"/>
  <c r="E166" i="19"/>
  <c r="E167" i="19"/>
  <c r="E168" i="19"/>
  <c r="E169" i="19"/>
  <c r="E165" i="19"/>
  <c r="E163" i="19"/>
  <c r="E154" i="19"/>
  <c r="E155" i="19"/>
  <c r="E156" i="19"/>
  <c r="E157" i="19"/>
  <c r="E158" i="19"/>
  <c r="E159" i="19"/>
  <c r="E160" i="19"/>
  <c r="E161" i="19"/>
  <c r="E162" i="19"/>
  <c r="E153" i="19"/>
  <c r="E147" i="19"/>
  <c r="E148" i="19"/>
  <c r="E149" i="19"/>
  <c r="E150" i="19"/>
  <c r="E151" i="19"/>
  <c r="E146" i="19"/>
  <c r="E141" i="19"/>
  <c r="E142" i="19"/>
  <c r="E143" i="19"/>
  <c r="E140" i="19"/>
  <c r="E135" i="19"/>
  <c r="E136" i="19"/>
  <c r="E137" i="19"/>
  <c r="E138" i="19"/>
  <c r="E130" i="19"/>
  <c r="E131" i="19"/>
  <c r="E132" i="19"/>
  <c r="E129" i="19"/>
  <c r="E125" i="19"/>
  <c r="E126" i="19"/>
  <c r="E124" i="19"/>
  <c r="E120" i="19"/>
  <c r="E109" i="19"/>
  <c r="E110" i="19"/>
  <c r="E111" i="19"/>
  <c r="E112" i="19"/>
  <c r="E113" i="19"/>
  <c r="E114" i="19"/>
  <c r="E115" i="19"/>
  <c r="E116" i="19"/>
  <c r="E117" i="19"/>
  <c r="E118" i="19"/>
  <c r="E105" i="19"/>
  <c r="E93" i="19"/>
  <c r="E94" i="19"/>
  <c r="E95" i="19"/>
  <c r="E96" i="19"/>
  <c r="E97" i="19"/>
  <c r="E98" i="19"/>
  <c r="E99" i="19"/>
  <c r="E100" i="19"/>
  <c r="E101" i="19"/>
  <c r="E102" i="19"/>
  <c r="E92" i="19"/>
  <c r="E84" i="19"/>
  <c r="E85" i="19"/>
  <c r="E86" i="19"/>
  <c r="E87" i="19"/>
  <c r="E88" i="19"/>
  <c r="E89" i="19"/>
  <c r="E90" i="19"/>
  <c r="E75" i="19"/>
  <c r="E76" i="19"/>
  <c r="E77" i="19"/>
  <c r="E78" i="19"/>
  <c r="E79" i="19"/>
  <c r="E80" i="19"/>
  <c r="E81" i="19"/>
  <c r="E82" i="19"/>
  <c r="E83" i="19"/>
  <c r="E74" i="19"/>
  <c r="E68" i="19"/>
  <c r="E69" i="19"/>
  <c r="E70" i="19"/>
  <c r="E71" i="19"/>
  <c r="E72" i="19"/>
  <c r="E58" i="19"/>
  <c r="E59" i="19"/>
  <c r="E60" i="19"/>
  <c r="E61" i="19"/>
  <c r="E62" i="19"/>
  <c r="E63" i="19"/>
  <c r="E57" i="19"/>
  <c r="E44" i="19"/>
  <c r="E45" i="19"/>
  <c r="E46" i="19"/>
  <c r="E47" i="19"/>
  <c r="E48" i="19"/>
  <c r="E49" i="19"/>
  <c r="E50" i="19"/>
  <c r="E51" i="19"/>
  <c r="E52" i="19"/>
  <c r="E53" i="19"/>
  <c r="E54" i="19"/>
  <c r="E55" i="19"/>
  <c r="E31" i="19"/>
  <c r="E32" i="19"/>
  <c r="E33" i="19"/>
  <c r="E34" i="19"/>
  <c r="E35" i="19"/>
  <c r="E36" i="19"/>
  <c r="E37" i="19"/>
  <c r="E38" i="19"/>
  <c r="E39" i="19"/>
  <c r="E40" i="19"/>
  <c r="E41" i="19"/>
  <c r="E30" i="19"/>
  <c r="E17" i="19"/>
  <c r="E18" i="19"/>
  <c r="E19" i="19"/>
  <c r="E20" i="19"/>
  <c r="E21" i="19"/>
  <c r="E22" i="19"/>
  <c r="E23" i="19"/>
  <c r="E24" i="19"/>
  <c r="E25" i="19"/>
  <c r="E26" i="19"/>
  <c r="E27" i="19"/>
  <c r="E28" i="19"/>
  <c r="E16" i="19"/>
  <c r="E7" i="19"/>
  <c r="E8" i="19"/>
  <c r="E9" i="19"/>
  <c r="E10" i="19"/>
  <c r="E11" i="19"/>
  <c r="E12" i="19"/>
  <c r="E13" i="19"/>
  <c r="E14" i="19"/>
  <c r="R669" i="19"/>
  <c r="L673" i="19"/>
  <c r="R667" i="19"/>
  <c r="R673" i="19"/>
  <c r="P144" i="19"/>
  <c r="P127" i="19"/>
  <c r="P65" i="19"/>
  <c r="R65" i="19"/>
  <c r="P429" i="19"/>
  <c r="L429" i="19"/>
  <c r="D12" i="9"/>
  <c r="E12" i="9"/>
  <c r="L629" i="19"/>
  <c r="D17" i="9"/>
  <c r="E17" i="9"/>
  <c r="L607" i="19"/>
  <c r="D16" i="9"/>
  <c r="E16" i="9"/>
  <c r="P368" i="19"/>
  <c r="L368" i="19"/>
  <c r="D10" i="9"/>
  <c r="E10" i="9"/>
  <c r="P556" i="19"/>
  <c r="L556" i="19"/>
  <c r="D14" i="9"/>
  <c r="E14" i="9"/>
  <c r="L587" i="19"/>
  <c r="D15" i="9"/>
  <c r="E15" i="9"/>
  <c r="P319" i="19"/>
  <c r="L319" i="19"/>
  <c r="D9" i="9"/>
  <c r="E9" i="9"/>
  <c r="P445" i="19"/>
  <c r="P392" i="19"/>
  <c r="L392" i="19"/>
  <c r="D11" i="9"/>
  <c r="E11" i="9"/>
  <c r="L144" i="19"/>
  <c r="D7" i="9"/>
  <c r="E7" i="9"/>
  <c r="R127" i="19"/>
  <c r="L127" i="19"/>
  <c r="C460" i="19"/>
  <c r="O460" i="19"/>
  <c r="C519" i="19"/>
  <c r="O519" i="19"/>
  <c r="C520" i="19"/>
  <c r="O520" i="19"/>
  <c r="C521" i="19"/>
  <c r="O521" i="19"/>
  <c r="C522" i="19"/>
  <c r="O522" i="19"/>
  <c r="C523" i="19"/>
  <c r="O523" i="19"/>
  <c r="C524" i="19"/>
  <c r="O524" i="19"/>
  <c r="C525" i="19"/>
  <c r="O525" i="19"/>
  <c r="C518" i="19"/>
  <c r="O518" i="19"/>
  <c r="C509" i="19"/>
  <c r="O509" i="19"/>
  <c r="C510" i="19"/>
  <c r="O510" i="19"/>
  <c r="C511" i="19"/>
  <c r="O511" i="19"/>
  <c r="C512" i="19"/>
  <c r="O512" i="19"/>
  <c r="C513" i="19"/>
  <c r="O513" i="19"/>
  <c r="C514" i="19"/>
  <c r="O514" i="19"/>
  <c r="C515" i="19"/>
  <c r="O515" i="19"/>
  <c r="C516" i="19"/>
  <c r="O516" i="19"/>
  <c r="C508" i="19"/>
  <c r="O508" i="19"/>
  <c r="C493" i="19"/>
  <c r="O493" i="19"/>
  <c r="C494" i="19"/>
  <c r="O494" i="19"/>
  <c r="C495" i="19"/>
  <c r="O495" i="19"/>
  <c r="C496" i="19"/>
  <c r="O496" i="19"/>
  <c r="C497" i="19"/>
  <c r="O497" i="19"/>
  <c r="C498" i="19"/>
  <c r="O498" i="19"/>
  <c r="C499" i="19"/>
  <c r="O499" i="19"/>
  <c r="C500" i="19"/>
  <c r="O500" i="19"/>
  <c r="C501" i="19"/>
  <c r="O501" i="19"/>
  <c r="C502" i="19"/>
  <c r="O502" i="19"/>
  <c r="C503" i="19"/>
  <c r="O503" i="19"/>
  <c r="C504" i="19"/>
  <c r="O504" i="19"/>
  <c r="C505" i="19"/>
  <c r="O505" i="19"/>
  <c r="C506" i="19"/>
  <c r="O506" i="19"/>
  <c r="C492" i="19"/>
  <c r="O492" i="19"/>
  <c r="C490" i="19"/>
  <c r="O490" i="19"/>
  <c r="C481" i="19"/>
  <c r="O481" i="19"/>
  <c r="C482" i="19"/>
  <c r="O482" i="19"/>
  <c r="C483" i="19"/>
  <c r="O483" i="19"/>
  <c r="C484" i="19"/>
  <c r="O484" i="19"/>
  <c r="C485" i="19"/>
  <c r="O485" i="19"/>
  <c r="C486" i="19"/>
  <c r="O486" i="19"/>
  <c r="C487" i="19"/>
  <c r="O487" i="19"/>
  <c r="C488" i="19"/>
  <c r="O488" i="19"/>
  <c r="C489" i="19"/>
  <c r="O489" i="19"/>
  <c r="C466" i="19"/>
  <c r="O466" i="19"/>
  <c r="C467" i="19"/>
  <c r="O467" i="19"/>
  <c r="C468" i="19"/>
  <c r="O468" i="19"/>
  <c r="C469" i="19"/>
  <c r="O469" i="19"/>
  <c r="C470" i="19"/>
  <c r="O470" i="19"/>
  <c r="C471" i="19"/>
  <c r="O471" i="19"/>
  <c r="C472" i="19"/>
  <c r="O472" i="19"/>
  <c r="C473" i="19"/>
  <c r="O473" i="19"/>
  <c r="C474" i="19"/>
  <c r="O474" i="19"/>
  <c r="C475" i="19"/>
  <c r="O475" i="19"/>
  <c r="C476" i="19"/>
  <c r="O476" i="19"/>
  <c r="C477" i="19"/>
  <c r="O477" i="19"/>
  <c r="C478" i="19"/>
  <c r="O478" i="19"/>
  <c r="C479" i="19"/>
  <c r="O479" i="19"/>
  <c r="C480" i="19"/>
  <c r="O480" i="19"/>
  <c r="C465" i="19"/>
  <c r="O465" i="19"/>
  <c r="C456" i="19"/>
  <c r="O456" i="19"/>
  <c r="C457" i="19"/>
  <c r="O457" i="19"/>
  <c r="C458" i="19"/>
  <c r="O458" i="19"/>
  <c r="C459" i="19"/>
  <c r="O459" i="19"/>
  <c r="C461" i="19"/>
  <c r="O461" i="19"/>
  <c r="C462" i="19"/>
  <c r="O462" i="19"/>
  <c r="C463" i="19"/>
  <c r="O463" i="19"/>
  <c r="C455" i="19"/>
  <c r="O455" i="19"/>
  <c r="C448" i="19"/>
  <c r="O448" i="19"/>
  <c r="C449" i="19"/>
  <c r="O449" i="19"/>
  <c r="C450" i="19"/>
  <c r="O450" i="19"/>
  <c r="C451" i="19"/>
  <c r="O451" i="19"/>
  <c r="C452" i="19"/>
  <c r="O452" i="19"/>
  <c r="C453" i="19"/>
  <c r="O453" i="19"/>
  <c r="C447" i="19"/>
  <c r="O447" i="19"/>
  <c r="L65" i="19"/>
  <c r="L664" i="19"/>
  <c r="L667" i="19"/>
  <c r="L445" i="19"/>
  <c r="D13" i="9"/>
  <c r="E13" i="9"/>
  <c r="O454" i="19"/>
  <c r="O464" i="19"/>
  <c r="O446" i="19"/>
  <c r="O507" i="19"/>
  <c r="O491" i="19"/>
  <c r="O517" i="19"/>
  <c r="C367" i="19"/>
  <c r="O367" i="19"/>
  <c r="C104" i="19"/>
  <c r="O104" i="19"/>
  <c r="C105" i="19"/>
  <c r="O105" i="19"/>
  <c r="R664" i="19"/>
  <c r="C454" i="19"/>
  <c r="Q454" i="19"/>
  <c r="Q446" i="19"/>
  <c r="C446" i="19"/>
  <c r="Q517" i="19"/>
  <c r="C517" i="19"/>
  <c r="Q491" i="19"/>
  <c r="C491" i="19"/>
  <c r="Q507" i="19"/>
  <c r="C507" i="19"/>
  <c r="Q464" i="19"/>
  <c r="C464" i="19"/>
  <c r="O103" i="19"/>
  <c r="Q103" i="19"/>
  <c r="O111" i="19"/>
  <c r="O114" i="19"/>
  <c r="C109" i="19"/>
  <c r="O109" i="19"/>
  <c r="C103" i="19"/>
  <c r="B430" i="19"/>
  <c r="B309" i="19"/>
  <c r="B308" i="19"/>
  <c r="A309" i="19"/>
  <c r="B304" i="19"/>
  <c r="A304" i="19"/>
  <c r="B297" i="19"/>
  <c r="B296" i="19"/>
  <c r="A297" i="19"/>
  <c r="B293" i="19"/>
  <c r="A293" i="19"/>
  <c r="A285" i="19"/>
  <c r="B285" i="19"/>
  <c r="E588" i="19"/>
  <c r="E571" i="19"/>
  <c r="E572" i="19"/>
  <c r="E573" i="19"/>
  <c r="E574" i="19"/>
  <c r="E575" i="19"/>
  <c r="E576" i="19"/>
  <c r="E577" i="19"/>
  <c r="E578" i="19"/>
  <c r="E579" i="19"/>
  <c r="E580" i="19"/>
  <c r="E581" i="19"/>
  <c r="E582" i="19"/>
  <c r="E583" i="19"/>
  <c r="E584" i="19"/>
  <c r="E585" i="19"/>
  <c r="E586" i="19"/>
  <c r="E570" i="19"/>
  <c r="E559" i="19"/>
  <c r="E560" i="19"/>
  <c r="E561" i="19"/>
  <c r="E562" i="19"/>
  <c r="E563" i="19"/>
  <c r="E564" i="19"/>
  <c r="E565" i="19"/>
  <c r="E566" i="19"/>
  <c r="E567" i="19"/>
  <c r="E568" i="19"/>
  <c r="E569" i="19"/>
  <c r="E558" i="19"/>
  <c r="E555"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2" i="19"/>
  <c r="E533" i="19"/>
  <c r="E534" i="19"/>
  <c r="E535" i="19"/>
  <c r="E536" i="19"/>
  <c r="E537" i="19"/>
  <c r="E538" i="19"/>
  <c r="E539" i="19"/>
  <c r="E540" i="19"/>
  <c r="E541" i="19"/>
  <c r="E542" i="19"/>
  <c r="E543" i="19"/>
  <c r="E544" i="19"/>
  <c r="E545" i="19"/>
  <c r="E546" i="19"/>
  <c r="E547" i="19"/>
  <c r="E550" i="19"/>
  <c r="E551" i="19"/>
  <c r="E552" i="19"/>
  <c r="E553" i="19"/>
  <c r="E554" i="19"/>
  <c r="E447" i="19"/>
  <c r="E432" i="19"/>
  <c r="E433" i="19"/>
  <c r="E434" i="19"/>
  <c r="E435" i="19"/>
  <c r="E436" i="19"/>
  <c r="E437" i="19"/>
  <c r="E438" i="19"/>
  <c r="E439" i="19"/>
  <c r="E440" i="19"/>
  <c r="E441" i="19"/>
  <c r="E442" i="19"/>
  <c r="E443" i="19"/>
  <c r="E444" i="19"/>
  <c r="E431" i="19"/>
  <c r="E326" i="19"/>
  <c r="E321" i="19"/>
  <c r="E285" i="19"/>
  <c r="A286" i="19"/>
  <c r="B286" i="19"/>
  <c r="C286" i="19"/>
  <c r="O286" i="19"/>
  <c r="A287" i="19"/>
  <c r="B287" i="19"/>
  <c r="C287" i="19"/>
  <c r="O287" i="19"/>
  <c r="A288" i="19"/>
  <c r="B288" i="19"/>
  <c r="C288" i="19"/>
  <c r="O288" i="19"/>
  <c r="A289" i="19"/>
  <c r="B289" i="19"/>
  <c r="C289" i="19"/>
  <c r="O289" i="19"/>
  <c r="A290" i="19"/>
  <c r="B290" i="19"/>
  <c r="C290" i="19"/>
  <c r="O290" i="19"/>
  <c r="A291" i="19"/>
  <c r="B291" i="19"/>
  <c r="C291" i="19"/>
  <c r="O291" i="19"/>
  <c r="A292" i="19"/>
  <c r="B292" i="19"/>
  <c r="C292" i="19"/>
  <c r="O292" i="19"/>
  <c r="E293" i="19"/>
  <c r="A294" i="19"/>
  <c r="B294" i="19"/>
  <c r="C294" i="19"/>
  <c r="O294" i="19"/>
  <c r="A295" i="19"/>
  <c r="B295" i="19"/>
  <c r="C295" i="19"/>
  <c r="O295" i="19"/>
  <c r="A296" i="19"/>
  <c r="C296" i="19"/>
  <c r="O296" i="19"/>
  <c r="E297" i="19"/>
  <c r="A298" i="19"/>
  <c r="B298" i="19"/>
  <c r="C298" i="19"/>
  <c r="O298" i="19"/>
  <c r="A299" i="19"/>
  <c r="B299" i="19"/>
  <c r="C299" i="19"/>
  <c r="O299" i="19"/>
  <c r="A300" i="19"/>
  <c r="B300" i="19"/>
  <c r="C300" i="19"/>
  <c r="O300" i="19"/>
  <c r="A301" i="19"/>
  <c r="B301" i="19"/>
  <c r="C301" i="19"/>
  <c r="O301" i="19"/>
  <c r="A302" i="19"/>
  <c r="B302" i="19"/>
  <c r="C302" i="19"/>
  <c r="O302" i="19"/>
  <c r="A303" i="19"/>
  <c r="B303" i="19"/>
  <c r="C303" i="19"/>
  <c r="O303" i="19"/>
  <c r="E304" i="19"/>
  <c r="A305" i="19"/>
  <c r="B305" i="19"/>
  <c r="C305" i="19"/>
  <c r="O305" i="19"/>
  <c r="A306" i="19"/>
  <c r="B306" i="19"/>
  <c r="C306" i="19"/>
  <c r="O306" i="19"/>
  <c r="A307" i="19"/>
  <c r="B307" i="19"/>
  <c r="C307" i="19"/>
  <c r="O307" i="19"/>
  <c r="A308" i="19"/>
  <c r="C308" i="19"/>
  <c r="O308" i="19"/>
  <c r="E309" i="19"/>
  <c r="A310" i="19"/>
  <c r="B310" i="19"/>
  <c r="C310" i="19"/>
  <c r="O310" i="19"/>
  <c r="A311" i="19"/>
  <c r="B311" i="19"/>
  <c r="C311" i="19"/>
  <c r="O311" i="19"/>
  <c r="A314" i="19"/>
  <c r="B314" i="19"/>
  <c r="C314" i="19"/>
  <c r="O314" i="19"/>
  <c r="A315" i="19"/>
  <c r="B315" i="19"/>
  <c r="C315" i="19"/>
  <c r="O315" i="19"/>
  <c r="A316" i="19"/>
  <c r="B316" i="19"/>
  <c r="C316" i="19"/>
  <c r="O316" i="19"/>
  <c r="A284" i="19"/>
  <c r="B284" i="19"/>
  <c r="C284" i="19"/>
  <c r="O284" i="19"/>
  <c r="B258" i="19"/>
  <c r="E249" i="19"/>
  <c r="E152" i="19"/>
  <c r="E164" i="19"/>
  <c r="E170" i="19"/>
  <c r="E175" i="19"/>
  <c r="E182" i="19"/>
  <c r="E189" i="19"/>
  <c r="E193" i="19"/>
  <c r="E223" i="19"/>
  <c r="E227" i="19"/>
  <c r="E73" i="19"/>
  <c r="E91" i="19"/>
  <c r="E103" i="19"/>
  <c r="E104" i="19"/>
  <c r="E106" i="19"/>
  <c r="E107" i="19"/>
  <c r="E108" i="19"/>
  <c r="E119" i="19"/>
  <c r="E121" i="19"/>
  <c r="E122" i="19"/>
  <c r="E123" i="19"/>
  <c r="E127" i="19"/>
  <c r="E128" i="19"/>
  <c r="E133" i="19"/>
  <c r="E134" i="19"/>
  <c r="E139" i="19"/>
  <c r="E67" i="19"/>
  <c r="E43" i="19"/>
  <c r="O6" i="19"/>
  <c r="O293" i="19"/>
  <c r="O297" i="19"/>
  <c r="O304" i="19"/>
  <c r="O309" i="19"/>
  <c r="O285" i="19"/>
  <c r="C285" i="19"/>
  <c r="Q309" i="19"/>
  <c r="C309" i="19"/>
  <c r="Q297" i="19"/>
  <c r="C297" i="19"/>
  <c r="Q304" i="19"/>
  <c r="C304" i="19"/>
  <c r="Q293" i="19"/>
  <c r="C293" i="19"/>
  <c r="C228" i="19"/>
  <c r="O228" i="19"/>
  <c r="B224" i="19"/>
  <c r="B223" i="19"/>
  <c r="A199" i="19"/>
  <c r="B199" i="19"/>
  <c r="C199" i="19"/>
  <c r="O199" i="19"/>
  <c r="A200" i="19"/>
  <c r="A208" i="19"/>
  <c r="B208" i="19"/>
  <c r="C208" i="19"/>
  <c r="O208" i="19"/>
  <c r="A206" i="19"/>
  <c r="B206" i="19"/>
  <c r="C206" i="19"/>
  <c r="O206" i="19"/>
  <c r="A204" i="19"/>
  <c r="B204" i="19"/>
  <c r="C204" i="19"/>
  <c r="O204" i="19"/>
  <c r="A202" i="19"/>
  <c r="B202" i="19"/>
  <c r="C202" i="19"/>
  <c r="O202" i="19"/>
  <c r="B200" i="19"/>
  <c r="C200" i="19"/>
  <c r="O200" i="19"/>
  <c r="A213" i="19"/>
  <c r="B213" i="19"/>
  <c r="C213" i="19"/>
  <c r="O213" i="19"/>
  <c r="A211" i="19"/>
  <c r="B211" i="19"/>
  <c r="C211" i="19"/>
  <c r="O211" i="19"/>
  <c r="A209" i="19"/>
  <c r="B209" i="19"/>
  <c r="C209" i="19"/>
  <c r="O209" i="19"/>
  <c r="A205" i="19"/>
  <c r="B205" i="19"/>
  <c r="C205" i="19"/>
  <c r="O205" i="19"/>
  <c r="A201" i="19"/>
  <c r="B201" i="19"/>
  <c r="C201" i="19"/>
  <c r="O201" i="19"/>
  <c r="L15" i="19"/>
  <c r="C10" i="19"/>
  <c r="O10" i="19"/>
  <c r="R15" i="19"/>
  <c r="N42" i="19"/>
  <c r="N29" i="19"/>
  <c r="R42" i="19"/>
  <c r="L42" i="19"/>
  <c r="R29" i="19"/>
  <c r="L29" i="19"/>
  <c r="O663" i="19"/>
  <c r="O662" i="19"/>
  <c r="O660" i="19"/>
  <c r="O661" i="19"/>
  <c r="O659" i="19"/>
  <c r="O589" i="19"/>
  <c r="O590" i="19"/>
  <c r="O591" i="19"/>
  <c r="O593" i="19"/>
  <c r="O594" i="19"/>
  <c r="O595" i="19"/>
  <c r="O596" i="19"/>
  <c r="C588" i="19"/>
  <c r="O588" i="19"/>
  <c r="O584" i="19"/>
  <c r="C585" i="19"/>
  <c r="O585" i="19"/>
  <c r="C586" i="19"/>
  <c r="O586" i="19"/>
  <c r="O583" i="19"/>
  <c r="C581" i="19"/>
  <c r="O581" i="19"/>
  <c r="C573" i="19"/>
  <c r="O573" i="19"/>
  <c r="C574" i="19"/>
  <c r="O574" i="19"/>
  <c r="C575" i="19"/>
  <c r="O575" i="19"/>
  <c r="C576" i="19"/>
  <c r="O576" i="19"/>
  <c r="C577" i="19"/>
  <c r="O577" i="19"/>
  <c r="C578" i="19"/>
  <c r="O578" i="19"/>
  <c r="C579" i="19"/>
  <c r="O579" i="19"/>
  <c r="C580" i="19"/>
  <c r="O580" i="19"/>
  <c r="C572" i="19"/>
  <c r="O572" i="19"/>
  <c r="C559" i="19"/>
  <c r="O559" i="19"/>
  <c r="C560" i="19"/>
  <c r="O560" i="19"/>
  <c r="C561" i="19"/>
  <c r="O561" i="19"/>
  <c r="C562" i="19"/>
  <c r="O562" i="19"/>
  <c r="C563" i="19"/>
  <c r="O563" i="19"/>
  <c r="C564" i="19"/>
  <c r="O564" i="19"/>
  <c r="C565" i="19"/>
  <c r="O565" i="19"/>
  <c r="C566" i="19"/>
  <c r="O566" i="19"/>
  <c r="C567" i="19"/>
  <c r="O567" i="19"/>
  <c r="C568" i="19"/>
  <c r="O568" i="19"/>
  <c r="C569" i="19"/>
  <c r="O569" i="19"/>
  <c r="C570" i="19"/>
  <c r="O570" i="19"/>
  <c r="C558" i="19"/>
  <c r="O558" i="19"/>
  <c r="C555" i="19"/>
  <c r="O555" i="19"/>
  <c r="C552" i="19"/>
  <c r="O552" i="19"/>
  <c r="C553" i="19"/>
  <c r="O553" i="19"/>
  <c r="C554" i="19"/>
  <c r="O554" i="19"/>
  <c r="C551" i="19"/>
  <c r="O551" i="19"/>
  <c r="B550" i="19"/>
  <c r="C542" i="19"/>
  <c r="O542" i="19"/>
  <c r="C543" i="19"/>
  <c r="O543" i="19"/>
  <c r="C544" i="19"/>
  <c r="O544" i="19"/>
  <c r="C545" i="19"/>
  <c r="O545" i="19"/>
  <c r="C546" i="19"/>
  <c r="O546" i="19"/>
  <c r="C547" i="19"/>
  <c r="O547" i="19"/>
  <c r="C541" i="19"/>
  <c r="O541" i="19"/>
  <c r="O540" i="19"/>
  <c r="B540" i="19"/>
  <c r="C534" i="19"/>
  <c r="O534" i="19"/>
  <c r="C535" i="19"/>
  <c r="O535" i="19"/>
  <c r="C536" i="19"/>
  <c r="O536" i="19"/>
  <c r="C537" i="19"/>
  <c r="O537" i="19"/>
  <c r="C538" i="19"/>
  <c r="O538" i="19"/>
  <c r="C539" i="19"/>
  <c r="O539" i="19"/>
  <c r="C533" i="19"/>
  <c r="O533" i="19"/>
  <c r="B532" i="19"/>
  <c r="C528" i="19"/>
  <c r="O528" i="19"/>
  <c r="C529" i="19"/>
  <c r="O529" i="19"/>
  <c r="C527" i="19"/>
  <c r="O527" i="19"/>
  <c r="B526" i="19"/>
  <c r="B517" i="19"/>
  <c r="B507" i="19"/>
  <c r="B491" i="19"/>
  <c r="B464" i="19"/>
  <c r="B454" i="19"/>
  <c r="C439" i="19"/>
  <c r="O439" i="19"/>
  <c r="C440" i="19"/>
  <c r="O440" i="19"/>
  <c r="C441" i="19"/>
  <c r="O441" i="19"/>
  <c r="C442" i="19"/>
  <c r="O442" i="19"/>
  <c r="C443" i="19"/>
  <c r="O443" i="19"/>
  <c r="C444" i="19"/>
  <c r="O444" i="19"/>
  <c r="C438" i="19"/>
  <c r="O438" i="19"/>
  <c r="C435" i="19"/>
  <c r="O435" i="19"/>
  <c r="C436" i="19"/>
  <c r="O436" i="19"/>
  <c r="C432" i="19"/>
  <c r="O432" i="19"/>
  <c r="C433" i="19"/>
  <c r="O433" i="19"/>
  <c r="C434" i="19"/>
  <c r="O434" i="19"/>
  <c r="C431" i="19"/>
  <c r="O431" i="19"/>
  <c r="C425" i="19"/>
  <c r="O425" i="19"/>
  <c r="C426" i="19"/>
  <c r="O426" i="19"/>
  <c r="C427" i="19"/>
  <c r="O427" i="19"/>
  <c r="C428" i="19"/>
  <c r="O428" i="19"/>
  <c r="C424" i="19"/>
  <c r="O424" i="19"/>
  <c r="B423" i="19"/>
  <c r="C412" i="19"/>
  <c r="O412" i="19"/>
  <c r="C413" i="19"/>
  <c r="O413" i="19"/>
  <c r="C414" i="19"/>
  <c r="O414" i="19"/>
  <c r="C415" i="19"/>
  <c r="O415" i="19"/>
  <c r="C416" i="19"/>
  <c r="O416" i="19"/>
  <c r="C417" i="19"/>
  <c r="O417" i="19"/>
  <c r="C418" i="19"/>
  <c r="O418" i="19"/>
  <c r="C419" i="19"/>
  <c r="O419" i="19"/>
  <c r="C420" i="19"/>
  <c r="O420" i="19"/>
  <c r="C421" i="19"/>
  <c r="O421" i="19"/>
  <c r="C422" i="19"/>
  <c r="O422" i="19"/>
  <c r="C411" i="19"/>
  <c r="O411" i="19"/>
  <c r="B410" i="19"/>
  <c r="C395" i="19"/>
  <c r="O395" i="19"/>
  <c r="C396" i="19"/>
  <c r="O396" i="19"/>
  <c r="C397" i="19"/>
  <c r="O397" i="19"/>
  <c r="C398" i="19"/>
  <c r="O398" i="19"/>
  <c r="C399" i="19"/>
  <c r="O399" i="19"/>
  <c r="C400" i="19"/>
  <c r="O400" i="19"/>
  <c r="C401" i="19"/>
  <c r="O401" i="19"/>
  <c r="C402" i="19"/>
  <c r="O402" i="19"/>
  <c r="C403" i="19"/>
  <c r="O403" i="19"/>
  <c r="C404" i="19"/>
  <c r="O404" i="19"/>
  <c r="C405" i="19"/>
  <c r="O405" i="19"/>
  <c r="C406" i="19"/>
  <c r="O406" i="19"/>
  <c r="C407" i="19"/>
  <c r="O407" i="19"/>
  <c r="C408" i="19"/>
  <c r="O408" i="19"/>
  <c r="C409" i="19"/>
  <c r="O409" i="19"/>
  <c r="C394" i="19"/>
  <c r="O394" i="19"/>
  <c r="C391" i="19"/>
  <c r="O391" i="19"/>
  <c r="C382" i="19"/>
  <c r="O382" i="19"/>
  <c r="C383" i="19"/>
  <c r="O383" i="19"/>
  <c r="C384" i="19"/>
  <c r="O384" i="19"/>
  <c r="C385" i="19"/>
  <c r="O385" i="19"/>
  <c r="C386" i="19"/>
  <c r="O386" i="19"/>
  <c r="C387" i="19"/>
  <c r="O387" i="19"/>
  <c r="C388" i="19"/>
  <c r="O388" i="19"/>
  <c r="C389" i="19"/>
  <c r="O389" i="19"/>
  <c r="C390" i="19"/>
  <c r="O390" i="19"/>
  <c r="C381" i="19"/>
  <c r="O381" i="19"/>
  <c r="C371" i="19"/>
  <c r="O371" i="19"/>
  <c r="C372" i="19"/>
  <c r="O372" i="19"/>
  <c r="C373" i="19"/>
  <c r="O373" i="19"/>
  <c r="C374" i="19"/>
  <c r="O374" i="19"/>
  <c r="C375" i="19"/>
  <c r="O375" i="19"/>
  <c r="C376" i="19"/>
  <c r="O376" i="19"/>
  <c r="C377" i="19"/>
  <c r="O377" i="19"/>
  <c r="C378" i="19"/>
  <c r="O378" i="19"/>
  <c r="C379" i="19"/>
  <c r="O379" i="19"/>
  <c r="C370" i="19"/>
  <c r="O370" i="19"/>
  <c r="C352" i="19"/>
  <c r="O352" i="19"/>
  <c r="C353" i="19"/>
  <c r="O353" i="19"/>
  <c r="C354" i="19"/>
  <c r="O354" i="19"/>
  <c r="C355" i="19"/>
  <c r="O355" i="19"/>
  <c r="C356" i="19"/>
  <c r="O356" i="19"/>
  <c r="C357" i="19"/>
  <c r="O357" i="19"/>
  <c r="C358" i="19"/>
  <c r="O358" i="19"/>
  <c r="C359" i="19"/>
  <c r="O359" i="19"/>
  <c r="C360" i="19"/>
  <c r="O360" i="19"/>
  <c r="C361" i="19"/>
  <c r="O361" i="19"/>
  <c r="C362" i="19"/>
  <c r="O362" i="19"/>
  <c r="C363" i="19"/>
  <c r="O363" i="19"/>
  <c r="C364" i="19"/>
  <c r="O364" i="19"/>
  <c r="C365" i="19"/>
  <c r="O365" i="19"/>
  <c r="C366" i="19"/>
  <c r="O366" i="19"/>
  <c r="C351" i="19"/>
  <c r="O351" i="19"/>
  <c r="C342" i="19"/>
  <c r="O342" i="19"/>
  <c r="C343" i="19"/>
  <c r="O343" i="19"/>
  <c r="C344" i="19"/>
  <c r="O344" i="19"/>
  <c r="C345" i="19"/>
  <c r="O345" i="19"/>
  <c r="C346" i="19"/>
  <c r="O346" i="19"/>
  <c r="C347" i="19"/>
  <c r="O347" i="19"/>
  <c r="C348" i="19"/>
  <c r="O348" i="19"/>
  <c r="C349" i="19"/>
  <c r="O349" i="19"/>
  <c r="C341" i="19"/>
  <c r="O341" i="19"/>
  <c r="C328" i="19"/>
  <c r="O328" i="19"/>
  <c r="C329" i="19"/>
  <c r="O329" i="19"/>
  <c r="C330" i="19"/>
  <c r="O330" i="19"/>
  <c r="C331" i="19"/>
  <c r="O331" i="19"/>
  <c r="C333" i="19"/>
  <c r="O333" i="19"/>
  <c r="C334" i="19"/>
  <c r="O334" i="19"/>
  <c r="C335" i="19"/>
  <c r="O335" i="19"/>
  <c r="C336" i="19"/>
  <c r="O336" i="19"/>
  <c r="C337" i="19"/>
  <c r="O337" i="19"/>
  <c r="C338" i="19"/>
  <c r="O338" i="19"/>
  <c r="C339" i="19"/>
  <c r="O339" i="19"/>
  <c r="C327" i="19"/>
  <c r="O327" i="19"/>
  <c r="C322" i="19"/>
  <c r="O322" i="19"/>
  <c r="C323" i="19"/>
  <c r="O323" i="19"/>
  <c r="C324" i="19"/>
  <c r="O324" i="19"/>
  <c r="C325" i="19"/>
  <c r="O325" i="19"/>
  <c r="C321" i="19"/>
  <c r="O321" i="19"/>
  <c r="C279" i="19"/>
  <c r="O279" i="19"/>
  <c r="C280" i="19"/>
  <c r="O280" i="19"/>
  <c r="C281" i="19"/>
  <c r="O281" i="19"/>
  <c r="C282" i="19"/>
  <c r="O282" i="19"/>
  <c r="C283" i="19"/>
  <c r="O283" i="19"/>
  <c r="C273" i="19"/>
  <c r="O273" i="19"/>
  <c r="C274" i="19"/>
  <c r="O274" i="19"/>
  <c r="C275" i="19"/>
  <c r="O275" i="19"/>
  <c r="C276" i="19"/>
  <c r="O276" i="19"/>
  <c r="C277" i="19"/>
  <c r="O277" i="19"/>
  <c r="C278" i="19"/>
  <c r="O278" i="19"/>
  <c r="C263" i="19"/>
  <c r="O263" i="19"/>
  <c r="C264" i="19"/>
  <c r="O264" i="19"/>
  <c r="C265" i="19"/>
  <c r="O265" i="19"/>
  <c r="C266" i="19"/>
  <c r="O266" i="19"/>
  <c r="C267" i="19"/>
  <c r="O267" i="19"/>
  <c r="C268" i="19"/>
  <c r="O268" i="19"/>
  <c r="C269" i="19"/>
  <c r="O269" i="19"/>
  <c r="C270" i="19"/>
  <c r="O270" i="19"/>
  <c r="C271" i="19"/>
  <c r="O271" i="19"/>
  <c r="C272" i="19"/>
  <c r="O272" i="19"/>
  <c r="C251" i="19"/>
  <c r="O251" i="19"/>
  <c r="C252" i="19"/>
  <c r="O252" i="19"/>
  <c r="C253" i="19"/>
  <c r="O253" i="19"/>
  <c r="C254" i="19"/>
  <c r="O254" i="19"/>
  <c r="C255" i="19"/>
  <c r="O255" i="19"/>
  <c r="C256" i="19"/>
  <c r="O256" i="19"/>
  <c r="C257" i="19"/>
  <c r="O257" i="19"/>
  <c r="C258" i="19"/>
  <c r="O258" i="19"/>
  <c r="C259" i="19"/>
  <c r="O259" i="19"/>
  <c r="C260" i="19"/>
  <c r="O260" i="19"/>
  <c r="C261" i="19"/>
  <c r="O261" i="19"/>
  <c r="C262" i="19"/>
  <c r="O262" i="19"/>
  <c r="C250" i="19"/>
  <c r="O250" i="19"/>
  <c r="C243" i="19"/>
  <c r="O243" i="19"/>
  <c r="C244" i="19"/>
  <c r="O244" i="19"/>
  <c r="C245" i="19"/>
  <c r="O245" i="19"/>
  <c r="C246" i="19"/>
  <c r="O246" i="19"/>
  <c r="C247" i="19"/>
  <c r="O247" i="19"/>
  <c r="C248" i="19"/>
  <c r="O248" i="19"/>
  <c r="C242" i="19"/>
  <c r="O242" i="19"/>
  <c r="C229" i="19"/>
  <c r="O229" i="19"/>
  <c r="C230" i="19"/>
  <c r="O230" i="19"/>
  <c r="C231" i="19"/>
  <c r="O231" i="19"/>
  <c r="C232" i="19"/>
  <c r="O232" i="19"/>
  <c r="C233" i="19"/>
  <c r="O233" i="19"/>
  <c r="C234" i="19"/>
  <c r="O234" i="19"/>
  <c r="C235" i="19"/>
  <c r="O235" i="19"/>
  <c r="C236" i="19"/>
  <c r="O236" i="19"/>
  <c r="C237" i="19"/>
  <c r="O237" i="19"/>
  <c r="C238" i="19"/>
  <c r="O238" i="19"/>
  <c r="C239" i="19"/>
  <c r="O239" i="19"/>
  <c r="C225" i="19"/>
  <c r="O225" i="19"/>
  <c r="C226" i="19"/>
  <c r="O226" i="19"/>
  <c r="C224" i="19"/>
  <c r="O224" i="19"/>
  <c r="C194" i="19"/>
  <c r="O194" i="19"/>
  <c r="C195" i="19"/>
  <c r="O195" i="19"/>
  <c r="C196" i="19"/>
  <c r="O196" i="19"/>
  <c r="C197" i="19"/>
  <c r="O197" i="19"/>
  <c r="C198" i="19"/>
  <c r="O198" i="19"/>
  <c r="C203" i="19"/>
  <c r="O203" i="19"/>
  <c r="C207" i="19"/>
  <c r="O207" i="19"/>
  <c r="C210" i="19"/>
  <c r="O210" i="19"/>
  <c r="C212" i="19"/>
  <c r="O212" i="19"/>
  <c r="C214" i="19"/>
  <c r="O214" i="19"/>
  <c r="C215" i="19"/>
  <c r="O215" i="19"/>
  <c r="C216" i="19"/>
  <c r="O216" i="19"/>
  <c r="C217" i="19"/>
  <c r="O217" i="19"/>
  <c r="C218" i="19"/>
  <c r="O218" i="19"/>
  <c r="C219" i="19"/>
  <c r="O219" i="19"/>
  <c r="C220" i="19"/>
  <c r="O220" i="19"/>
  <c r="C221" i="19"/>
  <c r="O221" i="19"/>
  <c r="C222" i="19"/>
  <c r="O222" i="19"/>
  <c r="C191" i="19"/>
  <c r="O191" i="19"/>
  <c r="C192" i="19"/>
  <c r="O192" i="19"/>
  <c r="C190" i="19"/>
  <c r="O190" i="19"/>
  <c r="C184" i="19"/>
  <c r="O184" i="19"/>
  <c r="C185" i="19"/>
  <c r="O185" i="19"/>
  <c r="C186" i="19"/>
  <c r="O186" i="19"/>
  <c r="C187" i="19"/>
  <c r="O187" i="19"/>
  <c r="C188" i="19"/>
  <c r="O188" i="19"/>
  <c r="C183" i="19"/>
  <c r="O183" i="19"/>
  <c r="C177" i="19"/>
  <c r="O177" i="19"/>
  <c r="C178" i="19"/>
  <c r="O178" i="19"/>
  <c r="C179" i="19"/>
  <c r="O179" i="19"/>
  <c r="C180" i="19"/>
  <c r="O180" i="19"/>
  <c r="C181" i="19"/>
  <c r="O181" i="19"/>
  <c r="C176" i="19"/>
  <c r="O176" i="19"/>
  <c r="C174" i="19"/>
  <c r="O174" i="19"/>
  <c r="C172" i="19"/>
  <c r="O172" i="19"/>
  <c r="C173" i="19"/>
  <c r="O173" i="19"/>
  <c r="C171" i="19"/>
  <c r="O171" i="19"/>
  <c r="C169" i="19"/>
  <c r="O169" i="19"/>
  <c r="C166" i="19"/>
  <c r="O166" i="19"/>
  <c r="C167" i="19"/>
  <c r="O167" i="19"/>
  <c r="C168" i="19"/>
  <c r="O168" i="19"/>
  <c r="C165" i="19"/>
  <c r="O165" i="19"/>
  <c r="C154" i="19"/>
  <c r="O154" i="19"/>
  <c r="C155" i="19"/>
  <c r="O155" i="19"/>
  <c r="C156" i="19"/>
  <c r="O156" i="19"/>
  <c r="C157" i="19"/>
  <c r="O157" i="19"/>
  <c r="C158" i="19"/>
  <c r="O158" i="19"/>
  <c r="C159" i="19"/>
  <c r="O159" i="19"/>
  <c r="C160" i="19"/>
  <c r="O160" i="19"/>
  <c r="C161" i="19"/>
  <c r="O161" i="19"/>
  <c r="C162" i="19"/>
  <c r="O162" i="19"/>
  <c r="C163" i="19"/>
  <c r="O163" i="19"/>
  <c r="C153" i="19"/>
  <c r="O153" i="19"/>
  <c r="C147" i="19"/>
  <c r="O147" i="19"/>
  <c r="C148" i="19"/>
  <c r="O148" i="19"/>
  <c r="C149" i="19"/>
  <c r="O149" i="19"/>
  <c r="C150" i="19"/>
  <c r="O150" i="19"/>
  <c r="C151" i="19"/>
  <c r="O151" i="19"/>
  <c r="C146" i="19"/>
  <c r="O146" i="19"/>
  <c r="C141" i="19"/>
  <c r="O141" i="19"/>
  <c r="C142" i="19"/>
  <c r="O142" i="19"/>
  <c r="C143" i="19"/>
  <c r="O143" i="19"/>
  <c r="C140" i="19"/>
  <c r="O140" i="19"/>
  <c r="C135" i="19"/>
  <c r="O135" i="19"/>
  <c r="C136" i="19"/>
  <c r="O136" i="19"/>
  <c r="C137" i="19"/>
  <c r="O137" i="19"/>
  <c r="C138" i="19"/>
  <c r="O138" i="19"/>
  <c r="C134" i="19"/>
  <c r="O134" i="19"/>
  <c r="C132" i="19"/>
  <c r="O132" i="19"/>
  <c r="C130" i="19"/>
  <c r="O130" i="19"/>
  <c r="C131" i="19"/>
  <c r="O131" i="19"/>
  <c r="C129" i="19"/>
  <c r="O129" i="19"/>
  <c r="C121" i="19"/>
  <c r="O121" i="19"/>
  <c r="C122" i="19"/>
  <c r="O122" i="19"/>
  <c r="C124" i="19"/>
  <c r="O124" i="19"/>
  <c r="C125" i="19"/>
  <c r="O125" i="19"/>
  <c r="C126" i="19"/>
  <c r="O126" i="19"/>
  <c r="C120" i="19"/>
  <c r="O120" i="19"/>
  <c r="C108" i="19"/>
  <c r="O108" i="19"/>
  <c r="O110" i="19"/>
  <c r="O112" i="19"/>
  <c r="O113" i="19"/>
  <c r="O115" i="19"/>
  <c r="O116" i="19"/>
  <c r="O117" i="19"/>
  <c r="O118" i="19"/>
  <c r="C96" i="19"/>
  <c r="O96" i="19"/>
  <c r="C97" i="19"/>
  <c r="O97" i="19"/>
  <c r="C98" i="19"/>
  <c r="O98" i="19"/>
  <c r="C99" i="19"/>
  <c r="O99" i="19"/>
  <c r="C100" i="19"/>
  <c r="O100" i="19"/>
  <c r="C101" i="19"/>
  <c r="O101" i="19"/>
  <c r="C102" i="19"/>
  <c r="O102" i="19"/>
  <c r="C92" i="19"/>
  <c r="O92" i="19"/>
  <c r="C93" i="19"/>
  <c r="O93" i="19"/>
  <c r="C94" i="19"/>
  <c r="O94" i="19"/>
  <c r="C95" i="19"/>
  <c r="O95" i="19"/>
  <c r="C81" i="19"/>
  <c r="O81" i="19"/>
  <c r="C82" i="19"/>
  <c r="O82" i="19"/>
  <c r="C83" i="19"/>
  <c r="O83" i="19"/>
  <c r="C84" i="19"/>
  <c r="O84" i="19"/>
  <c r="C85" i="19"/>
  <c r="O85" i="19"/>
  <c r="C86" i="19"/>
  <c r="O86" i="19"/>
  <c r="C87" i="19"/>
  <c r="O87" i="19"/>
  <c r="C88" i="19"/>
  <c r="O88" i="19"/>
  <c r="C89" i="19"/>
  <c r="O89" i="19"/>
  <c r="C90" i="19"/>
  <c r="O90" i="19"/>
  <c r="C75" i="19"/>
  <c r="O75" i="19"/>
  <c r="C76" i="19"/>
  <c r="O76" i="19"/>
  <c r="C77" i="19"/>
  <c r="O77" i="19"/>
  <c r="C78" i="19"/>
  <c r="O78" i="19"/>
  <c r="C79" i="19"/>
  <c r="O79" i="19"/>
  <c r="C80" i="19"/>
  <c r="O80" i="19"/>
  <c r="C74" i="19"/>
  <c r="O74" i="19"/>
  <c r="C68" i="19"/>
  <c r="O68" i="19"/>
  <c r="O69" i="19"/>
  <c r="C70" i="19"/>
  <c r="O70" i="19"/>
  <c r="C71" i="19"/>
  <c r="O71" i="19"/>
  <c r="C72" i="19"/>
  <c r="O72" i="19"/>
  <c r="C67" i="19"/>
  <c r="O67" i="19"/>
  <c r="C63" i="19"/>
  <c r="O63" i="19"/>
  <c r="C58" i="19"/>
  <c r="O58" i="19"/>
  <c r="C59" i="19"/>
  <c r="O59" i="19"/>
  <c r="C60" i="19"/>
  <c r="O60" i="19"/>
  <c r="C61" i="19"/>
  <c r="O61" i="19"/>
  <c r="C62" i="19"/>
  <c r="O62" i="19"/>
  <c r="C57" i="19"/>
  <c r="O57" i="19"/>
  <c r="C55" i="19"/>
  <c r="O55" i="19"/>
  <c r="C44" i="19"/>
  <c r="O44" i="19"/>
  <c r="C45" i="19"/>
  <c r="O45" i="19"/>
  <c r="C46" i="19"/>
  <c r="O46" i="19"/>
  <c r="C47" i="19"/>
  <c r="O47" i="19"/>
  <c r="C48" i="19"/>
  <c r="O48" i="19"/>
  <c r="C49" i="19"/>
  <c r="O49" i="19"/>
  <c r="C50" i="19"/>
  <c r="O50" i="19"/>
  <c r="C51" i="19"/>
  <c r="O51" i="19"/>
  <c r="C52" i="19"/>
  <c r="O52" i="19"/>
  <c r="C53" i="19"/>
  <c r="O53" i="19"/>
  <c r="C54" i="19"/>
  <c r="O54" i="19"/>
  <c r="C43" i="19"/>
  <c r="O43" i="19"/>
  <c r="C35" i="19"/>
  <c r="O35" i="19"/>
  <c r="C36" i="19"/>
  <c r="O36" i="19"/>
  <c r="C37" i="19"/>
  <c r="O37" i="19"/>
  <c r="C38" i="19"/>
  <c r="O38" i="19"/>
  <c r="C39" i="19"/>
  <c r="O39" i="19"/>
  <c r="C40" i="19"/>
  <c r="O40" i="19"/>
  <c r="C41" i="19"/>
  <c r="O41" i="19"/>
  <c r="C33" i="19"/>
  <c r="O33" i="19"/>
  <c r="C34" i="19"/>
  <c r="O34" i="19"/>
  <c r="C31" i="19"/>
  <c r="O31" i="19"/>
  <c r="C32" i="19"/>
  <c r="O32" i="19"/>
  <c r="C30" i="19"/>
  <c r="O30" i="19"/>
  <c r="C18" i="19"/>
  <c r="O18" i="19"/>
  <c r="C19" i="19"/>
  <c r="O19" i="19"/>
  <c r="C20" i="19"/>
  <c r="O20" i="19"/>
  <c r="C21" i="19"/>
  <c r="O21" i="19"/>
  <c r="C22" i="19"/>
  <c r="O22" i="19"/>
  <c r="C23" i="19"/>
  <c r="O23" i="19"/>
  <c r="C24" i="19"/>
  <c r="O24" i="19"/>
  <c r="C25" i="19"/>
  <c r="O25" i="19"/>
  <c r="C26" i="19"/>
  <c r="O26" i="19"/>
  <c r="C27" i="19"/>
  <c r="O27" i="19"/>
  <c r="C28" i="19"/>
  <c r="O28" i="19"/>
  <c r="C17" i="19"/>
  <c r="O17" i="19"/>
  <c r="C16" i="19"/>
  <c r="O16" i="19"/>
  <c r="C7" i="19"/>
  <c r="O7" i="19"/>
  <c r="C8" i="19"/>
  <c r="O8" i="19"/>
  <c r="C9" i="19"/>
  <c r="O9" i="19"/>
  <c r="C11" i="19"/>
  <c r="O11" i="19"/>
  <c r="C12" i="19"/>
  <c r="O12" i="19"/>
  <c r="C13" i="19"/>
  <c r="O13" i="19"/>
  <c r="C14" i="19"/>
  <c r="O14" i="19"/>
  <c r="B13" i="19"/>
  <c r="B587" i="19"/>
  <c r="B582" i="19"/>
  <c r="B571" i="19"/>
  <c r="A558" i="19"/>
  <c r="B557" i="19"/>
  <c r="B556" i="19"/>
  <c r="B393" i="19"/>
  <c r="B369" i="19"/>
  <c r="B320" i="19"/>
  <c r="B241" i="19"/>
  <c r="B445" i="19"/>
  <c r="B446" i="19"/>
  <c r="B437" i="19"/>
  <c r="B429" i="19"/>
  <c r="B392" i="19"/>
  <c r="B380" i="19"/>
  <c r="B368" i="19"/>
  <c r="B350" i="19"/>
  <c r="B340" i="19"/>
  <c r="B326" i="19"/>
  <c r="B319" i="19"/>
  <c r="B249" i="19"/>
  <c r="B240" i="19"/>
  <c r="A8" i="9"/>
  <c r="B227" i="19"/>
  <c r="B193" i="19"/>
  <c r="B189" i="19"/>
  <c r="B182" i="19"/>
  <c r="B175" i="19"/>
  <c r="B170" i="19"/>
  <c r="B164" i="19"/>
  <c r="B152" i="19"/>
  <c r="B144" i="19"/>
  <c r="B127" i="19"/>
  <c r="B106" i="19"/>
  <c r="B65" i="19"/>
  <c r="B64" i="19"/>
  <c r="A64" i="19"/>
  <c r="A65" i="19"/>
  <c r="B66" i="19"/>
  <c r="B56" i="19"/>
  <c r="A56" i="19"/>
  <c r="B42" i="19"/>
  <c r="A42" i="19"/>
  <c r="B29" i="19"/>
  <c r="A29" i="19"/>
  <c r="A152" i="19"/>
  <c r="B43" i="19"/>
  <c r="B44" i="19"/>
  <c r="B45" i="19"/>
  <c r="B46" i="19"/>
  <c r="B47" i="19"/>
  <c r="B48" i="19"/>
  <c r="B49" i="19"/>
  <c r="B50" i="19"/>
  <c r="B51" i="19"/>
  <c r="B52" i="19"/>
  <c r="B53" i="19"/>
  <c r="B54" i="19"/>
  <c r="B55" i="19"/>
  <c r="B57" i="19"/>
  <c r="B58" i="19"/>
  <c r="B59" i="19"/>
  <c r="B60" i="19"/>
  <c r="B61" i="19"/>
  <c r="B62" i="19"/>
  <c r="B63"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7" i="19"/>
  <c r="B108" i="19"/>
  <c r="B109" i="19"/>
  <c r="B110" i="19"/>
  <c r="B111" i="19"/>
  <c r="B112" i="19"/>
  <c r="B113" i="19"/>
  <c r="B114" i="19"/>
  <c r="B115" i="19"/>
  <c r="B116" i="19"/>
  <c r="B117" i="19"/>
  <c r="B118" i="19"/>
  <c r="B119" i="19"/>
  <c r="B120" i="19"/>
  <c r="B121" i="19"/>
  <c r="B122" i="19"/>
  <c r="B123" i="19"/>
  <c r="B124" i="19"/>
  <c r="B125" i="19"/>
  <c r="B126" i="19"/>
  <c r="B128" i="19"/>
  <c r="B129" i="19"/>
  <c r="B130" i="19"/>
  <c r="B131" i="19"/>
  <c r="B132" i="19"/>
  <c r="B133" i="19"/>
  <c r="B134" i="19"/>
  <c r="B135" i="19"/>
  <c r="B136" i="19"/>
  <c r="B137" i="19"/>
  <c r="B138" i="19"/>
  <c r="B139" i="19"/>
  <c r="B140" i="19"/>
  <c r="B141" i="19"/>
  <c r="B142" i="19"/>
  <c r="B143" i="19"/>
  <c r="B146" i="19"/>
  <c r="B147" i="19"/>
  <c r="B148" i="19"/>
  <c r="B149" i="19"/>
  <c r="B150" i="19"/>
  <c r="B151" i="19"/>
  <c r="B153" i="19"/>
  <c r="B154" i="19"/>
  <c r="B155" i="19"/>
  <c r="B156" i="19"/>
  <c r="B157" i="19"/>
  <c r="B158" i="19"/>
  <c r="B159" i="19"/>
  <c r="B160" i="19"/>
  <c r="B161" i="19"/>
  <c r="B162" i="19"/>
  <c r="B163" i="19"/>
  <c r="B165" i="19"/>
  <c r="B166" i="19"/>
  <c r="B167" i="19"/>
  <c r="B168" i="19"/>
  <c r="B169" i="19"/>
  <c r="B171" i="19"/>
  <c r="B172" i="19"/>
  <c r="B173" i="19"/>
  <c r="B174" i="19"/>
  <c r="B176" i="19"/>
  <c r="B177" i="19"/>
  <c r="B178" i="19"/>
  <c r="B179" i="19"/>
  <c r="B180" i="19"/>
  <c r="B181" i="19"/>
  <c r="B183" i="19"/>
  <c r="B184" i="19"/>
  <c r="B185" i="19"/>
  <c r="B186" i="19"/>
  <c r="B187" i="19"/>
  <c r="B188" i="19"/>
  <c r="B190" i="19"/>
  <c r="B191" i="19"/>
  <c r="B192" i="19"/>
  <c r="B194" i="19"/>
  <c r="B195" i="19"/>
  <c r="B196" i="19"/>
  <c r="B197" i="19"/>
  <c r="B198" i="19"/>
  <c r="B203" i="19"/>
  <c r="B207" i="19"/>
  <c r="B210" i="19"/>
  <c r="B212" i="19"/>
  <c r="B214" i="19"/>
  <c r="B215" i="19"/>
  <c r="B216" i="19"/>
  <c r="B217" i="19"/>
  <c r="B218" i="19"/>
  <c r="B219" i="19"/>
  <c r="B220" i="19"/>
  <c r="B221" i="19"/>
  <c r="B222" i="19"/>
  <c r="B225" i="19"/>
  <c r="B226" i="19"/>
  <c r="B228" i="19"/>
  <c r="B229" i="19"/>
  <c r="B230" i="19"/>
  <c r="B231" i="19"/>
  <c r="B232" i="19"/>
  <c r="B233" i="19"/>
  <c r="B234" i="19"/>
  <c r="B235" i="19"/>
  <c r="B236" i="19"/>
  <c r="B237" i="19"/>
  <c r="B238" i="19"/>
  <c r="B239" i="19"/>
  <c r="B242" i="19"/>
  <c r="B243" i="19"/>
  <c r="B245" i="19"/>
  <c r="B246" i="19"/>
  <c r="B247" i="19"/>
  <c r="B248" i="19"/>
  <c r="B250" i="19"/>
  <c r="B251" i="19"/>
  <c r="B252" i="19"/>
  <c r="B253" i="19"/>
  <c r="B254" i="19"/>
  <c r="B255" i="19"/>
  <c r="B256" i="19"/>
  <c r="B257"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322" i="19"/>
  <c r="B323" i="19"/>
  <c r="B324" i="19"/>
  <c r="B325" i="19"/>
  <c r="B327" i="19"/>
  <c r="B328" i="19"/>
  <c r="B329" i="19"/>
  <c r="B330" i="19"/>
  <c r="B331" i="19"/>
  <c r="B333" i="19"/>
  <c r="B334" i="19"/>
  <c r="B335" i="19"/>
  <c r="B336" i="19"/>
  <c r="B337" i="19"/>
  <c r="B338" i="19"/>
  <c r="B339" i="19"/>
  <c r="B341" i="19"/>
  <c r="B342" i="19"/>
  <c r="B343" i="19"/>
  <c r="B344" i="19"/>
  <c r="B345" i="19"/>
  <c r="B346" i="19"/>
  <c r="B347" i="19"/>
  <c r="B348" i="19"/>
  <c r="B349" i="19"/>
  <c r="B351" i="19"/>
  <c r="B352" i="19"/>
  <c r="B353" i="19"/>
  <c r="B354" i="19"/>
  <c r="B355" i="19"/>
  <c r="B356" i="19"/>
  <c r="B357" i="19"/>
  <c r="B358" i="19"/>
  <c r="B359" i="19"/>
  <c r="B360" i="19"/>
  <c r="B361" i="19"/>
  <c r="B362" i="19"/>
  <c r="B363" i="19"/>
  <c r="B364" i="19"/>
  <c r="B365" i="19"/>
  <c r="B366" i="19"/>
  <c r="B367" i="19"/>
  <c r="B370" i="19"/>
  <c r="B371" i="19"/>
  <c r="B372" i="19"/>
  <c r="B373" i="19"/>
  <c r="B374" i="19"/>
  <c r="B375" i="19"/>
  <c r="B376" i="19"/>
  <c r="B377" i="19"/>
  <c r="B378" i="19"/>
  <c r="B379" i="19"/>
  <c r="B381" i="19"/>
  <c r="B382" i="19"/>
  <c r="B383" i="19"/>
  <c r="B384" i="19"/>
  <c r="B385" i="19"/>
  <c r="B386" i="19"/>
  <c r="B387" i="19"/>
  <c r="B388" i="19"/>
  <c r="B389" i="19"/>
  <c r="B390" i="19"/>
  <c r="B391" i="19"/>
  <c r="B394" i="19"/>
  <c r="B395" i="19"/>
  <c r="B396" i="19"/>
  <c r="B397" i="19"/>
  <c r="B398" i="19"/>
  <c r="B399" i="19"/>
  <c r="B400" i="19"/>
  <c r="B401" i="19"/>
  <c r="B402" i="19"/>
  <c r="B403" i="19"/>
  <c r="B404" i="19"/>
  <c r="B405" i="19"/>
  <c r="B406" i="19"/>
  <c r="B407" i="19"/>
  <c r="B408" i="19"/>
  <c r="B409" i="19"/>
  <c r="B411" i="19"/>
  <c r="B412" i="19"/>
  <c r="B413" i="19"/>
  <c r="B414" i="19"/>
  <c r="B415" i="19"/>
  <c r="B416" i="19"/>
  <c r="B417" i="19"/>
  <c r="B418" i="19"/>
  <c r="B419" i="19"/>
  <c r="B420" i="19"/>
  <c r="B421" i="19"/>
  <c r="B422" i="19"/>
  <c r="B424" i="19"/>
  <c r="B425" i="19"/>
  <c r="B426" i="19"/>
  <c r="B427" i="19"/>
  <c r="B428" i="19"/>
  <c r="B431" i="19"/>
  <c r="B432" i="19"/>
  <c r="B433" i="19"/>
  <c r="B434" i="19"/>
  <c r="B435" i="19"/>
  <c r="B436" i="19"/>
  <c r="B438" i="19"/>
  <c r="B439" i="19"/>
  <c r="B440" i="19"/>
  <c r="B441" i="19"/>
  <c r="B442" i="19"/>
  <c r="B443" i="19"/>
  <c r="B444" i="19"/>
  <c r="B447" i="19"/>
  <c r="B448" i="19"/>
  <c r="B449" i="19"/>
  <c r="B450" i="19"/>
  <c r="B451" i="19"/>
  <c r="B452" i="19"/>
  <c r="B453" i="19"/>
  <c r="B455" i="19"/>
  <c r="B456" i="19"/>
  <c r="B457" i="19"/>
  <c r="B458" i="19"/>
  <c r="B459" i="19"/>
  <c r="B460" i="19"/>
  <c r="B461" i="19"/>
  <c r="B462" i="19"/>
  <c r="B463"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2" i="19"/>
  <c r="B493" i="19"/>
  <c r="B494" i="19"/>
  <c r="B495" i="19"/>
  <c r="B496" i="19"/>
  <c r="B497" i="19"/>
  <c r="B498" i="19"/>
  <c r="B499" i="19"/>
  <c r="B500" i="19"/>
  <c r="B501" i="19"/>
  <c r="B502" i="19"/>
  <c r="B503" i="19"/>
  <c r="B504" i="19"/>
  <c r="B505" i="19"/>
  <c r="B506" i="19"/>
  <c r="B508" i="19"/>
  <c r="B509" i="19"/>
  <c r="B510" i="19"/>
  <c r="B511" i="19"/>
  <c r="B512" i="19"/>
  <c r="B513" i="19"/>
  <c r="B514" i="19"/>
  <c r="B515" i="19"/>
  <c r="B516" i="19"/>
  <c r="B518" i="19"/>
  <c r="B519" i="19"/>
  <c r="B520" i="19"/>
  <c r="B521" i="19"/>
  <c r="B522" i="19"/>
  <c r="B523" i="19"/>
  <c r="B524" i="19"/>
  <c r="B525" i="19"/>
  <c r="B527" i="19"/>
  <c r="B528" i="19"/>
  <c r="B529" i="19"/>
  <c r="B533" i="19"/>
  <c r="B534" i="19"/>
  <c r="B535" i="19"/>
  <c r="B536" i="19"/>
  <c r="B537" i="19"/>
  <c r="B538" i="19"/>
  <c r="B539" i="19"/>
  <c r="B541" i="19"/>
  <c r="B542" i="19"/>
  <c r="B543" i="19"/>
  <c r="B544" i="19"/>
  <c r="B545" i="19"/>
  <c r="B546" i="19"/>
  <c r="B547" i="19"/>
  <c r="B551" i="19"/>
  <c r="B552" i="19"/>
  <c r="B553" i="19"/>
  <c r="B554" i="19"/>
  <c r="B555" i="19"/>
  <c r="B558" i="19"/>
  <c r="B559" i="19"/>
  <c r="B560" i="19"/>
  <c r="B561" i="19"/>
  <c r="B562" i="19"/>
  <c r="B563" i="19"/>
  <c r="B564" i="19"/>
  <c r="B565" i="19"/>
  <c r="B566" i="19"/>
  <c r="B567" i="19"/>
  <c r="B568" i="19"/>
  <c r="B569" i="19"/>
  <c r="B570" i="19"/>
  <c r="B572" i="19"/>
  <c r="B573" i="19"/>
  <c r="B574" i="19"/>
  <c r="B575" i="19"/>
  <c r="B576" i="19"/>
  <c r="B577" i="19"/>
  <c r="B578" i="19"/>
  <c r="B579" i="19"/>
  <c r="B580" i="19"/>
  <c r="B581" i="19"/>
  <c r="B583" i="19"/>
  <c r="B584" i="19"/>
  <c r="B585" i="19"/>
  <c r="B586" i="19"/>
  <c r="B588" i="19"/>
  <c r="B19" i="19"/>
  <c r="B20" i="19"/>
  <c r="B21" i="19"/>
  <c r="B22" i="19"/>
  <c r="B23" i="19"/>
  <c r="B24" i="19"/>
  <c r="B25" i="19"/>
  <c r="B26" i="19"/>
  <c r="B27" i="19"/>
  <c r="B28" i="19"/>
  <c r="B30" i="19"/>
  <c r="B31" i="19"/>
  <c r="B32" i="19"/>
  <c r="B33" i="19"/>
  <c r="B34" i="19"/>
  <c r="B35" i="19"/>
  <c r="B36" i="19"/>
  <c r="B37" i="19"/>
  <c r="B38" i="19"/>
  <c r="B39" i="19"/>
  <c r="B40" i="19"/>
  <c r="B41" i="19"/>
  <c r="B18" i="19"/>
  <c r="B17" i="19"/>
  <c r="B16" i="19"/>
  <c r="B15" i="19"/>
  <c r="B14" i="19"/>
  <c r="B7" i="19"/>
  <c r="B8" i="19"/>
  <c r="B9" i="19"/>
  <c r="B10" i="19"/>
  <c r="B11" i="19"/>
  <c r="B12" i="19"/>
  <c r="B6" i="19"/>
  <c r="R662" i="19"/>
  <c r="P657" i="19"/>
  <c r="L657" i="19"/>
  <c r="D18" i="9"/>
  <c r="E18" i="9"/>
  <c r="L662" i="19"/>
  <c r="O550" i="19"/>
  <c r="O587" i="19"/>
  <c r="O119" i="19"/>
  <c r="P4" i="19"/>
  <c r="L4" i="19"/>
  <c r="D5" i="9"/>
  <c r="E5" i="9"/>
  <c r="O123" i="19"/>
  <c r="O5" i="19"/>
  <c r="C5" i="19"/>
  <c r="A6" i="9"/>
  <c r="O145" i="19"/>
  <c r="C540" i="19"/>
  <c r="O340" i="19"/>
  <c r="C340" i="19"/>
  <c r="O532" i="19"/>
  <c r="C532" i="19"/>
  <c r="O350" i="19"/>
  <c r="O430" i="19"/>
  <c r="Q430" i="19"/>
  <c r="O658" i="19"/>
  <c r="C658" i="19"/>
  <c r="O675" i="19"/>
  <c r="O410" i="19"/>
  <c r="O437" i="19"/>
  <c r="O369" i="19"/>
  <c r="O571" i="19"/>
  <c r="O380" i="19"/>
  <c r="O423" i="19"/>
  <c r="O526" i="19"/>
  <c r="O582" i="19"/>
  <c r="O557" i="19"/>
  <c r="O393" i="19"/>
  <c r="O128" i="19"/>
  <c r="O182" i="19"/>
  <c r="O227" i="19"/>
  <c r="C227" i="19"/>
  <c r="O249" i="19"/>
  <c r="O164" i="19"/>
  <c r="O241" i="19"/>
  <c r="O66" i="19"/>
  <c r="O175" i="19"/>
  <c r="O193" i="19"/>
  <c r="O320" i="19"/>
  <c r="Q320" i="19"/>
  <c r="O223" i="19"/>
  <c r="O152" i="19"/>
  <c r="O170" i="19"/>
  <c r="O189" i="19"/>
  <c r="O326" i="19"/>
  <c r="O139" i="19"/>
  <c r="O107" i="19"/>
  <c r="Q107" i="19"/>
  <c r="O91" i="19"/>
  <c r="O73" i="19"/>
  <c r="O133" i="19"/>
  <c r="O29" i="19"/>
  <c r="O15" i="19"/>
  <c r="O42" i="19"/>
  <c r="O56" i="19"/>
  <c r="A588" i="19"/>
  <c r="A587" i="19"/>
  <c r="A15" i="9"/>
  <c r="A581" i="19"/>
  <c r="A582" i="19"/>
  <c r="A583" i="19"/>
  <c r="A571" i="19"/>
  <c r="A572" i="19"/>
  <c r="A579" i="19"/>
  <c r="A223" i="19"/>
  <c r="A224" i="19"/>
  <c r="A225" i="19"/>
  <c r="A226" i="19"/>
  <c r="A227" i="19"/>
  <c r="A228" i="19"/>
  <c r="A229" i="19"/>
  <c r="A230" i="19"/>
  <c r="A231" i="19"/>
  <c r="A232" i="19"/>
  <c r="A233" i="19"/>
  <c r="A234" i="19"/>
  <c r="A235" i="19"/>
  <c r="A236" i="19"/>
  <c r="A237" i="19"/>
  <c r="A238" i="19"/>
  <c r="A239" i="19"/>
  <c r="A241" i="19"/>
  <c r="A242" i="19"/>
  <c r="A249" i="19"/>
  <c r="A250" i="19"/>
  <c r="A276" i="19"/>
  <c r="A319" i="19"/>
  <c r="A9" i="9"/>
  <c r="A320" i="19"/>
  <c r="A321" i="19"/>
  <c r="A322" i="19"/>
  <c r="A323" i="19"/>
  <c r="A324" i="19"/>
  <c r="A325" i="19"/>
  <c r="A326" i="19"/>
  <c r="A327" i="19"/>
  <c r="A328" i="19"/>
  <c r="A329" i="19"/>
  <c r="A330" i="19"/>
  <c r="A331" i="19"/>
  <c r="A333" i="19"/>
  <c r="A334" i="19"/>
  <c r="A335" i="19"/>
  <c r="A336" i="19"/>
  <c r="A337" i="19"/>
  <c r="A338" i="19"/>
  <c r="A339" i="19"/>
  <c r="A340" i="19"/>
  <c r="A341" i="19"/>
  <c r="A342" i="19"/>
  <c r="A343" i="19"/>
  <c r="A344" i="19"/>
  <c r="A345" i="19"/>
  <c r="A346" i="19"/>
  <c r="A347" i="19"/>
  <c r="A348" i="19"/>
  <c r="A349" i="19"/>
  <c r="A350" i="19"/>
  <c r="A351" i="19"/>
  <c r="A358" i="19"/>
  <c r="A359" i="19"/>
  <c r="A360" i="19"/>
  <c r="A367" i="19"/>
  <c r="A368" i="19"/>
  <c r="A10" i="9"/>
  <c r="A369" i="19"/>
  <c r="A370" i="19"/>
  <c r="A371" i="19"/>
  <c r="A372" i="19"/>
  <c r="A377" i="19"/>
  <c r="A378" i="19"/>
  <c r="A379" i="19"/>
  <c r="A380" i="19"/>
  <c r="A381" i="19"/>
  <c r="A382" i="19"/>
  <c r="A383" i="19"/>
  <c r="A384" i="19"/>
  <c r="A392" i="19"/>
  <c r="A11" i="9"/>
  <c r="A393" i="19"/>
  <c r="A394" i="19"/>
  <c r="A395" i="19"/>
  <c r="A396" i="19"/>
  <c r="A397" i="19"/>
  <c r="A398" i="19"/>
  <c r="A399" i="19"/>
  <c r="A400" i="19"/>
  <c r="A401" i="19"/>
  <c r="A402" i="19"/>
  <c r="A403" i="19"/>
  <c r="A408" i="19"/>
  <c r="A409" i="19"/>
  <c r="A410" i="19"/>
  <c r="A411" i="19"/>
  <c r="A412" i="19"/>
  <c r="A413" i="19"/>
  <c r="A416" i="19"/>
  <c r="A417" i="19"/>
  <c r="A418" i="19"/>
  <c r="A419" i="19"/>
  <c r="A423" i="19"/>
  <c r="A424" i="19"/>
  <c r="A429" i="19"/>
  <c r="A12" i="9"/>
  <c r="A430" i="19"/>
  <c r="A431" i="19"/>
  <c r="A432" i="19"/>
  <c r="A433" i="19"/>
  <c r="A434" i="19"/>
  <c r="A437" i="19"/>
  <c r="A438" i="19"/>
  <c r="A440" i="19"/>
  <c r="A441" i="19"/>
  <c r="A445" i="19"/>
  <c r="A13" i="9"/>
  <c r="A446" i="19"/>
  <c r="A447" i="19"/>
  <c r="A454" i="19"/>
  <c r="A455" i="19"/>
  <c r="A459" i="19"/>
  <c r="A464" i="19"/>
  <c r="A465" i="19"/>
  <c r="A491" i="19"/>
  <c r="A492" i="19"/>
  <c r="A507" i="19"/>
  <c r="A508" i="19"/>
  <c r="A517" i="19"/>
  <c r="A518" i="19"/>
  <c r="A519" i="19"/>
  <c r="A523" i="19"/>
  <c r="A524" i="19"/>
  <c r="A525" i="19"/>
  <c r="A526" i="19"/>
  <c r="A527" i="19"/>
  <c r="A532" i="19"/>
  <c r="A533" i="19"/>
  <c r="A540" i="19"/>
  <c r="A541" i="19"/>
  <c r="A550" i="19"/>
  <c r="A551" i="19"/>
  <c r="A556" i="19"/>
  <c r="A14" i="9"/>
  <c r="A557" i="19"/>
  <c r="A560" i="19"/>
  <c r="A565" i="19"/>
  <c r="A30" i="19"/>
  <c r="A33" i="19"/>
  <c r="A41" i="19"/>
  <c r="A43" i="19"/>
  <c r="A49" i="19"/>
  <c r="A53" i="19"/>
  <c r="A55" i="19"/>
  <c r="A57" i="19"/>
  <c r="A60" i="19"/>
  <c r="A62"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7" i="9"/>
  <c r="A145" i="19"/>
  <c r="A146" i="19"/>
  <c r="A147" i="19"/>
  <c r="A148" i="19"/>
  <c r="A149" i="19"/>
  <c r="A150" i="19"/>
  <c r="A151"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5" i="19"/>
  <c r="A16" i="19"/>
  <c r="A6" i="19"/>
  <c r="B5" i="19"/>
  <c r="B4" i="19"/>
  <c r="A5" i="9"/>
  <c r="A31" i="19"/>
  <c r="A13" i="19"/>
  <c r="A63" i="19"/>
  <c r="A61" i="19"/>
  <c r="A59" i="19"/>
  <c r="A54" i="19"/>
  <c r="A52" i="19"/>
  <c r="A48" i="19"/>
  <c r="A27" i="19"/>
  <c r="C675" i="19"/>
  <c r="Q675" i="19"/>
  <c r="C550" i="19"/>
  <c r="Q550" i="19"/>
  <c r="C66" i="19"/>
  <c r="Q66" i="19"/>
  <c r="Q5" i="19"/>
  <c r="Q340" i="19"/>
  <c r="Q540" i="19"/>
  <c r="C145" i="19"/>
  <c r="Q145" i="19"/>
  <c r="Q227" i="19"/>
  <c r="Q658" i="19"/>
  <c r="Q532" i="19"/>
  <c r="C430" i="19"/>
  <c r="Q73" i="19"/>
  <c r="C73" i="19"/>
  <c r="Q189" i="19"/>
  <c r="C189" i="19"/>
  <c r="Q241" i="19"/>
  <c r="C241" i="19"/>
  <c r="Q582" i="19"/>
  <c r="C582" i="19"/>
  <c r="Q350" i="19"/>
  <c r="C350" i="19"/>
  <c r="Q119" i="19"/>
  <c r="C119" i="19"/>
  <c r="Q170" i="19"/>
  <c r="C170" i="19"/>
  <c r="Q164" i="19"/>
  <c r="C164" i="19"/>
  <c r="Q526" i="19"/>
  <c r="C526" i="19"/>
  <c r="Q91" i="19"/>
  <c r="C91" i="19"/>
  <c r="Q152" i="19"/>
  <c r="C152" i="19"/>
  <c r="Q249" i="19"/>
  <c r="C249" i="19"/>
  <c r="Q423" i="19"/>
  <c r="C423" i="19"/>
  <c r="Q437" i="19"/>
  <c r="O429" i="19"/>
  <c r="C429" i="19"/>
  <c r="B12" i="9"/>
  <c r="C12" i="9"/>
  <c r="C437" i="19"/>
  <c r="Q223" i="19"/>
  <c r="C223" i="19"/>
  <c r="Q380" i="19"/>
  <c r="C380" i="19"/>
  <c r="Q410" i="19"/>
  <c r="C410" i="19"/>
  <c r="C107" i="19"/>
  <c r="C320" i="19"/>
  <c r="Q182" i="19"/>
  <c r="C182" i="19"/>
  <c r="Q139" i="19"/>
  <c r="C139" i="19"/>
  <c r="Q193" i="19"/>
  <c r="C193" i="19"/>
  <c r="Q128" i="19"/>
  <c r="C128" i="19"/>
  <c r="Q571" i="19"/>
  <c r="C571" i="19"/>
  <c r="Q326" i="19"/>
  <c r="C326" i="19"/>
  <c r="Q175" i="19"/>
  <c r="C175" i="19"/>
  <c r="Q393" i="19"/>
  <c r="C393" i="19"/>
  <c r="Q133" i="19"/>
  <c r="C133" i="19"/>
  <c r="Q123" i="19"/>
  <c r="C123" i="19"/>
  <c r="Q557" i="19"/>
  <c r="C557" i="19"/>
  <c r="Q369" i="19"/>
  <c r="C369" i="19"/>
  <c r="Q56" i="19"/>
  <c r="C56" i="19"/>
  <c r="Q42" i="19"/>
  <c r="C42" i="19"/>
  <c r="Q15" i="19"/>
  <c r="C15" i="19"/>
  <c r="Q29" i="19"/>
  <c r="C29" i="19"/>
  <c r="A44" i="19"/>
  <c r="A47" i="19"/>
  <c r="A46" i="19"/>
  <c r="A35" i="19"/>
  <c r="A8" i="19"/>
  <c r="A18" i="19"/>
  <c r="A21" i="19"/>
  <c r="A7" i="19"/>
  <c r="A20" i="19"/>
  <c r="A45" i="19"/>
  <c r="A12" i="19"/>
  <c r="A17" i="19"/>
  <c r="A51" i="19"/>
  <c r="A34" i="19"/>
  <c r="A25" i="19"/>
  <c r="A32" i="19"/>
  <c r="A11" i="19"/>
  <c r="A50" i="19"/>
  <c r="A24" i="19"/>
  <c r="A10" i="19"/>
  <c r="A58" i="19"/>
  <c r="A23" i="19"/>
  <c r="A26" i="19"/>
  <c r="A9" i="19"/>
  <c r="A19" i="19"/>
  <c r="A22" i="19"/>
  <c r="C673" i="19"/>
  <c r="Q673" i="19"/>
  <c r="O144" i="19"/>
  <c r="C144" i="19"/>
  <c r="B7" i="9"/>
  <c r="C7" i="9"/>
  <c r="O106" i="19"/>
  <c r="O127" i="19"/>
  <c r="C127" i="19"/>
  <c r="O65" i="19"/>
  <c r="Q65" i="19"/>
  <c r="C629" i="19"/>
  <c r="B17" i="9"/>
  <c r="C17" i="9"/>
  <c r="G17" i="9"/>
  <c r="C607" i="19"/>
  <c r="B16" i="9"/>
  <c r="C16" i="9"/>
  <c r="G16" i="9"/>
  <c r="C587" i="19"/>
  <c r="B15" i="9"/>
  <c r="C15" i="9"/>
  <c r="O445" i="19"/>
  <c r="C445" i="19"/>
  <c r="B13" i="9"/>
  <c r="C13" i="9"/>
  <c r="O556" i="19"/>
  <c r="C556" i="19"/>
  <c r="B14" i="9"/>
  <c r="C14" i="9"/>
  <c r="O319" i="19"/>
  <c r="O4" i="19"/>
  <c r="C4" i="19"/>
  <c r="B5" i="9"/>
  <c r="C5" i="9"/>
  <c r="O392" i="19"/>
  <c r="C392" i="19"/>
  <c r="B11" i="9"/>
  <c r="C11" i="9"/>
  <c r="O368" i="19"/>
  <c r="C368" i="19"/>
  <c r="B10" i="9"/>
  <c r="C10" i="9"/>
  <c r="A14" i="19"/>
  <c r="A36" i="19"/>
  <c r="C669" i="19"/>
  <c r="Q669" i="19"/>
  <c r="Q127" i="19"/>
  <c r="C319" i="19"/>
  <c r="B9" i="9"/>
  <c r="C9" i="9"/>
  <c r="C65" i="19"/>
  <c r="A37" i="19"/>
  <c r="Q667" i="19"/>
  <c r="C667" i="19"/>
  <c r="Q317" i="19"/>
  <c r="C317" i="19"/>
  <c r="A509" i="19"/>
  <c r="A277" i="19"/>
  <c r="A38" i="19"/>
  <c r="C664" i="19"/>
  <c r="Q664" i="19"/>
  <c r="A40" i="19"/>
  <c r="A39" i="19"/>
  <c r="A278" i="19"/>
  <c r="A511" i="19"/>
  <c r="A510" i="19"/>
  <c r="A243" i="19"/>
  <c r="C662" i="19"/>
  <c r="Q662" i="19"/>
  <c r="O657" i="19"/>
  <c r="C657" i="19"/>
  <c r="B18" i="9"/>
  <c r="C18" i="9"/>
  <c r="G18" i="9"/>
  <c r="A435" i="19"/>
  <c r="A279" i="19"/>
  <c r="A244" i="19"/>
  <c r="A584" i="19"/>
  <c r="A573" i="19"/>
  <c r="A566" i="19"/>
  <c r="A561" i="19"/>
  <c r="A552" i="19"/>
  <c r="A542" i="19"/>
  <c r="A534" i="19"/>
  <c r="A528" i="19"/>
  <c r="A520" i="19"/>
  <c r="A493" i="19"/>
  <c r="A280" i="19"/>
  <c r="A559" i="19"/>
  <c r="A580" i="19"/>
  <c r="A535" i="19"/>
  <c r="A553" i="19"/>
  <c r="A585" i="19"/>
  <c r="A543" i="19"/>
  <c r="A562" i="19"/>
  <c r="A494" i="19"/>
  <c r="A567" i="19"/>
  <c r="A521" i="19"/>
  <c r="A574" i="19"/>
  <c r="A529" i="19"/>
  <c r="A245" i="19"/>
  <c r="A466" i="19"/>
  <c r="A281" i="19"/>
  <c r="A456" i="19"/>
  <c r="A449" i="19"/>
  <c r="A448" i="19"/>
  <c r="A460" i="19"/>
  <c r="A563" i="19"/>
  <c r="A554" i="19"/>
  <c r="A495" i="19"/>
  <c r="A575" i="19"/>
  <c r="A544" i="19"/>
  <c r="A467" i="19"/>
  <c r="A568" i="19"/>
  <c r="A536" i="19"/>
  <c r="A246" i="19"/>
  <c r="A439" i="19"/>
  <c r="A420" i="19"/>
  <c r="A251" i="19"/>
  <c r="D229" i="19"/>
  <c r="A450" i="19"/>
  <c r="A361" i="19"/>
  <c r="A461" i="19"/>
  <c r="A385" i="19"/>
  <c r="A404" i="19"/>
  <c r="A586" i="19"/>
  <c r="A414" i="19"/>
  <c r="A374" i="19"/>
  <c r="A373" i="19"/>
  <c r="A457" i="19"/>
  <c r="A451" i="19"/>
  <c r="A425" i="19"/>
  <c r="A195" i="19"/>
  <c r="A352" i="19"/>
  <c r="A436" i="19"/>
  <c r="A522" i="19"/>
  <c r="A283" i="19"/>
  <c r="A282" i="19"/>
  <c r="A545" i="19"/>
  <c r="A569" i="19"/>
  <c r="A576" i="19"/>
  <c r="A468" i="19"/>
  <c r="A496" i="19"/>
  <c r="A537" i="19"/>
  <c r="A512" i="19"/>
  <c r="A247" i="19"/>
  <c r="A405" i="19"/>
  <c r="A362" i="19"/>
  <c r="A386" i="19"/>
  <c r="D230" i="19"/>
  <c r="A452" i="19"/>
  <c r="A462" i="19"/>
  <c r="A253" i="19"/>
  <c r="A252" i="19"/>
  <c r="A555" i="19"/>
  <c r="A426" i="19"/>
  <c r="A458" i="19"/>
  <c r="A415" i="19"/>
  <c r="A353" i="19"/>
  <c r="A421" i="19"/>
  <c r="A564" i="19"/>
  <c r="A442" i="19"/>
  <c r="A375" i="19"/>
  <c r="A196" i="19"/>
  <c r="A469" i="19"/>
  <c r="A497" i="19"/>
  <c r="A577" i="19"/>
  <c r="A538" i="19"/>
  <c r="A546" i="19"/>
  <c r="A513" i="19"/>
  <c r="A406" i="19"/>
  <c r="A387" i="19"/>
  <c r="D232" i="19"/>
  <c r="D231" i="19"/>
  <c r="A248" i="19"/>
  <c r="A570" i="19"/>
  <c r="A443" i="19"/>
  <c r="A363" i="19"/>
  <c r="A453" i="19"/>
  <c r="A376" i="19"/>
  <c r="A422" i="19"/>
  <c r="A197" i="19"/>
  <c r="A463" i="19"/>
  <c r="A354" i="19"/>
  <c r="A254" i="19"/>
  <c r="A427" i="19"/>
  <c r="A498" i="19"/>
  <c r="A470" i="19"/>
  <c r="A514" i="19"/>
  <c r="A364" i="19"/>
  <c r="A255" i="19"/>
  <c r="A388" i="19"/>
  <c r="A355" i="19"/>
  <c r="A428" i="19"/>
  <c r="A444" i="19"/>
  <c r="A578" i="19"/>
  <c r="A407" i="19"/>
  <c r="A198" i="19"/>
  <c r="A539" i="19"/>
  <c r="A547" i="19"/>
  <c r="A471" i="19"/>
  <c r="A499" i="19"/>
  <c r="A515" i="19"/>
  <c r="A365" i="19"/>
  <c r="A256" i="19"/>
  <c r="A389" i="19"/>
  <c r="A356" i="19"/>
  <c r="A500" i="19"/>
  <c r="A472" i="19"/>
  <c r="A257" i="19"/>
  <c r="A390" i="19"/>
  <c r="A357" i="19"/>
  <c r="A516" i="19"/>
  <c r="A366" i="19"/>
  <c r="A473" i="19"/>
  <c r="A501" i="19"/>
  <c r="A258" i="19"/>
  <c r="A391" i="19"/>
  <c r="A502" i="19"/>
  <c r="A474" i="19"/>
  <c r="A259" i="19"/>
  <c r="A203" i="19"/>
  <c r="A475" i="19"/>
  <c r="A503" i="19"/>
  <c r="A260" i="19"/>
  <c r="A504" i="19"/>
  <c r="A476" i="19"/>
  <c r="A261" i="19"/>
  <c r="A477" i="19"/>
  <c r="A505" i="19"/>
  <c r="A262" i="19"/>
  <c r="A478" i="19"/>
  <c r="A263" i="19"/>
  <c r="A207" i="19"/>
  <c r="A506" i="19"/>
  <c r="A479" i="19"/>
  <c r="A264" i="19"/>
  <c r="G12" i="9"/>
  <c r="A480" i="19"/>
  <c r="A265" i="19"/>
  <c r="G5" i="9"/>
  <c r="G9" i="9"/>
  <c r="G10" i="9"/>
  <c r="G15" i="9"/>
  <c r="G14" i="9"/>
  <c r="A481" i="19"/>
  <c r="A266" i="19"/>
  <c r="G11" i="9"/>
  <c r="G13" i="9"/>
  <c r="G7" i="9"/>
  <c r="A210" i="19"/>
  <c r="A482" i="19"/>
  <c r="A267" i="19"/>
  <c r="A483" i="19"/>
  <c r="A212" i="19"/>
  <c r="A269" i="19"/>
  <c r="A268" i="19"/>
  <c r="A484" i="19"/>
  <c r="A485" i="19"/>
  <c r="A270" i="19"/>
  <c r="A214" i="19"/>
  <c r="A486" i="19"/>
  <c r="A271" i="19"/>
  <c r="A215" i="19"/>
  <c r="A487" i="19"/>
  <c r="A216" i="19"/>
  <c r="A272" i="19"/>
  <c r="A488" i="19"/>
  <c r="A273" i="19"/>
  <c r="A217" i="19"/>
  <c r="A489" i="19"/>
  <c r="A218" i="19"/>
  <c r="A275" i="19"/>
  <c r="A274" i="19"/>
  <c r="A219" i="19"/>
  <c r="A490" i="19"/>
  <c r="A220" i="19"/>
  <c r="A221" i="19"/>
  <c r="A222" i="19"/>
  <c r="Q106" i="19"/>
  <c r="C106" i="19"/>
  <c r="Q285" i="19"/>
  <c r="R285" i="19"/>
  <c r="P240" i="19"/>
  <c r="L240" i="19"/>
  <c r="D8" i="9"/>
  <c r="E8" i="9"/>
  <c r="O240" i="19"/>
  <c r="C240" i="19"/>
  <c r="B8" i="9"/>
  <c r="C8" i="9"/>
  <c r="O64" i="19"/>
  <c r="C64" i="19"/>
  <c r="B6" i="9"/>
  <c r="C6" i="9"/>
  <c r="L123" i="19"/>
  <c r="R123" i="19"/>
  <c r="P106" i="19"/>
  <c r="R106" i="19"/>
  <c r="G8" i="9"/>
  <c r="P64" i="19"/>
  <c r="L64" i="19"/>
  <c r="D6" i="9"/>
  <c r="E6" i="9"/>
  <c r="G6" i="9"/>
  <c r="L10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Gloor René (GRV)</author>
  </authors>
  <commentList>
    <comment ref="G6" authorId="0" shapeId="0" xr:uid="{CFF2CE93-C90F-4B10-9620-0055E9D9F545}">
      <text>
        <r>
          <rPr>
            <b/>
            <sz val="9"/>
            <color indexed="81"/>
            <rFont val="Segoe UI"/>
            <family val="2"/>
          </rPr>
          <t>La charte des valeurs de l'entreprise</t>
        </r>
      </text>
    </comment>
    <comment ref="G11" authorId="0" shapeId="0" xr:uid="{36ED384C-E377-44FB-B84C-1FBAE467F3F0}">
      <text>
        <r>
          <rPr>
            <b/>
            <sz val="9"/>
            <color indexed="81"/>
            <rFont val="Segoe UI"/>
            <family val="2"/>
          </rPr>
          <t>Principes / directives de conduite de l'enterprise</t>
        </r>
      </text>
    </comment>
    <comment ref="G43" authorId="0" shapeId="0" xr:uid="{6D4982A7-2AB8-43AA-848B-B6D7E1B74EAF}">
      <text>
        <r>
          <rPr>
            <b/>
            <sz val="9"/>
            <color indexed="81"/>
            <rFont val="Segoe UI"/>
            <family val="2"/>
          </rPr>
          <t>Définition écrite des objectifs de sécurité de l'entreprise</t>
        </r>
      </text>
    </comment>
    <comment ref="G69" authorId="0" shapeId="0" xr:uid="{7E31E6B7-EE81-4387-BB2A-363B0185FF1E}">
      <text>
        <r>
          <rPr>
            <b/>
            <sz val="9"/>
            <color indexed="81"/>
            <rFont val="Segoe UI"/>
            <family val="2"/>
          </rPr>
          <t>Organigramme de l'entreprise</t>
        </r>
      </text>
    </comment>
    <comment ref="G77" authorId="0" shapeId="0" xr:uid="{67AF0C9E-2504-447C-BF67-6518727F8019}">
      <text>
        <r>
          <rPr>
            <b/>
            <sz val="9"/>
            <color indexed="81"/>
            <rFont val="Segoe UI"/>
            <family val="2"/>
          </rPr>
          <t>- Cahier des charges pour les supérieur
- Cahier des charges pour tout poste sans responsabilité de gestion
- Cahier des charges pour le coordinateur de la sécurité</t>
        </r>
      </text>
    </comment>
    <comment ref="G80" authorId="0" shapeId="0" xr:uid="{3C4F0146-8A17-44CC-B8B7-D6AB09D51570}">
      <text>
        <r>
          <rPr>
            <b/>
            <sz val="9"/>
            <color indexed="81"/>
            <rFont val="Segoe UI"/>
            <family val="2"/>
          </rPr>
          <t>Règlement du personnel de l'entreprise</t>
        </r>
      </text>
    </comment>
    <comment ref="G86" authorId="0" shapeId="0" xr:uid="{135E2ADB-F143-46CF-8150-A98730CD4B2D}">
      <text>
        <r>
          <rPr>
            <b/>
            <sz val="9"/>
            <color indexed="81"/>
            <rFont val="Segoe UI"/>
            <family val="2"/>
          </rPr>
          <t>Autres documents qui réglementent les tâches, les compétences et les responsabilités concernant la sécurité et la santé</t>
        </r>
      </text>
    </comment>
    <comment ref="G104" authorId="0" shapeId="0" xr:uid="{50427B6A-ACE1-49D3-9F72-EE457100BE0E}">
      <text>
        <r>
          <rPr>
            <b/>
            <sz val="9"/>
            <color indexed="81"/>
            <rFont val="Segoe UI"/>
            <family val="2"/>
          </rPr>
          <t>Exemple d'une instruction de travail écrite</t>
        </r>
      </text>
    </comment>
    <comment ref="G106" authorId="0" shapeId="0" xr:uid="{D5C6BCDE-3C3A-4C1F-838A-014F1310EABD}">
      <text>
        <r>
          <rPr>
            <b/>
            <sz val="9"/>
            <color indexed="81"/>
            <rFont val="Segoe UI"/>
            <family val="2"/>
          </rPr>
          <t>Règlement d'entreprise</t>
        </r>
      </text>
    </comment>
    <comment ref="G112" authorId="0" shapeId="0" xr:uid="{09579159-4FFB-41C5-AACE-A58753F555A7}">
      <text>
        <r>
          <rPr>
            <b/>
            <sz val="9"/>
            <color indexed="81"/>
            <rFont val="Segoe UI"/>
            <family val="2"/>
          </rPr>
          <t>Organigramme de l'organisation de la sécurité</t>
        </r>
      </text>
    </comment>
    <comment ref="G122" authorId="0" shapeId="0" xr:uid="{5DE2BBDC-A752-42BC-98EB-1499852BD452}">
      <text>
        <r>
          <rPr>
            <b/>
            <sz val="9"/>
            <color indexed="81"/>
            <rFont val="Segoe UI"/>
            <family val="2"/>
          </rPr>
          <t>Concept de sécurité de l'entreprise</t>
        </r>
      </text>
    </comment>
    <comment ref="G126" authorId="0" shapeId="0" xr:uid="{AA33C362-AE71-4A75-A4D9-EA0B67A14F4B}">
      <text>
        <r>
          <rPr>
            <b/>
            <sz val="9"/>
            <color indexed="81"/>
            <rFont val="Segoe UI"/>
            <family val="2"/>
          </rPr>
          <t>Attestation de formation de sécurité des employés</t>
        </r>
      </text>
    </comment>
    <comment ref="G143" authorId="0" shapeId="0" xr:uid="{BFD260DF-8FCC-4D92-B89C-6D1ECC07DB6B}">
      <text>
        <r>
          <rPr>
            <b/>
            <sz val="9"/>
            <color indexed="81"/>
            <rFont val="Segoe UI"/>
            <family val="2"/>
          </rPr>
          <t>Manuel de sécurité  / Documentation de sécurité pour les employés</t>
        </r>
      </text>
    </comment>
    <comment ref="G160" authorId="0" shapeId="0" xr:uid="{19BC4360-17FF-4729-A4F3-C1C86EEB0AB8}">
      <text>
        <r>
          <rPr>
            <b/>
            <sz val="9"/>
            <color indexed="81"/>
            <rFont val="Segoe UI"/>
            <family val="2"/>
          </rPr>
          <t>Programme d’introduction des nouveaux collaborateurs</t>
        </r>
      </text>
    </comment>
    <comment ref="G167" authorId="0" shapeId="0" xr:uid="{EF18C71A-E46B-4F1A-899D-F5C362914CAA}">
      <text>
        <r>
          <rPr>
            <b/>
            <sz val="9"/>
            <color indexed="81"/>
            <rFont val="Segoe UI"/>
            <family val="2"/>
          </rPr>
          <t>Formulaire d'évaluation durant la période d'essai</t>
        </r>
      </text>
    </comment>
    <comment ref="G172" authorId="0" shapeId="0" xr:uid="{4C2490FE-F98C-40CE-AF47-62856E6CACEE}">
      <text>
        <r>
          <rPr>
            <b/>
            <sz val="9"/>
            <color indexed="81"/>
            <rFont val="Segoe UI"/>
            <family val="2"/>
          </rPr>
          <t>Concept de promotion personnelle, pour autant que les aspects de la sécurité et la santé soient pris en compte</t>
        </r>
      </text>
    </comment>
    <comment ref="G187" authorId="0" shapeId="0" xr:uid="{90DE29A6-077C-4496-835A-64156CD5FC3E}">
      <text>
        <r>
          <rPr>
            <b/>
            <sz val="9"/>
            <color indexed="81"/>
            <rFont val="Segoe UI"/>
            <family val="2"/>
          </rPr>
          <t>Documentation/ formulaire d'évaluation des employés</t>
        </r>
      </text>
    </comment>
    <comment ref="G214" authorId="0" shapeId="0" xr:uid="{CC0F9C6E-AAC9-4865-81AB-3B8F4195B332}">
      <text>
        <r>
          <rPr>
            <b/>
            <sz val="9"/>
            <color indexed="81"/>
            <rFont val="Segoe UI"/>
            <family val="2"/>
          </rPr>
          <t>Journal d'entreprise</t>
        </r>
      </text>
    </comment>
    <comment ref="G242" authorId="0" shapeId="0" xr:uid="{A840724F-083F-4931-9E1E-F983664E11AF}">
      <text>
        <r>
          <rPr>
            <b/>
            <sz val="9"/>
            <color indexed="81"/>
            <rFont val="Segoe UI"/>
            <family val="2"/>
          </rPr>
          <t>Documentation/ formulaire d'évaluation du fournisseur</t>
        </r>
      </text>
    </comment>
    <comment ref="G252" authorId="0" shapeId="0" xr:uid="{2B4C5E02-D7D2-4DAA-9EAD-84E651CEAA6E}">
      <text>
        <r>
          <rPr>
            <b/>
            <sz val="9"/>
            <color indexed="81"/>
            <rFont val="Segoe UI"/>
            <family val="2"/>
          </rPr>
          <t>Éventuelles instructions internes concernant la sécurité et la santé au travail, qui complètent les feuillets d'information et des instructions de travail officielles</t>
        </r>
      </text>
    </comment>
    <comment ref="G301" authorId="0" shapeId="0" xr:uid="{02AD2D01-B9DD-49E5-B3FE-DD3384B42B9F}">
      <text>
        <r>
          <rPr>
            <b/>
            <sz val="9"/>
            <color indexed="81"/>
            <rFont val="Segoe UI"/>
            <family val="2"/>
          </rPr>
          <t>Instructions internes concernant le fonctionnement normal et particulier d'installations, de machines et d'appareils</t>
        </r>
      </text>
    </comment>
    <comment ref="G306" authorId="0" shapeId="0" xr:uid="{C84B293F-A8F8-4FED-9BB7-2E73700DA5AD}">
      <text>
        <r>
          <rPr>
            <b/>
            <sz val="9"/>
            <color indexed="81"/>
            <rFont val="Segoe UI"/>
            <family val="2"/>
          </rPr>
          <t>Instructions internes concernant la maintenance des équipements de travail</t>
        </r>
      </text>
    </comment>
    <comment ref="G313" authorId="0" shapeId="0" xr:uid="{9B315EA7-65D6-4E2C-B6FE-2091D03AE4DE}">
      <text>
        <r>
          <rPr>
            <b/>
            <sz val="9"/>
            <color indexed="81"/>
            <rFont val="Segoe UI"/>
            <family val="2"/>
          </rPr>
          <t>Directives et règles de sécurité en matière de maintenance de bâtiments et d'installations</t>
        </r>
      </text>
    </comment>
    <comment ref="G317" authorId="0" shapeId="0" xr:uid="{1CEF6F4F-6141-43F9-8D13-BE662C09E7BA}">
      <text>
        <r>
          <rPr>
            <b/>
            <sz val="9"/>
            <color indexed="81"/>
            <rFont val="Segoe UI"/>
            <family val="2"/>
          </rPr>
          <t>Listes de contrôle pour la vérification des aspects de sécurité pendant l'acquisition d'équipements de travail</t>
        </r>
      </text>
    </comment>
    <comment ref="G333" authorId="0" shapeId="0" xr:uid="{9382EB24-F6E0-4A48-8B2D-512EA22E2BEF}">
      <text>
        <r>
          <rPr>
            <b/>
            <sz val="9"/>
            <color indexed="81"/>
            <rFont val="Segoe UI"/>
            <family val="2"/>
          </rPr>
          <t>Documentation relative à la détermination des phénomènes dangereux</t>
        </r>
      </text>
    </comment>
    <comment ref="G347" authorId="0" shapeId="0" xr:uid="{C5E828C9-1299-4EA2-98A6-A1C0C918A5DA}">
      <text>
        <r>
          <rPr>
            <b/>
            <sz val="9"/>
            <color indexed="81"/>
            <rFont val="Segoe UI"/>
            <family val="2"/>
          </rPr>
          <t>Documentation procédure appréciation des risques</t>
        </r>
      </text>
    </comment>
    <comment ref="G354" authorId="0" shapeId="0" xr:uid="{5971133E-FAFF-4B90-9D90-1B7A5AA9FDDC}">
      <text>
        <r>
          <rPr>
            <b/>
            <sz val="9"/>
            <color indexed="81"/>
            <rFont val="Segoe UI"/>
            <family val="2"/>
          </rPr>
          <t>Exemple de la documentation des résultats des appréciations des risques</t>
        </r>
      </text>
    </comment>
    <comment ref="G365" authorId="0" shapeId="0" xr:uid="{9D4D95B9-69E2-4995-87C4-8140D51EFE50}">
      <text>
        <r>
          <rPr>
            <b/>
            <sz val="9"/>
            <color indexed="81"/>
            <rFont val="Segoe UI"/>
            <family val="2"/>
          </rPr>
          <t>Documentation relative à l'analyse des incidents</t>
        </r>
      </text>
    </comment>
    <comment ref="G379" authorId="0" shapeId="0" xr:uid="{1ECC179F-6883-4BE4-A106-307DF76EF0EB}">
      <text>
        <r>
          <rPr>
            <b/>
            <sz val="9"/>
            <color indexed="81"/>
            <rFont val="Segoe UI"/>
            <family val="2"/>
          </rPr>
          <t>Stratégie pour la mise en œuvre de mesures de sécurité</t>
        </r>
      </text>
    </comment>
    <comment ref="G404" authorId="0" shapeId="0" xr:uid="{EE8A1E9B-5197-4877-B11D-50AB7575C763}">
      <text>
        <r>
          <rPr>
            <b/>
            <sz val="9"/>
            <color indexed="81"/>
            <rFont val="Segoe UI"/>
            <family val="2"/>
          </rPr>
          <t>Documentation du concept d'intervention d'urgence de l'entreprise</t>
        </r>
      </text>
    </comment>
    <comment ref="G422" authorId="0" shapeId="0" xr:uid="{3B54ACF5-8A69-43AE-91D4-C5BA07AB1B1B}">
      <text>
        <r>
          <rPr>
            <b/>
            <sz val="9"/>
            <color indexed="81"/>
            <rFont val="Segoe UI"/>
            <family val="2"/>
          </rPr>
          <t>Carte d'urgence pour les employés</t>
        </r>
      </text>
    </comment>
    <comment ref="G434" authorId="0" shapeId="0" xr:uid="{1BE529C3-C085-4A2E-B073-7C8B668EB10F}">
      <text>
        <r>
          <rPr>
            <b/>
            <sz val="9"/>
            <color indexed="81"/>
            <rFont val="Segoe UI"/>
            <family val="2"/>
          </rPr>
          <t>Documentation de l'organisation interne de protection contre les incendies</t>
        </r>
      </text>
    </comment>
    <comment ref="G450" authorId="0" shapeId="0" xr:uid="{2D0E1F41-CC02-415F-AE98-76876419D2CA}">
      <text>
        <r>
          <rPr>
            <b/>
            <sz val="9"/>
            <color indexed="81"/>
            <rFont val="Segoe UI"/>
            <family val="2"/>
          </rPr>
          <t>Documentation relative à la gestion des propositions des collaborateurs</t>
        </r>
      </text>
    </comment>
    <comment ref="G550" authorId="0" shapeId="0" xr:uid="{9F582797-E3AE-4D7D-BA43-88D98C7DCF87}">
      <text>
        <r>
          <rPr>
            <b/>
            <sz val="9"/>
            <color indexed="81"/>
            <rFont val="Segoe UI"/>
            <family val="2"/>
          </rPr>
          <t>Documentation relative à la gestion des fiches de données de sécurité des produits et matériaux</t>
        </r>
      </text>
    </comment>
    <comment ref="G574" authorId="0" shapeId="0" xr:uid="{A9C8B3DF-E3E6-4986-A4B2-B9C39C0B5992}">
      <text>
        <r>
          <rPr>
            <b/>
            <sz val="9"/>
            <color indexed="81"/>
            <rFont val="Segoe UI"/>
            <family val="2"/>
          </rPr>
          <t>Concept de contrôle ou de surveillance en matière de sécurité et de santé du personnel</t>
        </r>
      </text>
    </comment>
    <comment ref="G581" authorId="0" shapeId="0" xr:uid="{FFFB64E2-DF28-49D4-BCE5-80784D10C474}">
      <text>
        <r>
          <rPr>
            <b/>
            <sz val="9"/>
            <color indexed="81"/>
            <rFont val="Segoe UI"/>
            <family val="2"/>
          </rPr>
          <t>Procédure des audits de sécurité</t>
        </r>
      </text>
    </comment>
    <comment ref="G584" authorId="0" shapeId="0" xr:uid="{FEDA7A9C-741E-46D8-8F96-C063CE1352C4}">
      <text>
        <r>
          <rPr>
            <b/>
            <sz val="9"/>
            <color indexed="81"/>
            <rFont val="Segoe UI"/>
            <family val="2"/>
          </rPr>
          <t>Exemple d'un protocole d'audit de sécurité</t>
        </r>
      </text>
    </comment>
    <comment ref="G612" authorId="0" shapeId="0" xr:uid="{E35F7170-9976-4E32-93F3-7F0A6F1F0DC5}">
      <text>
        <r>
          <rPr>
            <b/>
            <sz val="9"/>
            <color indexed="81"/>
            <rFont val="Segoe UI"/>
            <family val="2"/>
          </rPr>
          <t>Lignes directrices concernant la gestion des absences</t>
        </r>
      </text>
    </comment>
    <comment ref="G614" authorId="0" shapeId="0" xr:uid="{05F2ACB8-F88F-47E8-9C5E-D65DA55AB098}">
      <text>
        <r>
          <rPr>
            <b/>
            <sz val="9"/>
            <color indexed="81"/>
            <rFont val="Segoe UI"/>
            <family val="2"/>
          </rPr>
          <t>Objectifs et chiffres indicateurs sociaux de la gestion des absences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Herger Lorenz (H1L)</author>
    <author>Gloor René (GRV)</author>
  </authors>
  <commentList>
    <comment ref="A2" authorId="0" shapeId="0" xr:uid="{00000000-0006-0000-0800-000001000000}">
      <text>
        <r>
          <rPr>
            <b/>
            <sz val="9"/>
            <color indexed="81"/>
            <rFont val="Segoe UI"/>
            <family val="2"/>
          </rPr>
          <t>Farbkonzept: 
Gelb: Automatisch aus SB übernommen
Grün: Durch PM ausfüllbar (0-1)
Grau: Rechenwerk für Spider
Dunkelgrau: Rechenwerk für spider, Punkte werden für "Nein" Vergeben
Braun: Auswertung Kapitel
Orange: Auswertung Unterkapitel</t>
        </r>
        <r>
          <rPr>
            <sz val="9"/>
            <color indexed="81"/>
            <rFont val="Segoe UI"/>
            <family val="2"/>
          </rPr>
          <t xml:space="preserve">
</t>
        </r>
      </text>
    </comment>
    <comment ref="D3" authorId="1" shapeId="0" xr:uid="{F4BE724B-4D28-45F0-B681-DFEA79079728}">
      <text>
        <r>
          <rPr>
            <b/>
            <sz val="9"/>
            <color indexed="81"/>
            <rFont val="Segoe UI"/>
            <family val="2"/>
          </rPr>
          <t xml:space="preserve">*: Frage wurde nicht beantwortet. (Ja-Feld und Nein-Feld sind leer)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Herger Lorenz (H1L)</author>
  </authors>
  <commentList>
    <comment ref="A3" authorId="0" shapeId="0" xr:uid="{00000000-0006-0000-0900-000001000000}">
      <text>
        <r>
          <rPr>
            <b/>
            <sz val="9"/>
            <color indexed="81"/>
            <rFont val="Segoe UI"/>
            <family val="2"/>
          </rPr>
          <t xml:space="preserve">Farbkonzept: 
Grün: Durch PM ausfüllbar (0%-100%)
Grau: Rechenwerk für Spider
</t>
        </r>
      </text>
    </comment>
    <comment ref="A9" authorId="0" shapeId="0" xr:uid="{00000000-0006-0000-0900-000002000000}">
      <text>
        <r>
          <rPr>
            <b/>
            <sz val="9"/>
            <color indexed="81"/>
            <rFont val="Segoe UI"/>
            <family val="2"/>
          </rPr>
          <t>Zelle hat Punkte wegen negierter Fragestellung (leer bedeutet nein, bedeutet erfüllt).</t>
        </r>
      </text>
    </comment>
    <comment ref="A13" authorId="0" shapeId="0" xr:uid="{00000000-0006-0000-0900-000003000000}">
      <text>
        <r>
          <rPr>
            <b/>
            <sz val="9"/>
            <color indexed="81"/>
            <rFont val="Segoe UI"/>
            <family val="2"/>
          </rPr>
          <t>Zelle hat Punkte wegen negierter Fragestellung (leer bedeutet nein, bedeutet erfüllt).</t>
        </r>
      </text>
    </comment>
  </commentList>
</comments>
</file>

<file path=xl/sharedStrings.xml><?xml version="1.0" encoding="utf-8"?>
<sst xmlns="http://schemas.openxmlformats.org/spreadsheetml/2006/main" count="1797" uniqueCount="1656">
  <si>
    <t>Instructions relatives au questionnaire «Autoévaluation»</t>
  </si>
  <si>
    <r>
      <rPr>
        <b/>
        <sz val="11"/>
        <color theme="1"/>
        <rFont val="Arial"/>
        <family val="2"/>
      </rPr>
      <t>Introduction</t>
    </r>
    <r>
      <rPr>
        <sz val="11"/>
        <color theme="1"/>
        <rFont val="Arial"/>
        <family val="2"/>
      </rPr>
      <t xml:space="preserve">
Vous avez décidé de renforcer de manière systématique la sécurité au travail et la protection de la santé au sein de votre entreprise par le biais du projet «Sécurité intégrée». Dans cette optique, ce questionnaire constitue un outil essentiel. Il vous permet de contrôler l’état actuel de la sécurité au travail et de la protection de la santé au niveau interne et de collecter les informations nécessaires à la réalisation du projet. Les remarques ci-après doivent vous aider à remplir le questionnaire.</t>
    </r>
  </si>
  <si>
    <r>
      <rPr>
        <b/>
        <sz val="11"/>
        <color theme="1"/>
        <rFont val="Arial"/>
        <family val="2"/>
      </rPr>
      <t>1. Structure du questionnaire</t>
    </r>
    <r>
      <rPr>
        <sz val="11"/>
        <color theme="1"/>
        <rFont val="Arial"/>
        <family val="2"/>
      </rPr>
      <t xml:space="preserve">
- Tableaux
  - Informations concernant l’entreprise
  - Personnes clés pour la sécurité au travail
  - Autoévaluation client
  - Aperçu des annexes (à titre informatif)</t>
    </r>
  </si>
  <si>
    <r>
      <rPr>
        <b/>
        <sz val="11"/>
        <color theme="1"/>
        <rFont val="Arial"/>
        <family val="2"/>
      </rPr>
      <t>2. Structure des différents tableaux</t>
    </r>
    <r>
      <rPr>
        <sz val="11"/>
        <color theme="1"/>
        <rFont val="Arial"/>
        <family val="2"/>
      </rPr>
      <t xml:space="preserve">
- Seules les cellules à compléter sont déverrouillées.
  - Les plages des cellules à remplir sont grisées.
  - Les autres plages déverrouillées peuvent être remplies au cas par cas.
- La touche de tabulation permet de passer rapidement d’un champ déverrouillé au suivant. </t>
    </r>
  </si>
  <si>
    <r>
      <rPr>
        <b/>
        <sz val="11"/>
        <color theme="1"/>
        <rFont val="Arial"/>
        <family val="2"/>
      </rPr>
      <t>3. Tableau «Informations concernant l’entreprise»</t>
    </r>
    <r>
      <rPr>
        <sz val="11"/>
        <color theme="1"/>
        <rFont val="Arial"/>
        <family val="2"/>
      </rPr>
      <t xml:space="preserve">
- Complétez la colonne «Saisie client» avec les informations demandées.</t>
    </r>
  </si>
  <si>
    <r>
      <rPr>
        <b/>
        <sz val="11"/>
        <color theme="1"/>
        <rFont val="Arial"/>
        <family val="2"/>
      </rPr>
      <t>4. Tableur «Personnes clés pour la sécurité au travail»</t>
    </r>
    <r>
      <rPr>
        <sz val="11"/>
        <color theme="1"/>
        <rFont val="Arial"/>
        <family val="2"/>
      </rPr>
      <t xml:space="preserve">
- Complétez la colonne «Fonction/Compétence» avec les fonctions existantes au sein de l’entreprise.
- Remplissez la colonne «Nom/Prénom» pour toutes les «Fonctions/Compétences» mentionnées qui existent au sein de l’entreprise.</t>
    </r>
  </si>
  <si>
    <r>
      <rPr>
        <b/>
        <sz val="11"/>
        <color theme="1"/>
        <rFont val="Arial"/>
        <family val="2"/>
      </rPr>
      <t>5. Tableau «Autoévaluation client»</t>
    </r>
    <r>
      <rPr>
        <sz val="11"/>
        <color theme="1"/>
        <rFont val="Arial"/>
        <family val="2"/>
      </rPr>
      <t xml:space="preserve">
- Répondez à toutes les questions par «Oui» ou par «Non» en insérant le symbole «x» dans le champ correspondant.
- Vous pouvez ajouter un commentaire dans la colonne «Remarque client» prévue à cet effet.
- En fonction de votre réponse à certaines questions, un commentaire peut être obligatoire (dans ce cas, la colonne «Remarque client» est grisée).
- Certaines questions sont en plusieurs parties. 
  - Dans ce cas, la question principale est affichée sur fond bleu.</t>
    </r>
  </si>
  <si>
    <r>
      <rPr>
        <b/>
        <sz val="11"/>
        <color theme="1"/>
        <rFont val="Arial"/>
        <family val="2"/>
      </rPr>
      <t>6. Annexes</t>
    </r>
    <r>
      <rPr>
        <sz val="11"/>
        <color theme="1"/>
        <rFont val="Arial"/>
        <family val="2"/>
      </rPr>
      <t xml:space="preserve">
- Certaines questions du tableau «Autoévaluation client» nécessitent impérativement une annexe à des fins de documentation (si disponible). 
  - Le numéro de l’annexe en question est indiqué dans la colonne «Annexe nécessaire».
  - Tous les numéros des annexes sont indiqués dans le tableau «Aperçu des annexes». 
- Des annexes supplémentaires peuvent être jointes en cas de besoin.
- Merci de bien vouloir nous transmettre les annexes si possible au format pdf. </t>
    </r>
  </si>
  <si>
    <t>FO.250.f.V14</t>
  </si>
  <si>
    <t>Fiche signalétique de l'entreprise</t>
  </si>
  <si>
    <t>Saisie client :</t>
  </si>
  <si>
    <t>1. Nom de l'entreprise</t>
  </si>
  <si>
    <t>Exemple SA</t>
  </si>
  <si>
    <t>2. Siège social</t>
  </si>
  <si>
    <t>3. Date de création</t>
  </si>
  <si>
    <t>4. Sites</t>
  </si>
  <si>
    <t>5. Forme juridique</t>
  </si>
  <si>
    <t>6. Propriétaires</t>
  </si>
  <si>
    <t>7. Organes</t>
  </si>
  <si>
    <t>8. Produits</t>
  </si>
  <si>
    <t>9. Clientèle</t>
  </si>
  <si>
    <t>10. Certificats environnementaux et de qualité</t>
  </si>
  <si>
    <t>11. Documents de l'entreprise</t>
  </si>
  <si>
    <t>12. Unités organisationnelles de l'entreprise et
      nombre d'employés dans chaque Unité
      organisationnelle</t>
  </si>
  <si>
    <r>
      <t xml:space="preserve">13. Etendue des responsabilités*
     dans votre entreprise
</t>
    </r>
    <r>
      <rPr>
        <sz val="9"/>
        <color theme="1"/>
        <rFont val="Arial"/>
        <family val="2"/>
      </rPr>
      <t>*Etendue des responsabilités = nombre de collaborateurs directement subordonnés à un supérieur hiérarchique</t>
    </r>
  </si>
  <si>
    <t>au niveau des cadres supérieurs</t>
  </si>
  <si>
    <t>au niveau des cadres moyens</t>
  </si>
  <si>
    <t>au niveau des cadres inférieurs</t>
  </si>
  <si>
    <t>14. Nombre d'employés</t>
  </si>
  <si>
    <t xml:space="preserve">Direction </t>
  </si>
  <si>
    <t>Cadres</t>
  </si>
  <si>
    <t>Collaborateurs</t>
  </si>
  <si>
    <t>Apprentis</t>
  </si>
  <si>
    <t>Total collaborateurs</t>
  </si>
  <si>
    <t>15. Evolution tendancielle Nombre d'employés (en hausse / constant / en diminution)</t>
  </si>
  <si>
    <t>Membres des cadres</t>
  </si>
  <si>
    <t>Total</t>
  </si>
  <si>
    <t>16. Statut de formation des employés (en %)</t>
  </si>
  <si>
    <t>Diplôme universitaire</t>
  </si>
  <si>
    <t>Formation profes-sionnelle supérieure (HES/ETS/ET)</t>
  </si>
  <si>
    <t>Formation professionnelle</t>
  </si>
  <si>
    <t>Formation élémentaire</t>
  </si>
  <si>
    <t>17. Nationalités des employés</t>
  </si>
  <si>
    <t>18. Langues maternelles des employés</t>
  </si>
  <si>
    <t>Interlocuteurs de la sécurité au travail</t>
  </si>
  <si>
    <t>Fonction / compétences</t>
  </si>
  <si>
    <t xml:space="preserve">Nom / prénom </t>
  </si>
  <si>
    <t>Direction</t>
  </si>
  <si>
    <r>
      <t xml:space="preserve">Chef de division  </t>
    </r>
    <r>
      <rPr>
        <b/>
        <sz val="10"/>
        <color theme="1"/>
        <rFont val="Arial"/>
        <family val="2"/>
      </rPr>
      <t>(pour autant que la réponse ne figure pas dans l'organigramme annexé)</t>
    </r>
  </si>
  <si>
    <t>Direction et team de projet IS</t>
  </si>
  <si>
    <t>Organisation de la sécurité</t>
  </si>
  <si>
    <t>Coordinateur de la sécurité</t>
  </si>
  <si>
    <t>Ingénieur de sécurité</t>
  </si>
  <si>
    <t>Chargé de sécurité</t>
  </si>
  <si>
    <t>Assistant de sécurité</t>
  </si>
  <si>
    <t>Coordinateur de l'ergonomie</t>
  </si>
  <si>
    <t>Personne de contact pour les produits chimiques</t>
  </si>
  <si>
    <t>Responsable de la radioprotection</t>
  </si>
  <si>
    <t>Spécialistes MSST</t>
  </si>
  <si>
    <t>Service du personnel</t>
  </si>
  <si>
    <t>Chef du personnel</t>
  </si>
  <si>
    <t>Préposé au contrôle des absences</t>
  </si>
  <si>
    <t>Préposé au système de propositions d'amélioration</t>
  </si>
  <si>
    <t>Promotion du personnel</t>
  </si>
  <si>
    <t>Formation du personnel</t>
  </si>
  <si>
    <t>Formation des caristes</t>
  </si>
  <si>
    <t>Formation des apprentis</t>
  </si>
  <si>
    <t>Représentation du personnel</t>
  </si>
  <si>
    <t>Commission d'entreprise</t>
  </si>
  <si>
    <t>Association du personnel</t>
  </si>
  <si>
    <t>Information / communication</t>
  </si>
  <si>
    <t>Responsable de l'information</t>
  </si>
  <si>
    <t>Rédaction du journal d'entreprise</t>
  </si>
  <si>
    <t xml:space="preserve">Rédaction du journal du personnel </t>
  </si>
  <si>
    <t>Journaux spécialisés, infothèque</t>
  </si>
  <si>
    <t>Tableaux d'affichage, affiches</t>
  </si>
  <si>
    <t>Informatique / GED</t>
  </si>
  <si>
    <t>Chef informatique</t>
  </si>
  <si>
    <t>Équipements de travail</t>
  </si>
  <si>
    <t>Acquisition des équipements de travail et de production</t>
  </si>
  <si>
    <t>Acquisition des EPI</t>
  </si>
  <si>
    <t>Matériaux</t>
  </si>
  <si>
    <t>Resp. des matières dangereuses</t>
  </si>
  <si>
    <t>Carburants</t>
  </si>
  <si>
    <t>Agents explosifs</t>
  </si>
  <si>
    <t>Recherche / développement</t>
  </si>
  <si>
    <t>Développement de l'organisation</t>
  </si>
  <si>
    <t>Développement technique</t>
  </si>
  <si>
    <t>Protection de l'environnement</t>
  </si>
  <si>
    <t>Resp. protection de l'environnement</t>
  </si>
  <si>
    <t>Gestion des déchets</t>
  </si>
  <si>
    <t>Ordonnancement (AVOR)</t>
  </si>
  <si>
    <t>Planification, organisation</t>
  </si>
  <si>
    <t>Spécialiste de l'exploitation</t>
  </si>
  <si>
    <t>Assurance qualité</t>
  </si>
  <si>
    <t>QM/TQM</t>
  </si>
  <si>
    <t>Laboratoire</t>
  </si>
  <si>
    <t>Logistique</t>
  </si>
  <si>
    <t>Transports, chauffeurs</t>
  </si>
  <si>
    <t>Moyens de transport, véhicules</t>
  </si>
  <si>
    <t>Chef du magasin</t>
  </si>
  <si>
    <t>Service technique</t>
  </si>
  <si>
    <t>Atelier</t>
  </si>
  <si>
    <t>Maintenance</t>
  </si>
  <si>
    <t>Service de réparation</t>
  </si>
  <si>
    <t>Electricité, eau, air, gaz</t>
  </si>
  <si>
    <t>Protection des installations</t>
  </si>
  <si>
    <t>Organisation des urgences</t>
  </si>
  <si>
    <t>Service du feu</t>
  </si>
  <si>
    <t>Service sanitaire</t>
  </si>
  <si>
    <t>Médecin de l'entreprise</t>
  </si>
  <si>
    <t>Secouristes</t>
  </si>
  <si>
    <t>Matériel et locaux sanitaires</t>
  </si>
  <si>
    <t>Service de conciergerie</t>
  </si>
  <si>
    <t>Responsable des bâtiments</t>
  </si>
  <si>
    <t>Entretien des bâtiments</t>
  </si>
  <si>
    <t>Nettoyage des bâtiments</t>
  </si>
  <si>
    <t>Concierge</t>
  </si>
  <si>
    <t>Autres employés clés (à remplir si nécessaire)</t>
  </si>
  <si>
    <t>Autoévaluation par le client</t>
  </si>
  <si>
    <t>N°</t>
  </si>
  <si>
    <t>Description question</t>
  </si>
  <si>
    <t>Oui</t>
  </si>
  <si>
    <t>Non</t>
  </si>
  <si>
    <t>Remarque du client</t>
  </si>
  <si>
    <t>Annexe 
requise</t>
  </si>
  <si>
    <t>1.</t>
  </si>
  <si>
    <t>Ligne de conduite, objectifs et stratégie</t>
  </si>
  <si>
    <t>Visa gestionnaire du dossier Chapitre 1:</t>
  </si>
  <si>
    <t>1.1.</t>
  </si>
  <si>
    <t>Ligne de conduite de l'entreprise, principes directeurs</t>
  </si>
  <si>
    <t>1.1.1.</t>
  </si>
  <si>
    <t>L'entreprise dispose-t-elle d'une charte d'entreprise?</t>
  </si>
  <si>
    <t>1.A</t>
  </si>
  <si>
    <t>1.1.2.</t>
  </si>
  <si>
    <t>La sécurité et la santé du personnel font-elles partie de la  charte d'entreprise?</t>
  </si>
  <si>
    <t>1.1.3.</t>
  </si>
  <si>
    <t>Les collobrateurs sont-ils informés de la philosophie et des conséquences pratiques de la  charte d'entreprise?</t>
  </si>
  <si>
    <t>1.1.4.</t>
  </si>
  <si>
    <t>Le reflet de la situation dans l'entreprise correspond-il à la charte d'entreprise?</t>
  </si>
  <si>
    <t>1.1.5.</t>
  </si>
  <si>
    <t>Le comportement des supérieurs dans votre entreprise est-il déterminé par des principes ou des directives de conduite spécifiques? Si oui, lesquels?</t>
  </si>
  <si>
    <t>1.1.6.</t>
  </si>
  <si>
    <t>La sécurité et la protection de la santé sont-elle expressément intégrées dans les principes ou les directives de conduite?</t>
  </si>
  <si>
    <t>1.B</t>
  </si>
  <si>
    <t>1.1.7.</t>
  </si>
  <si>
    <t>Est-ce que la société a signé la Charte de sécurité de la Suva?</t>
  </si>
  <si>
    <t>1.1.8.a</t>
  </si>
  <si>
    <r>
      <t xml:space="preserve">L'un des systèmes de management / certifications suivants est-il en vigueur: </t>
    </r>
    <r>
      <rPr>
        <i/>
        <sz val="11"/>
        <color theme="1"/>
        <rFont val="Arial"/>
        <family val="2"/>
      </rPr>
      <t>ISO 9001, ISO 14001, ISO 45001, OHSAS18001 ?
Si oui, lequel?</t>
    </r>
  </si>
  <si>
    <t>1.1.8.b</t>
  </si>
  <si>
    <t>Un autre système de management / certifications est-il en vigueur?
Si oui, lequel?</t>
  </si>
  <si>
    <t>1.2.</t>
  </si>
  <si>
    <t>Engagement de la direction</t>
  </si>
  <si>
    <t>1.2.1.</t>
  </si>
  <si>
    <t>La direction de l'entreprise montre-t-elle l'exemple à suivre en matière de sécurité et de santé à l'aide d'exigences, de décisions, de règles et d'instructions concrètes?</t>
  </si>
  <si>
    <t>1.2.2.</t>
  </si>
  <si>
    <t>Votre entreprise accorde-t-elle à la sécurité au travail la même valeur qu'à la qualité et à la productivité?</t>
  </si>
  <si>
    <t>1.2.3.</t>
  </si>
  <si>
    <t>La direction aborde-t-elle les situations et les comportements à risque lors de ses inspections dans les entreprises?</t>
  </si>
  <si>
    <t>1.2.4.</t>
  </si>
  <si>
    <t>Le budget prévoit-il des ressources pour la sécurité au travail
et la protection de la santé?</t>
  </si>
  <si>
    <t>1.2.5.a</t>
  </si>
  <si>
    <r>
      <t xml:space="preserve">La direction soutient-elle dans l'entreprise...
</t>
    </r>
    <r>
      <rPr>
        <i/>
        <sz val="11"/>
        <color theme="1"/>
        <rFont val="Arial"/>
        <family val="2"/>
      </rPr>
      <t>les évaluations du risque?</t>
    </r>
  </si>
  <si>
    <t>1.2.5.b</t>
  </si>
  <si>
    <t>les audits, les contrôles?</t>
  </si>
  <si>
    <t>1.2.5.c</t>
  </si>
  <si>
    <t>les analyses d'accidents?</t>
  </si>
  <si>
    <t>1.2.5.d</t>
  </si>
  <si>
    <t>la formation des collaborateurs sur le lieu de travail?</t>
  </si>
  <si>
    <t>1.2.5.e</t>
  </si>
  <si>
    <t>la mise en œuvre de mesures adéquates?</t>
  </si>
  <si>
    <t>1.2.5.f</t>
  </si>
  <si>
    <t>les campagnes en faveur de la sécurité au travail?</t>
  </si>
  <si>
    <t>1.2.5.g</t>
  </si>
  <si>
    <t>les campagnes en faveur de la sécurité durant les loisirs?</t>
  </si>
  <si>
    <t>1.2.5.h</t>
  </si>
  <si>
    <t>la gestion des absences?</t>
  </si>
  <si>
    <t>1.2.5.i</t>
  </si>
  <si>
    <t>autres? Si oui, lesquels?</t>
  </si>
  <si>
    <t>1.3.</t>
  </si>
  <si>
    <t>Engagement des supérieurs hiérarchiques</t>
  </si>
  <si>
    <t>1.3.1.a</t>
  </si>
  <si>
    <r>
      <t xml:space="preserve">Les supérieurs hiérarchiques promeuvent-ils la sécurité et la santé : 
</t>
    </r>
    <r>
      <rPr>
        <i/>
        <sz val="11"/>
        <color theme="1"/>
        <rFont val="Arial"/>
        <family val="2"/>
      </rPr>
      <t>en se conformant aux prescriptions de sécurité (par ex. le port de l'équipement de protection individuelle (EPI))?</t>
    </r>
  </si>
  <si>
    <t>1.3.1.b</t>
  </si>
  <si>
    <t>en faisant respecter l'observation des prescriptions de sécurité?</t>
  </si>
  <si>
    <t>1.3.1.c</t>
  </si>
  <si>
    <t>par d'autres formes d'incitations? Si oui, lesquelles?</t>
  </si>
  <si>
    <t>1.3.2.a</t>
  </si>
  <si>
    <r>
      <t xml:space="preserve">Les supérieurs hiérarchiques de l'entreprise s'engagent-ils pour la sécurité et la santé des employés, en réalisant...
</t>
    </r>
    <r>
      <rPr>
        <i/>
        <sz val="11"/>
        <color theme="1"/>
        <rFont val="Arial"/>
        <family val="2"/>
      </rPr>
      <t>des évaluations de risque?</t>
    </r>
  </si>
  <si>
    <t>1.3.2.b</t>
  </si>
  <si>
    <t>des audits, des contrôles?</t>
  </si>
  <si>
    <t>1.3.2.c</t>
  </si>
  <si>
    <t>des analyses d'accidents?</t>
  </si>
  <si>
    <t>1.3.2.d</t>
  </si>
  <si>
    <t>de la formation des collaborateurs à la place de travail?</t>
  </si>
  <si>
    <t>1.3.2.e</t>
  </si>
  <si>
    <t>des campagnes en faveur de la sécurité au travail?</t>
  </si>
  <si>
    <t>1.3.2.f</t>
  </si>
  <si>
    <t>des campagnes en faveur de la sécurité durant les loisirs?</t>
  </si>
  <si>
    <t>1.3.2.g</t>
  </si>
  <si>
    <t>1.3.2.h</t>
  </si>
  <si>
    <t>d'autres actions? Si oui, lesquelles?</t>
  </si>
  <si>
    <t>1.3.3</t>
  </si>
  <si>
    <t>Les supérieurs hiérarchiques connaissent-ils les droits et les obligations résultant des exigences légales en matière de sécurité et de santé?</t>
  </si>
  <si>
    <t>1.4.</t>
  </si>
  <si>
    <t>Objectifs de sécurité</t>
  </si>
  <si>
    <t>1.4.1.a</t>
  </si>
  <si>
    <r>
      <t xml:space="preserve">Existe-t-il des objectifs mesurables concernant la limitation de la fréquence* des événements suivants:
</t>
    </r>
    <r>
      <rPr>
        <i/>
        <sz val="11"/>
        <color theme="1"/>
        <rFont val="Arial"/>
        <family val="2"/>
      </rPr>
      <t>* Fréquence = nombre d'événements par rapport au temps de travail productif ou nombre d'événements par rapport au nombre de salariés à plein temps durant une période donnée</t>
    </r>
    <r>
      <rPr>
        <sz val="11"/>
        <color theme="1"/>
        <rFont val="Arial"/>
        <family val="2"/>
      </rPr>
      <t xml:space="preserve">.
</t>
    </r>
    <r>
      <rPr>
        <i/>
        <sz val="11"/>
        <color theme="1"/>
        <rFont val="Arial"/>
        <family val="2"/>
      </rPr>
      <t>Accidents professionnels / maladies professionnels?</t>
    </r>
  </si>
  <si>
    <t>1.C</t>
  </si>
  <si>
    <t>1.4.1.b</t>
  </si>
  <si>
    <t>Accidents non professionnels?</t>
  </si>
  <si>
    <t>1.4.1.c</t>
  </si>
  <si>
    <t>Maladies?</t>
  </si>
  <si>
    <t>1.4.1.d</t>
  </si>
  <si>
    <t>Dommages matériels?</t>
  </si>
  <si>
    <t>1.4.1.e</t>
  </si>
  <si>
    <t>Perturbations?</t>
  </si>
  <si>
    <t>1.4.1.f</t>
  </si>
  <si>
    <t>Autres événements? Si oui, lesquels?</t>
  </si>
  <si>
    <t>1.4.2.a</t>
  </si>
  <si>
    <r>
      <t xml:space="preserve">Existe-t-il des objectifs mesurables visant à restreindre la durée des absences consécutives à...
</t>
    </r>
    <r>
      <rPr>
        <i/>
        <sz val="11"/>
        <color theme="1"/>
        <rFont val="Arial"/>
        <family val="2"/>
      </rPr>
      <t>des accidents professionnels / maladies professionnels?</t>
    </r>
  </si>
  <si>
    <t>1.4.2.b</t>
  </si>
  <si>
    <t>des accidents non professionnels?</t>
  </si>
  <si>
    <t>1.4.2.c</t>
  </si>
  <si>
    <t>des maladies?</t>
  </si>
  <si>
    <t>1.4.2.d</t>
  </si>
  <si>
    <t>d'autres événements? Si oui, lesquels?</t>
  </si>
  <si>
    <t>1.4.3.</t>
  </si>
  <si>
    <t>Vos objectifs en matière de sécurité et de santé s'appliquent-ils à l'entreprise dans son ensemble?</t>
  </si>
  <si>
    <t>1.4.4.</t>
  </si>
  <si>
    <t>Vos objectifs en matière de sécurité et de santé s'appliquent-ils à des unités d'organisation spécifiques?</t>
  </si>
  <si>
    <t>1.4.5.</t>
  </si>
  <si>
    <t>Avez-vous la possibilité de comparer les résultats avec des entreprises similaires (même branche)? Si oui, lesquelles?</t>
  </si>
  <si>
    <t>1.5.</t>
  </si>
  <si>
    <t>Elaboration et contrôle des objectifs, stratégie</t>
  </si>
  <si>
    <t>1.5.1.</t>
  </si>
  <si>
    <t>Un processus est-il défini pour l'élaboration des objectifs de sécurité?</t>
  </si>
  <si>
    <t>1.5.2.</t>
  </si>
  <si>
    <t>Un engagement pour l'amélioration continue du système de sécurité est-elle contenue dans les objectifs?</t>
  </si>
  <si>
    <t>1.5.3.</t>
  </si>
  <si>
    <t>Les cadres, ou leur représentants, participent-ils à l'élaboration des objectifs de sécurité?</t>
  </si>
  <si>
    <t xml:space="preserve">1.5.4. </t>
  </si>
  <si>
    <r>
      <t xml:space="preserve">Les écarts par rapport aux objectifs sont-ils constatés à temps par le biais d'un relevé des événements (ou d'une évaluation intermédiaire des objectifs en cours d'année) s'appliquant </t>
    </r>
    <r>
      <rPr>
        <i/>
        <sz val="11"/>
        <color theme="1"/>
        <rFont val="Arial"/>
        <family val="2"/>
      </rPr>
      <t>à l'entreprise dans son ensemble?</t>
    </r>
  </si>
  <si>
    <t>1.5.5.</t>
  </si>
  <si>
    <r>
      <t xml:space="preserve">Les écarts par rapport aux objectifs sont-ils constatés à temps par le biais d'un relevé des événements (ou d'une évaluation intermédiaire des objectifs en cours d'année) s'appliquant </t>
    </r>
    <r>
      <rPr>
        <i/>
        <sz val="11"/>
        <color theme="1"/>
        <rFont val="Arial"/>
        <family val="2"/>
      </rPr>
      <t>à des unités d'organisation spécifiques (secteur, division)?</t>
    </r>
  </si>
  <si>
    <t>1.5.6.</t>
  </si>
  <si>
    <t>Lorsque les objectifs ne sont pas atteints, en tirez-vous les conséquences et prenez-vous les mesures correctrices nécessaires? Si oui, lesquelles?</t>
  </si>
  <si>
    <t>1.5.7.</t>
  </si>
  <si>
    <t>Disposez-vous d'une stratégie de sécurité qui vous aide à atteindre vos objectifs de sécurité (p. ex. paquets de mesures prévus à moyen terme, futures tendances, exigences et attentes des parties intéressées) ? Si oui, laquelle?</t>
  </si>
  <si>
    <t>2.</t>
  </si>
  <si>
    <t>Organisation</t>
  </si>
  <si>
    <t>Visa gestionnaire du dossier Chapitre 2:</t>
  </si>
  <si>
    <t>2.1.</t>
  </si>
  <si>
    <t>Organisation de l'entreprise</t>
  </si>
  <si>
    <t>2.1.1</t>
  </si>
  <si>
    <t>Type d'organisation</t>
  </si>
  <si>
    <t>2.1.1.1.a</t>
  </si>
  <si>
    <t>Quel type d’organisation structurelle existe dans votre entreprise:
Organisation hiérarchique?</t>
  </si>
  <si>
    <t>2.A</t>
  </si>
  <si>
    <t>2.1.1.2.b</t>
  </si>
  <si>
    <t>Organisation d’état-major de ligne?</t>
  </si>
  <si>
    <t>2.1.1.2.c</t>
  </si>
  <si>
    <t>Organisation fonctionnelle?</t>
  </si>
  <si>
    <t>2.1.1.2.d</t>
  </si>
  <si>
    <t>Organisation matricielle?</t>
  </si>
  <si>
    <t>2.1.1.2.e</t>
  </si>
  <si>
    <t>Organisation de projets?</t>
  </si>
  <si>
    <t>2.1.1.2.f</t>
  </si>
  <si>
    <t>Autre forme? Si oui, laquelle?</t>
  </si>
  <si>
    <t>2.1.2.</t>
  </si>
  <si>
    <t>Tâches, compétences, responsabilités</t>
  </si>
  <si>
    <t>2.1.2.1.</t>
  </si>
  <si>
    <t>Les compétences et les responsabilités concernant la sécurité et la santé des collaborateurs sont-elles définies par écrit?</t>
  </si>
  <si>
    <t>2.1.2.2.a</t>
  </si>
  <si>
    <r>
      <t xml:space="preserve">Votre entreprise dispose-t-elle de documents d'organisation tels que: </t>
    </r>
    <r>
      <rPr>
        <i/>
        <sz val="11"/>
        <color theme="1"/>
        <rFont val="Arial"/>
        <family val="2"/>
      </rPr>
      <t>Descriptions des postes de travail?</t>
    </r>
  </si>
  <si>
    <t>2.B, 2.C, 2.D</t>
  </si>
  <si>
    <t>2.1.2.2.b</t>
  </si>
  <si>
    <t>Cahiers des charges?</t>
  </si>
  <si>
    <t>2.1.2.2.c</t>
  </si>
  <si>
    <t>Diagrammes fonctionnels</t>
  </si>
  <si>
    <t>2.1.2.2.d</t>
  </si>
  <si>
    <t>Règlements?</t>
  </si>
  <si>
    <t>2.E</t>
  </si>
  <si>
    <t>2.1.2.2.e</t>
  </si>
  <si>
    <t>Contrats de travail individuels?</t>
  </si>
  <si>
    <t>2.1.2.2.f</t>
  </si>
  <si>
    <t>Contrats de travail collectifs?</t>
  </si>
  <si>
    <t>2.1.2.2.g</t>
  </si>
  <si>
    <t>Contrats d'entreprise?</t>
  </si>
  <si>
    <t>2.1.2.2.h</t>
  </si>
  <si>
    <t>Autres documents d'organisation? Si oui, lesquels?</t>
  </si>
  <si>
    <t>2.1.2.3.a</t>
  </si>
  <si>
    <r>
      <t xml:space="preserve">Les tâches, compétences, responsabilités (obligations et droits) concernant la sécurité et la santé font-elles partie des documents suivants: 
</t>
    </r>
    <r>
      <rPr>
        <i/>
        <sz val="11"/>
        <color theme="1"/>
        <rFont val="Arial"/>
        <family val="2"/>
      </rPr>
      <t>Descriptions des postes?</t>
    </r>
  </si>
  <si>
    <t>2.1.2.3.b</t>
  </si>
  <si>
    <t>2.F</t>
  </si>
  <si>
    <t>2.1.2.3.c</t>
  </si>
  <si>
    <t>2.1.2.3.d</t>
  </si>
  <si>
    <t>2.1.2.3.e</t>
  </si>
  <si>
    <t>2.1.2.3.f</t>
  </si>
  <si>
    <t>2.1.2.3.g</t>
  </si>
  <si>
    <t>2.1.2.3.h</t>
  </si>
  <si>
    <t>2.1.3.</t>
  </si>
  <si>
    <t>Planification et organisation du travail</t>
  </si>
  <si>
    <t>2.1.3.1.a</t>
  </si>
  <si>
    <r>
      <t xml:space="preserve">La planification, le calcul, l'organisation et la préparation des ordres de travail sont-ils effectués par :
</t>
    </r>
    <r>
      <rPr>
        <i/>
        <sz val="11"/>
        <color theme="1"/>
        <rFont val="Arial"/>
        <family val="2"/>
      </rPr>
      <t>Les supérieurs hiérarchiques?</t>
    </r>
  </si>
  <si>
    <t>2.1.3.1.b</t>
  </si>
  <si>
    <t>Des teams de projet?</t>
  </si>
  <si>
    <t>2.1.3.1.c</t>
  </si>
  <si>
    <t>2.1.3.1.d</t>
  </si>
  <si>
    <t>Autres organes/personnes? Si oui,  quels organes/personnes?</t>
  </si>
  <si>
    <t>2.1.3.2.</t>
  </si>
  <si>
    <t>Des aspects de la sécurité au travail et de la protection de la santé sont-ils pris en considération au cours des phases de la planification, de l'organisation et de la préparation du travail?</t>
  </si>
  <si>
    <t>2.1.3.3.</t>
  </si>
  <si>
    <t>Existe-t-il une séparation stricte entre la planification, l'organisation, la préparation et l'exécution des travaux?</t>
  </si>
  <si>
    <t>2.1.3.4.</t>
  </si>
  <si>
    <t>Le niveau opérationnel est impliqué dans la préparation au travail?</t>
  </si>
  <si>
    <t>2.1.3.5.</t>
  </si>
  <si>
    <t>Le travail à exécuter est-il expliqué et discuté?</t>
  </si>
  <si>
    <t>2.1.3.6.</t>
  </si>
  <si>
    <t>La sécurité et la protection de la santé sont-elles intégrées dans le travail à exécuter?</t>
  </si>
  <si>
    <t>2.1.3.7.</t>
  </si>
  <si>
    <t>Les ordres de travail sont-ils donnés et documentés sous forme écrite ?</t>
  </si>
  <si>
    <t>2.1.3.8.</t>
  </si>
  <si>
    <t>Les instructions de travail écrites font-elles référence à des mesures de sécurité et de protection de la santé?</t>
  </si>
  <si>
    <t>2.G</t>
  </si>
  <si>
    <t>2.1.4.</t>
  </si>
  <si>
    <t>Règlement d'entreprise</t>
  </si>
  <si>
    <t>2.1.4.1.</t>
  </si>
  <si>
    <t>Votre entreprise dispose-t-elle d'un règlement d'entreprise obligatoire conformément à la loi sur le travail?</t>
  </si>
  <si>
    <t>2.H</t>
  </si>
  <si>
    <t>2.1.4.2.</t>
  </si>
  <si>
    <t>Votre entreprise dispose-t-elle d'un règlement d'entreprise volontaire?
Si oui, quel est le contenu du texte concernant la sécurité et la promotion de la santé des collaborateurs?</t>
  </si>
  <si>
    <t>2.2</t>
  </si>
  <si>
    <t>2.2.1.</t>
  </si>
  <si>
    <t>Structure de l'organisation</t>
  </si>
  <si>
    <t>2.2.1.1.</t>
  </si>
  <si>
    <t>Un membre de la direction est-il chargé de la sécurité au travail et de la protection de la santé?</t>
  </si>
  <si>
    <t>2.2.1.2.</t>
  </si>
  <si>
    <t>Disposez-vous dans votre entreprise d'une organisation de sécurité directement subordonnée à la direction?</t>
  </si>
  <si>
    <t>2.2.1.3.</t>
  </si>
  <si>
    <t>Cette organisation de sécurité figure-t-elle dans un organigramme?</t>
  </si>
  <si>
    <t>2.I</t>
  </si>
  <si>
    <t>2.2.1.4.a</t>
  </si>
  <si>
    <r>
      <t xml:space="preserve">Votre entreprise fait-elle appel à des experts externes tels que:
</t>
    </r>
    <r>
      <rPr>
        <i/>
        <sz val="11"/>
        <color theme="1"/>
        <rFont val="Arial"/>
        <family val="2"/>
      </rPr>
      <t>des médecins du travail?</t>
    </r>
  </si>
  <si>
    <t>2.2.1.4.b</t>
  </si>
  <si>
    <t>des hygiénistes du travail?</t>
  </si>
  <si>
    <t>2.2.1.4.c</t>
  </si>
  <si>
    <t>des ingénieurs de la sécurité?</t>
  </si>
  <si>
    <t>2.2.1.4.d</t>
  </si>
  <si>
    <t>des experts en sécurité?</t>
  </si>
  <si>
    <t>2.2.1.4.e</t>
  </si>
  <si>
    <t>d'autres spécialistes? Si oui, lesquels?</t>
  </si>
  <si>
    <t>2.2.1.5.</t>
  </si>
  <si>
    <t>Les tâches, obligations et droits des divers organes contribuant à l'organisation de la sécurité sont-ils établis par écrit?</t>
  </si>
  <si>
    <t>2.2.1.6.</t>
  </si>
  <si>
    <t>Le préposé à la sécurité est-il responsable des rapports sur la sécurité et la protection de la santé à la direction?</t>
  </si>
  <si>
    <t>2.2.1.7.</t>
  </si>
  <si>
    <t>L'organisation de la sécurité est-elle activement soutenue par les supérieurs hiérarchiques?</t>
  </si>
  <si>
    <t>2.2.2.</t>
  </si>
  <si>
    <t>Concept de sécurité</t>
  </si>
  <si>
    <t>2.2.2.1.</t>
  </si>
  <si>
    <t>Disposez-vous dans votre entreprise d'un concept de sécurité?
Si oui, depuis quand ce concept de sécurité est-il en vigueur?</t>
  </si>
  <si>
    <t>2.J</t>
  </si>
  <si>
    <t>2.2.2.2.</t>
  </si>
  <si>
    <t>Le champ d'application du concept de sécurité est-il défini et documenté?</t>
  </si>
  <si>
    <t>2.2.2.3.</t>
  </si>
  <si>
    <t>La structure des documents concernant le concept de sécurité est-elle définie et le lien avec les documents applicables est-il mis en évidence?</t>
  </si>
  <si>
    <t>2.2.3.</t>
  </si>
  <si>
    <t>Formation en matière de sécurité</t>
  </si>
  <si>
    <t>2.2.3.1.</t>
  </si>
  <si>
    <t>Certains collaborateurs de votre entreprise ont-ils suivi une formation d'assistant de sécurité, de chargé de sécurité ou d'ingénieur de sécurité?</t>
  </si>
  <si>
    <t>2.K</t>
  </si>
  <si>
    <t>2.2.3.2.</t>
  </si>
  <si>
    <t>Les collaborateurs de votre entreprise ont-ils participé à des cours Suva dans le domaine de la sécurité et de la protection de la santé?
Si oui, auxquels?</t>
  </si>
  <si>
    <t>2.2.3.3.</t>
  </si>
  <si>
    <t>Les collaborateurs de votre entreprise ont-ils participé à d'autres cours sur la sécurité? Si oui, auxquels?</t>
  </si>
  <si>
    <t>2.3.</t>
  </si>
  <si>
    <t>Bases déterminantes</t>
  </si>
  <si>
    <t>2.3.1.</t>
  </si>
  <si>
    <t>Bases légales</t>
  </si>
  <si>
    <t>2.3.1.1.</t>
  </si>
  <si>
    <t>Votre entreprise dispose-t-elle des bases légales en matière de sécurité au travail et de protection de la santé?</t>
  </si>
  <si>
    <t>2.3.1.2.</t>
  </si>
  <si>
    <t>Les collaborateurs de l’entreprise connaissent-ils vos tâches, obligations et droits découlant des bases légales?</t>
  </si>
  <si>
    <t>2.3.1.3.</t>
  </si>
  <si>
    <t>Les dispositions légales sont-elles respectées en substance par votre entreprise?</t>
  </si>
  <si>
    <t>2.3.1.4.</t>
  </si>
  <si>
    <t>Les documents contenant les bases légales sont-ils constamment actualisés et rendus accessibles selon une procédure établie?
Si oui, quelle personne ou quel service est-il chargé de la mise à jour?</t>
  </si>
  <si>
    <t>2.3.2.</t>
  </si>
  <si>
    <t>Directives et normes</t>
  </si>
  <si>
    <t>2.3.2.1.</t>
  </si>
  <si>
    <t>Votre entreprise dispose-t-elle des directives et des normes en matière de sécurité et de santé?</t>
  </si>
  <si>
    <t>2.3.2.2.</t>
  </si>
  <si>
    <t>Les personnes concernées disposent-elles des directives et des normes relatives à la sécurité et à la santé ou y ont-elles toujours accès?</t>
  </si>
  <si>
    <t>2.3.2.3.</t>
  </si>
  <si>
    <t>Les personnes concernées connaissent-elles leurs tâches, leurs obligations et leurs droits découlant des directives et des normes ?</t>
  </si>
  <si>
    <t>2.3.2.4.</t>
  </si>
  <si>
    <t>Les directives et les normes sont-elles respectées par l’entreprise par analogie?</t>
  </si>
  <si>
    <t>2.3.2.5.</t>
  </si>
  <si>
    <t xml:space="preserve">Les documents contenant les directives et les normes sont-ils constamment actualisés et rendus accessibles selon une procédure établie? 
Si oui, quelle personne ou quel service est-il chargé de la mise à jour?
</t>
  </si>
  <si>
    <t>2.3.3.</t>
  </si>
  <si>
    <t>Documentation sur la sécurité et la santé</t>
  </si>
  <si>
    <t>2.3.3.1.</t>
  </si>
  <si>
    <t>Votre entreprise dispose-t-elle d'un recueil centralisé de documents sur la sécurité et la protection de la santé?</t>
  </si>
  <si>
    <t>2.3.3.2.</t>
  </si>
  <si>
    <t>Les documents importants sont-ils mis à la disposition de certains collaborateurs à titre d'exemplaires personnels?</t>
  </si>
  <si>
    <t>2.L</t>
  </si>
  <si>
    <t>2.3.3.3.</t>
  </si>
  <si>
    <t>Les documents sur la sécurité et la protection de la santé sont-ils facilement accessibles pour l'ensemble des employés
(bibliothèque ou dispositif similaire)?</t>
  </si>
  <si>
    <t>2.3.3.4.</t>
  </si>
  <si>
    <t>La documentation sur la sécurité et la santé est-elle constamment actualisée et rendue accessible selon une procédure établie? Si oui, quelle personne ou quel service est-il chargé de la mise à jour?</t>
  </si>
  <si>
    <t>3.</t>
  </si>
  <si>
    <t>Qualification, formation, communication</t>
  </si>
  <si>
    <t>Visa gestionnaire du dossier Chapitre 3:</t>
  </si>
  <si>
    <t>3.1.</t>
  </si>
  <si>
    <t>Critères de sélection, contrats de travail</t>
  </si>
  <si>
    <t>3.1.1.</t>
  </si>
  <si>
    <t>Disposez-vous de critères de sélection spécifiques pour 
le recrutement du personnel?</t>
  </si>
  <si>
    <t>3.1.2.</t>
  </si>
  <si>
    <t>Lors du recrutement du personnel, tient-on compte des aspects de la sécurité au travail et de la santé?</t>
  </si>
  <si>
    <t>3.1.3.</t>
  </si>
  <si>
    <t>Des tests d’aptitude sont-ils effectués lors du recrutement? Si oui, pour quelles activités ou charges?</t>
  </si>
  <si>
    <t>3.1.4.</t>
  </si>
  <si>
    <t>Vérifiez-vous la compréhension du langage propre à l'entreprise et s'agit-il d'un critère de sélection lors du recrutement du personnel?</t>
  </si>
  <si>
    <t>3.1.5.</t>
  </si>
  <si>
    <t>Le respect de la sécurité dans la conduite du personnel et l'exécution du travail est-il stipulé dans les contrats de travail pour les employés à poste fixe?</t>
  </si>
  <si>
    <t>3.1.6.</t>
  </si>
  <si>
    <t>Le respect de la sécurité dans l'exécution du travail est-il stipulé dans les contrats de travail pour les employés à temps partiel, les saisonniers et les auxiliaires?</t>
  </si>
  <si>
    <t>3.2.</t>
  </si>
  <si>
    <t>Nouveaux collaborateurs</t>
  </si>
  <si>
    <t>3.2.1.a</t>
  </si>
  <si>
    <r>
      <t xml:space="preserve">Disposez-vous de cours d'introduction standard pour:
</t>
    </r>
    <r>
      <rPr>
        <i/>
        <sz val="11"/>
        <color theme="1"/>
        <rFont val="Arial"/>
        <family val="2"/>
      </rPr>
      <t>les nouveaux employés?</t>
    </r>
  </si>
  <si>
    <t>3.2.1.b</t>
  </si>
  <si>
    <t>les employés temporaires?</t>
  </si>
  <si>
    <t>3.2.1.c</t>
  </si>
  <si>
    <t>les employés mutés?</t>
  </si>
  <si>
    <t>3.2.2.</t>
  </si>
  <si>
    <t>Lors de l'introduction d'un nouveau collaborateur, utilisez-vous des listes de mots-clés ou des listes de contrôles spécifiques?</t>
  </si>
  <si>
    <t>3.A</t>
  </si>
  <si>
    <t>3.2.3.a</t>
  </si>
  <si>
    <r>
      <t xml:space="preserve">La sécurité et la protection de la santé font-elles partie intégrante de l’introduction:
</t>
    </r>
    <r>
      <rPr>
        <i/>
        <sz val="11"/>
        <color theme="1"/>
        <rFont val="Arial"/>
        <family val="2"/>
      </rPr>
      <t>des nouveaux employés?</t>
    </r>
  </si>
  <si>
    <t>3.2.3.b</t>
  </si>
  <si>
    <t>des employés temporaires?</t>
  </si>
  <si>
    <t>3.2.3.c</t>
  </si>
  <si>
    <t>des employés mutés?</t>
  </si>
  <si>
    <t>3.2.4. a</t>
  </si>
  <si>
    <r>
      <t xml:space="preserve">Remettez-vous des documents spécifiques sur la sécurité
et la protection de la santé:
</t>
    </r>
    <r>
      <rPr>
        <i/>
        <sz val="11"/>
        <color theme="1"/>
        <rFont val="Arial"/>
        <family val="2"/>
      </rPr>
      <t>aux nouveaux employés?</t>
    </r>
  </si>
  <si>
    <t>3.2.4.b</t>
  </si>
  <si>
    <t>aux employés temporaires?</t>
  </si>
  <si>
    <t>3.2.4.c</t>
  </si>
  <si>
    <t>aux employés mutés?</t>
  </si>
  <si>
    <t>3.2.5.</t>
  </si>
  <si>
    <t>Le respect de la sécurité dans la conduite du personnel et dans l'exécution du travail fait-il partie des critères d'évaluation durant la période d'essai?</t>
  </si>
  <si>
    <t>3.B</t>
  </si>
  <si>
    <t>3.3.</t>
  </si>
  <si>
    <t>Besoins en formation, promotion du personnel</t>
  </si>
  <si>
    <t>3.3.1.</t>
  </si>
  <si>
    <t>Les profils d’exigences et les profils du rendement des employés sont-ils vérifiés régulièrement et systématiquement?</t>
  </si>
  <si>
    <t>3.3.2.</t>
  </si>
  <si>
    <t>3.3.3.</t>
  </si>
  <si>
    <t>Votre entreprise dispose-t-elle d'un concept de promotion du personnel?</t>
  </si>
  <si>
    <t>3.3.4.</t>
  </si>
  <si>
    <r>
      <t xml:space="preserve">Si oui, la sécurité et la promotion de la santé* en constituent-elles des éléments clés?
</t>
    </r>
    <r>
      <rPr>
        <sz val="9"/>
        <color theme="1"/>
        <rFont val="Arial"/>
        <family val="2"/>
      </rPr>
      <t>*L'expression «promotion de la santé» dépasse l'expression conventionnelle de «protection de la santé». 
Elle comprend l'ensemble des aspects individuels et sociaux contribuant à la santé des collaborateurs.</t>
    </r>
  </si>
  <si>
    <t>3.C</t>
  </si>
  <si>
    <t>3.3.5.</t>
  </si>
  <si>
    <t>Procédez-vous à un contrôle nominatif de la formation, du perfectionnement et des autres mesures de promotion du personnel?</t>
  </si>
  <si>
    <t>3.4.</t>
  </si>
  <si>
    <t>3.4.1.</t>
  </si>
  <si>
    <t>Disposez-vous d'offres et programmes de formation spécifiques?</t>
  </si>
  <si>
    <t>3.4.2.</t>
  </si>
  <si>
    <t>La sécurité et la protection de la santé font-elles partie des formations proposées?</t>
  </si>
  <si>
    <t>3.4.3.</t>
  </si>
  <si>
    <t>Votre entreprise recourt-elle à des offres de formation émanant de groupements économiques ou professionnels?</t>
  </si>
  <si>
    <t>3.4.4.</t>
  </si>
  <si>
    <t>Les offres de formation externes portent-elles également sur des thèmes concernant la sécurité et la protection de la santé? Si oui, lesquels?</t>
  </si>
  <si>
    <t>3.5.</t>
  </si>
  <si>
    <t>Formation à la place de travail</t>
  </si>
  <si>
    <t>3.5.1.</t>
  </si>
  <si>
    <t>Votre entreprise fait-elle et encourage-t-elle délibérément la «formation à la place de travail»?</t>
  </si>
  <si>
    <t>3.5.2.</t>
  </si>
  <si>
    <t>Les accidents, presqu'accidents et autres incidents servent-ils à tirer des leçons, à prendre des mesures concrètes et à combler les lacunes en matière de formation?</t>
  </si>
  <si>
    <t>3.5.3.</t>
  </si>
  <si>
    <t>Les supérieurs hiérarchiques sont ils formés à la pédagogie de la formation à la place de travail?</t>
  </si>
  <si>
    <t>3.5.4.</t>
  </si>
  <si>
    <r>
      <t xml:space="preserve">Les supérieurs et les collaborateurs reçoivent-ils une formation sur les équipements de travail* neufs ou modifiés? 
</t>
    </r>
    <r>
      <rPr>
        <sz val="9"/>
        <color theme="1"/>
        <rFont val="Arial"/>
        <family val="2"/>
      </rPr>
      <t>*Equipements de travail = machines, appareils, outils, équipements, installations, EPI.</t>
    </r>
  </si>
  <si>
    <t>3.5.5.</t>
  </si>
  <si>
    <t xml:space="preserve">Les supérieurs et les collaborateurs reçoivent-ils une formation sur les processus de travail nouveaux ou modifiés? </t>
  </si>
  <si>
    <t>3.5.6.</t>
  </si>
  <si>
    <r>
      <t xml:space="preserve">Les supérieurs et les employés reçoivent-ils une formation sur les nouvelles substances de travail*?
</t>
    </r>
    <r>
      <rPr>
        <sz val="9"/>
        <color theme="1"/>
        <rFont val="Arial"/>
        <family val="2"/>
      </rPr>
      <t>*Substances de travail = les matériaux solides, liquides ou gazeux utilisés dans le travail.</t>
    </r>
  </si>
  <si>
    <t>3.6.</t>
  </si>
  <si>
    <t>Evaluation du personnel</t>
  </si>
  <si>
    <t>3.6.1.</t>
  </si>
  <si>
    <t>Votre entreprise dispose-t-elle d'un système pour l'évaluation des collaborateurs?</t>
  </si>
  <si>
    <t>3.D</t>
  </si>
  <si>
    <t>3.6.2.</t>
  </si>
  <si>
    <t>Le comportement de conduite sûr fait-il partie de l’évaluation des supérieurs?</t>
  </si>
  <si>
    <t>3.6.3.</t>
  </si>
  <si>
    <t>Des prestations de direction insuffisantes dans le domaine de la sécurité au travail ont-elles des conséquences?
Si oui, lesquelles?</t>
  </si>
  <si>
    <t>3.6.4.</t>
  </si>
  <si>
    <t>Le comportement sûr de direction et de travail est-il un critère décisif dans le cadre des promotions?</t>
  </si>
  <si>
    <t>3.6.5.</t>
  </si>
  <si>
    <t>Un comportement sûr au travail fait-il partie des critères d'évaluation des collaborateurs?</t>
  </si>
  <si>
    <t>3.6.6.</t>
  </si>
  <si>
    <t>Un comportement peu sûr au travail a-t-il des conséquences?Si oui, lesquelles?</t>
  </si>
  <si>
    <t>3.7.</t>
  </si>
  <si>
    <t>Concept d'information</t>
  </si>
  <si>
    <t>3.7.1.</t>
  </si>
  <si>
    <t>Votre entreprise dispose-t-elle d'un concept d'information et de communication?</t>
  </si>
  <si>
    <t>3.7.2.</t>
  </si>
  <si>
    <t>Votre entreprise dispose-t-elle d'autres règles ou d'autres procédures en matière d'information et de communication?
Si oui, lesquelles?</t>
  </si>
  <si>
    <t>3.7.3.</t>
  </si>
  <si>
    <t>Votre entreprise dispose-t-elle d'une personne ou d'un service chargé de l'information et de la communication?
Si oui, de quelle personne ou de quel service s'agit-il?</t>
  </si>
  <si>
    <t>3.8.</t>
  </si>
  <si>
    <t>Communication, moyens et événements</t>
  </si>
  <si>
    <t>3.8.1.a</t>
  </si>
  <si>
    <r>
      <t xml:space="preserve">
</t>
    </r>
    <r>
      <rPr>
        <i/>
        <sz val="11"/>
        <color theme="1"/>
        <rFont val="Arial"/>
        <family val="2"/>
      </rPr>
      <t>discussions informelles?</t>
    </r>
    <r>
      <rPr>
        <sz val="11"/>
        <color theme="1"/>
        <rFont val="Arial"/>
        <family val="2"/>
      </rPr>
      <t xml:space="preserve"> Quels moyens et événement utilise-t-on dans l’entreprise en lien avec la sécurité et la protection de la santé?
</t>
    </r>
    <r>
      <rPr>
        <i/>
        <sz val="11"/>
        <color theme="1"/>
        <rFont val="Arial"/>
        <family val="2"/>
      </rPr>
      <t>Conversations spontanées?</t>
    </r>
  </si>
  <si>
    <t>3.8.1.b</t>
  </si>
  <si>
    <t>Entretiens individuels avec les collaborateurs?</t>
  </si>
  <si>
    <t>3.8.1.c</t>
  </si>
  <si>
    <t>Réunions de travail?</t>
  </si>
  <si>
    <t>3.8.1.d</t>
  </si>
  <si>
    <t>Attribution de mandats?</t>
  </si>
  <si>
    <t>3.8.1.e</t>
  </si>
  <si>
    <t>Instructions de travail?</t>
  </si>
  <si>
    <t>3.8.1.f</t>
  </si>
  <si>
    <t>Formation de travail?</t>
  </si>
  <si>
    <t>3.8.1.g</t>
  </si>
  <si>
    <t>Entretiens sur la sécurité?</t>
  </si>
  <si>
    <t>3.8.1.h</t>
  </si>
  <si>
    <t>3.8.1.i</t>
  </si>
  <si>
    <t>Ordres de travail écrits?</t>
  </si>
  <si>
    <t>3.8.1.j</t>
  </si>
  <si>
    <t>Consignes, dispositions écrites?</t>
  </si>
  <si>
    <t>3.8.1.k</t>
  </si>
  <si>
    <t>Prescriptions, normes?</t>
  </si>
  <si>
    <t>3.8.1.l</t>
  </si>
  <si>
    <t>Instructions, ordre écrits?</t>
  </si>
  <si>
    <t>3.8.1.m</t>
  </si>
  <si>
    <t>Brochures?</t>
  </si>
  <si>
    <t>3.8.1.n</t>
  </si>
  <si>
    <t>Feuillets d'information?</t>
  </si>
  <si>
    <t>3.8.1.o</t>
  </si>
  <si>
    <t>Circulaires?</t>
  </si>
  <si>
    <t>3.8.1.p</t>
  </si>
  <si>
    <t>Lettres personnelles?</t>
  </si>
  <si>
    <t>3.8.1.q</t>
  </si>
  <si>
    <t>Journal d'entreprise?</t>
  </si>
  <si>
    <t>3.E</t>
  </si>
  <si>
    <t>3.8.1.r</t>
  </si>
  <si>
    <t>Journal du personnel?</t>
  </si>
  <si>
    <t>3.8.1.s</t>
  </si>
  <si>
    <t>Revues spécialisées?</t>
  </si>
  <si>
    <t>3.8.1.t</t>
  </si>
  <si>
    <t>Bibliothèque?</t>
  </si>
  <si>
    <t>3.8.1.u</t>
  </si>
  <si>
    <t>Rapports annuels?</t>
  </si>
  <si>
    <t>3.8.1.v</t>
  </si>
  <si>
    <t>3.8.1.w</t>
  </si>
  <si>
    <t>Internet?</t>
  </si>
  <si>
    <t>3.8.1.x</t>
  </si>
  <si>
    <t>Intranet?</t>
  </si>
  <si>
    <t>3.8.1.y</t>
  </si>
  <si>
    <t>Courrier électronique?</t>
  </si>
  <si>
    <t>3.8.1.z</t>
  </si>
  <si>
    <t>Logiciels?</t>
  </si>
  <si>
    <t>3.8.1.aa</t>
  </si>
  <si>
    <t>Modèles?</t>
  </si>
  <si>
    <t>3.8.1.bb</t>
  </si>
  <si>
    <t>Exemples?</t>
  </si>
  <si>
    <t>3.8.1.cc</t>
  </si>
  <si>
    <t>Expositions?</t>
  </si>
  <si>
    <t>3.9.</t>
  </si>
  <si>
    <t>La sécurité à l'ordre du jour</t>
  </si>
  <si>
    <t>3.9.1.a</t>
  </si>
  <si>
    <r>
      <t xml:space="preserve">La sécurité et la promotion de la santé sont-elles des thèmes 
régulièrement évoqués dans les:
</t>
    </r>
    <r>
      <rPr>
        <i/>
        <sz val="11"/>
        <color theme="1"/>
        <rFont val="Arial"/>
        <family val="2"/>
      </rPr>
      <t>Discussions internes?</t>
    </r>
  </si>
  <si>
    <t>3.9.1.b</t>
  </si>
  <si>
    <t>discussions externes à l'entreprise? (p. ex. avec des tiers, d'autres entreprises, des membres de communautés de travail)?</t>
  </si>
  <si>
    <t>3.9.2.</t>
  </si>
  <si>
    <r>
      <t xml:space="preserve">Dans les entretiens sur la sécurité et la promotion de la santé, les participants ont-ils non seulement discuté des problèmes, mais aussi fixé des objectifs de sécurité* et pris des mesures?
</t>
    </r>
    <r>
      <rPr>
        <sz val="9"/>
        <color theme="1"/>
        <rFont val="Arial"/>
        <family val="2"/>
      </rPr>
      <t>*Objectifs de sécurité: objectifs à atteindre pour garantir la sécurité et la santé selon l’expérience générale et l’état de la technique. Les objectifs de sécurité laissent entrevoir des moyens et des moyens de réalisation des objectifs.</t>
    </r>
  </si>
  <si>
    <t>3.10.</t>
  </si>
  <si>
    <t>Exigences posées aux entreprises tierces</t>
  </si>
  <si>
    <t>3.10.1.a</t>
  </si>
  <si>
    <r>
      <t xml:space="preserve">Votre entreprise compte-t-elle sur le soutien des entreprises de tierces:
</t>
    </r>
    <r>
      <rPr>
        <i/>
        <sz val="11"/>
        <color theme="1"/>
        <rFont val="Arial"/>
        <family val="2"/>
      </rPr>
      <t>Jamais?</t>
    </r>
  </si>
  <si>
    <t>Rarement?</t>
  </si>
  <si>
    <t>Occasionnellement?</t>
  </si>
  <si>
    <t>Souvent?</t>
  </si>
  <si>
    <t>En permanence?</t>
  </si>
  <si>
    <t>3.10.2.</t>
  </si>
  <si>
    <t>Les entreprises tierces sont-elles rendues attentives aux dangers et aux exigences en matière de sécurité dans votre entreprise?</t>
  </si>
  <si>
    <t>L'observation des dispositions de sécurité fait-elle partie intégrante des contrats d'entreprise écrits avec les entreprises tierces?</t>
  </si>
  <si>
    <t>L'observation des dispositions de sécurité par les entreprises tierces est-elle surveillée et systématiquement contrôlée?</t>
  </si>
  <si>
    <t>L'observation des dispositions de sécurité est-elle systématiquement appliquée par les entreprises tierces?</t>
  </si>
  <si>
    <t>Votre entreprise serait-elle prête à résilier un contrat d'entreprise avec une entreprise tierce s'il s'avérait que celle-ci ne respecte pas les dispositions de sécurité?</t>
  </si>
  <si>
    <t>Le comportement des entreprises tierces en matière de sécurité et de protection de la santé est-il pris en compte dans l'évaluation de la qualité du fournisseur (système Q)?</t>
  </si>
  <si>
    <t>3.F</t>
  </si>
  <si>
    <t>Votre entreprise offre-t-elle une possibilité de formation sur la sécurité aux préposés à la  sécurité des entreprises tierces?</t>
  </si>
  <si>
    <t>4.</t>
  </si>
  <si>
    <t>Règles de sécurité</t>
  </si>
  <si>
    <t>Visa gestionnaire du dossier Chapitre 4:</t>
  </si>
  <si>
    <t>4.1.</t>
  </si>
  <si>
    <t>Feuillets d'information, instructions et listes de contrôle</t>
  </si>
  <si>
    <t>4.1.1.</t>
  </si>
  <si>
    <t>Votre entreprise dispose-t-elle de feuillets d'information et d'instructions de travail déterminants pour la santé et la sécurité?</t>
  </si>
  <si>
    <t>4.1.2.</t>
  </si>
  <si>
    <t>Votre entreprise utilise-t-elle les listes de contrôle de la Suva et de la solution par branche?</t>
  </si>
  <si>
    <t>4.1.3.</t>
  </si>
  <si>
    <t>Votre entreprise utilise-t-elle le booklet / la brochure "Règles vitales" de la Suva?</t>
  </si>
  <si>
    <t>4.1.4.</t>
  </si>
  <si>
    <t>Les destinataires disposent-ils des feuillets d'information et des instructions de travail déterminantes pour la sécurité et la santé ou peuvent-ils les consulter à tout temps?</t>
  </si>
  <si>
    <t>4.1.5.</t>
  </si>
  <si>
    <t>En complément des feuillets d’information et des instructions de travail officiels, votre entreprise rédige-t-elle et utilise-t-elle des directives internes en matière de sécurité au travail et de protection de la santé? Si oui, lesquelles?</t>
  </si>
  <si>
    <t>4.A</t>
  </si>
  <si>
    <t>4.1.6.</t>
  </si>
  <si>
    <t>Les collaborateurs concernés sont-ils impliqués dans l’élaboration des directives internes?</t>
  </si>
  <si>
    <t>4.1.7.</t>
  </si>
  <si>
    <t>La mise à jour permanente des feuillets d’information, instructions de travail et directives internes est-elle garantie? Si oui, quel service ou quelle personne est chargé de cette tâche?</t>
  </si>
  <si>
    <t>4.2.</t>
  </si>
  <si>
    <t>Protection individuelle: Besoins</t>
  </si>
  <si>
    <t>4.2.1.a</t>
  </si>
  <si>
    <r>
      <t xml:space="preserve">Compte tenu des risques propres à votre exploitation, quels sont les équipements de protection individuelle nécessaires:
</t>
    </r>
    <r>
      <rPr>
        <i/>
        <sz val="11"/>
        <color theme="1"/>
        <rFont val="Arial"/>
        <family val="2"/>
      </rPr>
      <t>Casques?</t>
    </r>
  </si>
  <si>
    <t>4.2.1.b</t>
  </si>
  <si>
    <t>Casques, protection du visage?</t>
  </si>
  <si>
    <t>4.2.1.c</t>
  </si>
  <si>
    <t>Filets protégeant les cheveux?</t>
  </si>
  <si>
    <t>4.2.1.d</t>
  </si>
  <si>
    <t>Lunettes de protection?</t>
  </si>
  <si>
    <t>4.2.1.e</t>
  </si>
  <si>
    <t>Boucliers de protection?</t>
  </si>
  <si>
    <t>4.2.1.f</t>
  </si>
  <si>
    <t>Coiffes de protection?</t>
  </si>
  <si>
    <t>4.2.1.g</t>
  </si>
  <si>
    <t>Visières de protection?</t>
  </si>
  <si>
    <t>4.2.1.h</t>
  </si>
  <si>
    <t>Tampons auriculaires?</t>
  </si>
  <si>
    <t>4.2.1.i</t>
  </si>
  <si>
    <t>Coquilles de protection?</t>
  </si>
  <si>
    <t>4.2.1.j</t>
  </si>
  <si>
    <t>Casques de protection?</t>
  </si>
  <si>
    <t>4.2.1.k</t>
  </si>
  <si>
    <t>Combinaisons antibruit?</t>
  </si>
  <si>
    <t>4.2.1.l</t>
  </si>
  <si>
    <t>Appareils filtrants?</t>
  </si>
  <si>
    <t>4.2.1.m</t>
  </si>
  <si>
    <t>Appareils de protection respiratoire isolants non autonomes?</t>
  </si>
  <si>
    <t>4.2.1.n</t>
  </si>
  <si>
    <t>Appareils à régénération pour la protection des voies respiratoires?</t>
  </si>
  <si>
    <t>4.2.1.o</t>
  </si>
  <si>
    <t>Appareil à réservoir pour la protection des voies respiratoires?</t>
  </si>
  <si>
    <t>4.2.1.p</t>
  </si>
  <si>
    <t>Casques de protection pour les voies respiratoires?</t>
  </si>
  <si>
    <t>4.2.1.q</t>
  </si>
  <si>
    <t>Combinaison étanche pour la protection des voies respiratoires?</t>
  </si>
  <si>
    <t>4.2.1.r</t>
  </si>
  <si>
    <t>Gants de protection?</t>
  </si>
  <si>
    <t>4.2.1.s</t>
  </si>
  <si>
    <t>Protections pour les bras?</t>
  </si>
  <si>
    <t>4.2.1.t</t>
  </si>
  <si>
    <t>Produits de protection de la peau?</t>
  </si>
  <si>
    <t>4.2.1.u</t>
  </si>
  <si>
    <t>Chaussures de protection?</t>
  </si>
  <si>
    <t>4.2.1.v</t>
  </si>
  <si>
    <t>Guêtres de protection?</t>
  </si>
  <si>
    <t>4.2.1.w</t>
  </si>
  <si>
    <t>Protège-tibias?</t>
  </si>
  <si>
    <t>4.2.1.x</t>
  </si>
  <si>
    <t>Protège-genoux?</t>
  </si>
  <si>
    <t>4.2.1.y</t>
  </si>
  <si>
    <t>Vêtements de signalisation à haute visibilité, couleurs de signalisation?</t>
  </si>
  <si>
    <t>4.2.1.z</t>
  </si>
  <si>
    <t>Combinaisons de protection?</t>
  </si>
  <si>
    <t>4.2.1.aa</t>
  </si>
  <si>
    <t>Tabliers de protection?</t>
  </si>
  <si>
    <t>4.2.1.bb</t>
  </si>
  <si>
    <t>Manteaux de protection?</t>
  </si>
  <si>
    <t>4.2.1.cc</t>
  </si>
  <si>
    <t>Protections contre le froid?</t>
  </si>
  <si>
    <t>4.2.1.dd</t>
  </si>
  <si>
    <t>Protections contre l'humidité?</t>
  </si>
  <si>
    <t>4.2.1.ee</t>
  </si>
  <si>
    <t>Pantalons anti-coupures?</t>
  </si>
  <si>
    <t>4.2.1.ff</t>
  </si>
  <si>
    <t>Harnais anti-chutes?</t>
  </si>
  <si>
    <t>4.2.1.gg</t>
  </si>
  <si>
    <t>Cordes d'assurage?</t>
  </si>
  <si>
    <t>4.2.1.hh</t>
  </si>
  <si>
    <t>Gilets de sauvetage?</t>
  </si>
  <si>
    <t>4.2.1.ii</t>
  </si>
  <si>
    <t>Autres moyens de protection?Si oui, lesquels?</t>
  </si>
  <si>
    <t>4.3.</t>
  </si>
  <si>
    <t>Protection individuelle: Application</t>
  </si>
  <si>
    <t>4.3.1.</t>
  </si>
  <si>
    <t>Les collaborateurs concernés sont-ils associés au choix des équipements de protection individuelle?</t>
  </si>
  <si>
    <t>4.3.2.</t>
  </si>
  <si>
    <t>Disposez-vous d'instructions écrites, internes à l'entreprise, concernant l'utilisation d'équipements de protection individuelle?</t>
  </si>
  <si>
    <t>4.3.3.</t>
  </si>
  <si>
    <t>Les supérieurs hiérarchiques montrent-ils l'exemple quant au port des équipements de protection individuelle?</t>
  </si>
  <si>
    <t>4.3.4.</t>
  </si>
  <si>
    <t>Les collaborateurs sont-ils informés des risques inhérents à leur poste de travail et des mesures de sécurité correspondantes?</t>
  </si>
  <si>
    <t>4.3.5.</t>
  </si>
  <si>
    <t>Les collaborateurs sont-ils instruits sur l’utilisation correcte et l’entretien des équipements de protection individuelle?</t>
  </si>
  <si>
    <t>4.3.6.</t>
  </si>
  <si>
    <t>L'utilisation correcte de l'équipement de protection individuelle est-elle contrôlée et imposée?</t>
  </si>
  <si>
    <t>4.3.7.</t>
  </si>
  <si>
    <t xml:space="preserve">Existe-t-il des postes de travail ou des activités lors desquelles vous constatez une acceptation insatisfaisante des moyens de protection? Dans l’affirmative, quels moyens de protection et quels postes de travail/activités sont concernés? </t>
  </si>
  <si>
    <t>4.4.</t>
  </si>
  <si>
    <t>Fonctionnement normal et particulier</t>
  </si>
  <si>
    <t>4.4.1.</t>
  </si>
  <si>
    <r>
      <t xml:space="preserve">Les instructions des fabricants et fournisseurs concernant le fonctionnement normal* et particulier** d'installations, de machines et d'appareils sont-elles respectées?
</t>
    </r>
    <r>
      <rPr>
        <sz val="9"/>
        <color theme="1"/>
        <rFont val="Arial"/>
        <family val="2"/>
      </rPr>
      <t>* Fonctionnement normal: emploi d'équipements de travail conforme à leur destination, dans le sens de leur affectation première.
** Fonctionnement particulier: tous les autres travaux sur les équipements de travail, tels que préparation et adaptation, mise en place et réglage, essai de fonctionnement, localisation et levée de dérangements, nettoyage.</t>
    </r>
  </si>
  <si>
    <t>4.4.2.</t>
  </si>
  <si>
    <t>Disposez-vous d'instructions internes concernant le fonctionnement normal et particulier d'installations, de machines et d'appareils?</t>
  </si>
  <si>
    <t>4.B</t>
  </si>
  <si>
    <t>4.4.3.</t>
  </si>
  <si>
    <t>Connaissez-vous le rapport entre le nombre d'accidents, de presqu'accidents et de perturbations du processus en fonctionnement normal et particulier?</t>
  </si>
  <si>
    <t>4.5.</t>
  </si>
  <si>
    <t>Maintenance des équipements de travail</t>
  </si>
  <si>
    <t>4.5.1.</t>
  </si>
  <si>
    <r>
      <t xml:space="preserve">Votre entreprise dispose-t-elle d'une unité d'organisation spécifique chargée de la maintenance des équipements de travail*?
</t>
    </r>
    <r>
      <rPr>
        <sz val="9"/>
        <color theme="1"/>
        <rFont val="Arial"/>
        <family val="2"/>
      </rPr>
      <t>*Equipements de travail = ensemble des outils, engins, machines et installations utilisés au travail; installations et appareils techniques (IAT) appartenant à l'environnement de travail (p. ex. ventilation, chauffage, éclairage); équipements de protection individuelle (EPI).</t>
    </r>
  </si>
  <si>
    <t>4.5.2.</t>
  </si>
  <si>
    <t>Certains collaborateurs de votre entreprise reçoivent-ils une formation approfondie à la maintenance dispensée par des fabricants ou des fournisseurs d’équipements de travail?</t>
  </si>
  <si>
    <t>4.5.3.</t>
  </si>
  <si>
    <t>Disposez-vous d'instructions internes concernant la maintenance des équipements de travail?</t>
  </si>
  <si>
    <t>4.C</t>
  </si>
  <si>
    <t>4.5.4.</t>
  </si>
  <si>
    <t>Les instructions des fabricants et des fournisseurs et, le cas échéant, les instructions internes en matière de maintenance des équipements de travail sont-elles observées?</t>
  </si>
  <si>
    <t>4.5.5.</t>
  </si>
  <si>
    <t>Les travaux de maintenance sont-ils planifiés (plan de maintenance) et discutés avec les collaborateurs concernés?</t>
  </si>
  <si>
    <t>4.5.6.</t>
  </si>
  <si>
    <t>L'autorisation d'exploiter les équipements de travail à la suite de travaux de maintenance est-elle accordée en fonction de dispositions de sécurité spécifiques?</t>
  </si>
  <si>
    <t>4.6.</t>
  </si>
  <si>
    <t>Bâtiments et installations</t>
  </si>
  <si>
    <t>4.6.1.</t>
  </si>
  <si>
    <t>Votre entreprise dispose-t-elle d'une unité d'organisation spécifique chargée de la maintenance des bâtiments et des installations?</t>
  </si>
  <si>
    <t>4.6.2.</t>
  </si>
  <si>
    <t>Les mises en danger pouvant survenir lors des travaux de maintenance des bâtiments ont-elles été localisées et consignées?</t>
  </si>
  <si>
    <t>4.6.3.</t>
  </si>
  <si>
    <t>Disposez-vous de directives et de règles de sécurité en matière de maintenance de bâtiments et d'installations (p. ex. sur l'accessibilité de certaines parties d'un bâtiment)?</t>
  </si>
  <si>
    <t>4.D</t>
  </si>
  <si>
    <t>4.6.4.</t>
  </si>
  <si>
    <t>Certains collaborateurs de votre entreprise bénéficient-ils d’une formation et d’une instruction à la maintenance des bâtiments et installations?</t>
  </si>
  <si>
    <t>4.7.</t>
  </si>
  <si>
    <t xml:space="preserve">Acquisition des équipements de travail </t>
  </si>
  <si>
    <t>4.7.1.</t>
  </si>
  <si>
    <t>Est-il tenu compte des aspects de sécurité lors de l'acquisition d'équipements de travail?</t>
  </si>
  <si>
    <t>4.7.2.</t>
  </si>
  <si>
    <t>Lors de l'acquisition d'équipements de travail, utilisez-vous des listes de contrôle, des mots-clés ou des dispositions internes spécifiques en vue de contrôler les aspects de sécurité?</t>
  </si>
  <si>
    <t>4.E</t>
  </si>
  <si>
    <t>4.7.3.</t>
  </si>
  <si>
    <t>Vérifiez-vous que les équipements de travail, installations et produits sont sûrs avant d'être utilisés par vos employés?</t>
  </si>
  <si>
    <t>x</t>
  </si>
  <si>
    <t>4.7.4.</t>
  </si>
  <si>
    <t>Est-que les vérifications des équipements de travail, installations et produits sont documentés par vos collaborateurs?</t>
  </si>
  <si>
    <t>4.7.5.</t>
  </si>
  <si>
    <t>Exigez-vous de vos fournisseurs des données sur la sécurité, des rapports d'essai, des certificats, des résultats de tests, des références déjà lors de la demande d'offre?</t>
  </si>
  <si>
    <t>4.7.6.</t>
  </si>
  <si>
    <r>
      <t xml:space="preserve">Exigez-vous de vos fournisseurs une déclaration de conformité (déclaration du fabricant) ou, si nécessaire, un examen de type selon l'OSPro*?
</t>
    </r>
    <r>
      <rPr>
        <sz val="10"/>
        <color theme="1"/>
        <rFont val="Arial"/>
        <family val="2"/>
      </rPr>
      <t>* OSPro = ordonnance sur la sécurité des produits</t>
    </r>
  </si>
  <si>
    <t>4.7.7.</t>
  </si>
  <si>
    <t>Les déclarations de conformité sont-elles contrôlées quant à leur intégralité puis archivées?</t>
  </si>
  <si>
    <t>5.</t>
  </si>
  <si>
    <t>Détermination des phénomènes dangereux et évaluation des risques</t>
  </si>
  <si>
    <t>Visa gestionnaire du dossier Chapitre 5:</t>
  </si>
  <si>
    <t>5.1.</t>
  </si>
  <si>
    <t>Appel à des spécialistes (selon la directive CFST 6508)</t>
  </si>
  <si>
    <t>5.1.1.a</t>
  </si>
  <si>
    <r>
      <t xml:space="preserve">De quelle manière avez-vous défini dans votre entreprise le recours à des médecins du travail et à d'autres spécialistes de la sécurité au travail:
</t>
    </r>
    <r>
      <rPr>
        <i/>
        <sz val="11"/>
        <color theme="1"/>
        <rFont val="Arial"/>
        <family val="2"/>
      </rPr>
      <t>Solution propre à votre entreprise?</t>
    </r>
    <r>
      <rPr>
        <sz val="11"/>
        <color theme="1"/>
        <rFont val="Arial"/>
        <family val="2"/>
      </rPr>
      <t xml:space="preserve">
Si oui, les noms des médecins du travail et des spécialistes compétents doivent être insérés dans la feuille de calcul «Personnes clés pour la sécurité»</t>
    </r>
  </si>
  <si>
    <t>5.1.1.b</t>
  </si>
  <si>
    <t>Participation à la solution par branche? Si oui, veuillez inscrire quelle solution par branche.</t>
  </si>
  <si>
    <t>5.1.1.c</t>
  </si>
  <si>
    <t>Participation à la solution par groupe d'entreprises? Si oui, veuillez inscrire quelle solution par groupe d'entreprises?</t>
  </si>
  <si>
    <t>5.1.1.d</t>
  </si>
  <si>
    <t>Solution type?  Si oui, laquelle?</t>
  </si>
  <si>
    <t>5.1.1.e</t>
  </si>
  <si>
    <t>Autre solution? Si oui, laquellle?</t>
  </si>
  <si>
    <t>5.2.</t>
  </si>
  <si>
    <t>Détermination des phénomènes dangereux</t>
  </si>
  <si>
    <t>5.2.1.</t>
  </si>
  <si>
    <t xml:space="preserve">Les dangers concernant la sécurité et la santé des travailleurs dans votre entreprise ont-ils été déterminés et consignés?
Si oui, à l'aide de quelles méthodes? </t>
  </si>
  <si>
    <t>5.A</t>
  </si>
  <si>
    <t>5.2.2.a</t>
  </si>
  <si>
    <r>
      <t xml:space="preserve">À quelle situation, respectivement à quels éléments se rapporte la détermination des phénomènes dangereux:
</t>
    </r>
    <r>
      <rPr>
        <i/>
        <sz val="11"/>
        <color theme="1"/>
        <rFont val="Arial"/>
        <family val="2"/>
      </rPr>
      <t>Equipements de travail?</t>
    </r>
  </si>
  <si>
    <t>5.2.2.b</t>
  </si>
  <si>
    <t>Processus de travail, méthodes, procédés?</t>
  </si>
  <si>
    <t>5.2.2.c</t>
  </si>
  <si>
    <t>Activités?</t>
  </si>
  <si>
    <t>5.2.2.d</t>
  </si>
  <si>
    <t>Places de travail?</t>
  </si>
  <si>
    <t>5.2.2.e</t>
  </si>
  <si>
    <t>Activités et places de travail avec soustraitants (p.ex. entreprise tierce)</t>
  </si>
  <si>
    <t>5.2.2.f</t>
  </si>
  <si>
    <t>Produits?</t>
  </si>
  <si>
    <t>5.2.2.g</t>
  </si>
  <si>
    <t>Substances dangereuses pour la santé?</t>
  </si>
  <si>
    <t>5.2.2.h</t>
  </si>
  <si>
    <t>Autres faits ou objets? Si oui, lesquels?</t>
  </si>
  <si>
    <t>5.2.3.</t>
  </si>
  <si>
    <t>La détermination des phénomènes dangereux est-elle régulièrement vérifiée et adaptée en fonction des changements dans l'entreprise?</t>
  </si>
  <si>
    <t>5.2.4.</t>
  </si>
  <si>
    <t>Dans votre entreprise y a-t-il une personne / organisme responsable de la détermination systématique des phénomènes dangereux? Si oui, quelle personne / organisme?</t>
  </si>
  <si>
    <t>5.2.5.</t>
  </si>
  <si>
    <t xml:space="preserve">Qui est compétent dans votre entreprise pour la détermination
systématique des phénomènes dangereux?
</t>
  </si>
  <si>
    <t>5.2.7.</t>
  </si>
  <si>
    <t xml:space="preserve">Les résultats de la détermination des phénomènes dangereux
sont-ils pris en considération lors de la définition des objectifs en matière de sécurité et de protection de la santé?
</t>
  </si>
  <si>
    <t>5.3.</t>
  </si>
  <si>
    <t>Evaluation des risques</t>
  </si>
  <si>
    <t>5.3.1</t>
  </si>
  <si>
    <t>Des évaluations des risques sont-elles effectuées dans votre
entreprise? Si oui, à l'aide de quelle méthode?</t>
  </si>
  <si>
    <t>5.B</t>
  </si>
  <si>
    <t>5.3.2.a</t>
  </si>
  <si>
    <r>
      <t xml:space="preserve">Dans quelles situations l'évaluation des risques est-elle réalisée:
</t>
    </r>
    <r>
      <rPr>
        <i/>
        <sz val="11"/>
        <color theme="1"/>
        <rFont val="Arial"/>
        <family val="2"/>
      </rPr>
      <t>Lors de nouveaux équipements de travail, nouveaux processus, nouveaux produits?</t>
    </r>
  </si>
  <si>
    <t>5.3.2.b</t>
  </si>
  <si>
    <t>Lors de modification ou d’adaptation des processus ou moyens de travail?</t>
  </si>
  <si>
    <t>5.3.2.c</t>
  </si>
  <si>
    <t>Lorsque les règles de la technique manquent ou sont incomplètes?</t>
  </si>
  <si>
    <t>5.3.3.</t>
  </si>
  <si>
    <t xml:space="preserve">L'évaluation des risques est-elle régulièrement vérifiée et adaptée en fonction des changements dans l'entreprise? </t>
  </si>
  <si>
    <t>5.3.4.</t>
  </si>
  <si>
    <t>Dans votre entreprise y a-t-il une personne / organisme responsable pour l'évaluation systématique des risques? Si oui, quelle personne / organisme?</t>
  </si>
  <si>
    <t>5.3.5.</t>
  </si>
  <si>
    <t>Vos collaborateurs sont-ils consultés pour l'évaluation des risques?</t>
  </si>
  <si>
    <t>5.3.6.</t>
  </si>
  <si>
    <t>Les résultats des évaluations des risques sont-ils consignés
par écrit? Si oui, de quelle manière?</t>
  </si>
  <si>
    <t>5.C</t>
  </si>
  <si>
    <t>5.3.7.</t>
  </si>
  <si>
    <t>Les résultats de l'évaluation des risques sont-ils pris en considération lors de la définition des objectifs en matière de sécurité et de protection de la santé?</t>
  </si>
  <si>
    <t>5.4.</t>
  </si>
  <si>
    <t>Analyse des événements</t>
  </si>
  <si>
    <t>5.4.1.a</t>
  </si>
  <si>
    <r>
      <t xml:space="preserve">Disposez-vous dans votre entreprises d'instructions stipulant que
tous les événements doivent être signalés dans un certain délai:
</t>
    </r>
    <r>
      <rPr>
        <i/>
        <sz val="11"/>
        <color theme="1"/>
        <rFont val="Arial"/>
        <family val="2"/>
      </rPr>
      <t>Maladies et accidents professionnels?</t>
    </r>
  </si>
  <si>
    <t>5.4.1.b</t>
  </si>
  <si>
    <t>5.4.1.c</t>
  </si>
  <si>
    <t>Maladie(s)?</t>
  </si>
  <si>
    <t>5.4.1.d</t>
  </si>
  <si>
    <t>5.4.1.e</t>
  </si>
  <si>
    <t>Presque-accidents?</t>
  </si>
  <si>
    <t>5.4.1.f</t>
  </si>
  <si>
    <t>Perturbations du processus?</t>
  </si>
  <si>
    <t>5.4.1.g</t>
  </si>
  <si>
    <t>Autres événements?
Si oui, lesquels?</t>
  </si>
  <si>
    <t>5.4.3.</t>
  </si>
  <si>
    <t>Votre entreprise a-t-elle désigné un service chargé de recueillir et d'évaluer les annonces d'accidents?</t>
  </si>
  <si>
    <t>5.4.4.</t>
  </si>
  <si>
    <t>Votre entreprise a-t-elle défini et fixé par écrit une procédure pour l'analyse des incidents?</t>
  </si>
  <si>
    <t>5.D</t>
  </si>
  <si>
    <t>5.4.5.a</t>
  </si>
  <si>
    <r>
      <t xml:space="preserve">Les incidents sont-ils analysés de manière régulière et systématique:
</t>
    </r>
    <r>
      <rPr>
        <i/>
        <sz val="11"/>
        <color theme="1"/>
        <rFont val="Arial"/>
        <family val="2"/>
      </rPr>
      <t>Maladies et accidents professionnels?</t>
    </r>
  </si>
  <si>
    <t>5.4.5.b</t>
  </si>
  <si>
    <t>5.4.5.c</t>
  </si>
  <si>
    <t>5.4.5.d</t>
  </si>
  <si>
    <t>5.4.5.e</t>
  </si>
  <si>
    <t>5.4.5.f</t>
  </si>
  <si>
    <t>5.4.5.g</t>
  </si>
  <si>
    <t>5.4.6.</t>
  </si>
  <si>
    <t>Après avoir été annoncé à la Suva, un accident est-il, en règle générale, classé ou fait-il l'objet d'investigations en interne?</t>
  </si>
  <si>
    <t>6.</t>
  </si>
  <si>
    <t>Mesures</t>
  </si>
  <si>
    <t>Visa gestionnaire du dossier Chapitre 6:</t>
  </si>
  <si>
    <t>6.1.</t>
  </si>
  <si>
    <t>Elaboration des mesures</t>
  </si>
  <si>
    <t>6.1.1.</t>
  </si>
  <si>
    <t>Lorsqu'un risque a été identifié, prenez-vous toujours les mesures qui s'imposent?</t>
  </si>
  <si>
    <t>6.1.2.</t>
  </si>
  <si>
    <t>Adoptez-vous des mesures de sécurité en raison de stratégies spécifiques (objectifs, moyens et procédures)?</t>
  </si>
  <si>
    <t>6.A</t>
  </si>
  <si>
    <t>6.1.3.a</t>
  </si>
  <si>
    <r>
      <t xml:space="preserve">Qui participe à l'élaboration de mesures:
</t>
    </r>
    <r>
      <rPr>
        <i/>
        <sz val="11"/>
        <color theme="1"/>
        <rFont val="Arial"/>
        <family val="2"/>
      </rPr>
      <t>Supérieurs hiérarchiques?</t>
    </r>
  </si>
  <si>
    <t>6.1.3.b</t>
  </si>
  <si>
    <t>Collaborateurs?</t>
  </si>
  <si>
    <t>6.1.3.c</t>
  </si>
  <si>
    <t>Préposés à la sécurité?</t>
  </si>
  <si>
    <t>6.1.3.d</t>
  </si>
  <si>
    <t>Organisation de la sécurité?</t>
  </si>
  <si>
    <t>6.1.3.e</t>
  </si>
  <si>
    <t>Autres? Si oui, qui?</t>
  </si>
  <si>
    <t>6.1.4.</t>
  </si>
  <si>
    <t>Fixez-vous un délai pour l'exécution des mesures à prendre et contrôlez-vous le respect dudit délai?</t>
  </si>
  <si>
    <t>6.1.5.</t>
  </si>
  <si>
    <t>Vérifiez-vous l'efficacité des mesures prises?</t>
  </si>
  <si>
    <t>6.1.6.</t>
  </si>
  <si>
    <t>Les effets des mesures prises et mises en œuvre sont-ils pris en considération lors de la définition des objectifs en matière  de sécurité et de protection de la santé?</t>
  </si>
  <si>
    <t>6.2.</t>
  </si>
  <si>
    <t>Programmes de sécurité</t>
  </si>
  <si>
    <t>6.2.1.a</t>
  </si>
  <si>
    <r>
      <t xml:space="preserve">Des programmes de sécurité en vue de la promotion ont-ils été mis sur pied dans votre entreprise au cours des deux dernières années?
</t>
    </r>
    <r>
      <rPr>
        <i/>
        <sz val="11"/>
        <color theme="1"/>
        <rFont val="Arial"/>
        <family val="2"/>
      </rPr>
      <t>Sécurité au travail?</t>
    </r>
  </si>
  <si>
    <t>6.2.1.b</t>
  </si>
  <si>
    <t>Sécurité durant les loisirs?</t>
  </si>
  <si>
    <t>6.2.1.c</t>
  </si>
  <si>
    <t>Promotion de la santé?</t>
  </si>
  <si>
    <t>6.2.2.a</t>
  </si>
  <si>
    <r>
      <t xml:space="preserve">Même question à propos des programmes suivants:
</t>
    </r>
    <r>
      <rPr>
        <i/>
        <sz val="11"/>
        <color theme="1"/>
        <rFont val="Arial"/>
        <family val="2"/>
      </rPr>
      <t>Echafaudages sûrs?</t>
    </r>
  </si>
  <si>
    <t>6.2.2.b</t>
  </si>
  <si>
    <t>Presses sécurisées?</t>
  </si>
  <si>
    <t>6.2.2.c</t>
  </si>
  <si>
    <t>STOP à la manipulation des dispositifs de protection?</t>
  </si>
  <si>
    <t>6.2.2.d</t>
  </si>
  <si>
    <t>trébucher.ch?</t>
  </si>
  <si>
    <t>6.2.2.e</t>
  </si>
  <si>
    <t>Amiante?</t>
  </si>
  <si>
    <t>6.2.2.f</t>
  </si>
  <si>
    <t>Maintenance?</t>
  </si>
  <si>
    <t>6.2.2.g</t>
  </si>
  <si>
    <t>Apprentissage en toute sécurité?</t>
  </si>
  <si>
    <t>6.2.2.h</t>
  </si>
  <si>
    <t>Autres programmes de sécurité? Si oui, lesquels?</t>
  </si>
  <si>
    <t>7.</t>
  </si>
  <si>
    <t>Organisation en cas d’urgence</t>
  </si>
  <si>
    <t>Visa gestionnaire du dossier Chapitre 7:</t>
  </si>
  <si>
    <t>7.1.</t>
  </si>
  <si>
    <t>Concept en cas d’urgences</t>
  </si>
  <si>
    <t>7.1.1.</t>
  </si>
  <si>
    <t>Disposez-vous d'un concept d'intervention d'urgence répondant aux risques présents dans l'entreprise?</t>
  </si>
  <si>
    <t>7.A</t>
  </si>
  <si>
    <t>7.1.2.</t>
  </si>
  <si>
    <t>Est-il certain que les premiers secours rapides et compétents sont garantis en cas d'accident ou de maladie subite?</t>
  </si>
  <si>
    <t>7.1.3.a</t>
  </si>
  <si>
    <r>
      <t xml:space="preserve">Les personnes et institutions suivantes de votre région sont-elles informées des risques spécifiques ou des incidents pouvant avoir lieu dans votre entreprise ainsi que des matières que vous stockez et utilisez:
</t>
    </r>
    <r>
      <rPr>
        <i/>
        <sz val="11"/>
        <color theme="1"/>
        <rFont val="Arial"/>
        <family val="2"/>
      </rPr>
      <t>Médecins?</t>
    </r>
  </si>
  <si>
    <t>7.1.3.b</t>
  </si>
  <si>
    <t>Hôpitaux, ambulances?</t>
  </si>
  <si>
    <t>7.1.3.c</t>
  </si>
  <si>
    <t>Service du feu?</t>
  </si>
  <si>
    <t>7.1.3.d</t>
  </si>
  <si>
    <t>Service de police?</t>
  </si>
  <si>
    <t>7.1.4.</t>
  </si>
  <si>
    <t>Votre entreprise dispose-t-elle d'un système d'avertissement ou d'alarme pour les cas d'urgence?</t>
  </si>
  <si>
    <t>7.1.5.</t>
  </si>
  <si>
    <t>Les numéros d'urgence sont-ils facilement reconnaissables sur tous les moyens de communication?</t>
  </si>
  <si>
    <t>7.1.6.</t>
  </si>
  <si>
    <t>Un accès rapide et libre au matériel de secours est-il assuré en tout temps?</t>
  </si>
  <si>
    <t>7.1.7.a</t>
  </si>
  <si>
    <r>
      <t xml:space="preserve">Le service d'urgence est-il également assuré en cas de: 
</t>
    </r>
    <r>
      <rPr>
        <i/>
        <sz val="11"/>
        <color theme="1"/>
        <rFont val="Arial"/>
        <family val="2"/>
      </rPr>
      <t>Travail en équipe?</t>
    </r>
  </si>
  <si>
    <t>7.1.7.b</t>
  </si>
  <si>
    <t>Travail durant le week-end?</t>
  </si>
  <si>
    <t>7.1.7.c</t>
  </si>
  <si>
    <t>Heures supplémentaires</t>
  </si>
  <si>
    <t>7.1.7.d</t>
  </si>
  <si>
    <t>Missions spéciales?</t>
  </si>
  <si>
    <t>7.1.7.e</t>
  </si>
  <si>
    <t>Personnes travaillant seules?</t>
  </si>
  <si>
    <t>7.1.8.</t>
  </si>
  <si>
    <t>Les gestes de premiers secours sont-ils consignés? Si oui, de quelle manière?</t>
  </si>
  <si>
    <t>7.1.9.</t>
  </si>
  <si>
    <t>Les collaborateurs de tous les échelons connaissent-ils les règles de comportement à adopter en cas d’urgence?</t>
  </si>
  <si>
    <t>7.2.</t>
  </si>
  <si>
    <t>Conditions relatives au personnel</t>
  </si>
  <si>
    <t>7.2.1.</t>
  </si>
  <si>
    <t>Les collaborateursont-ils reçu des instructions écrites concernant le comportement à adopter en cas d’urgence?</t>
  </si>
  <si>
    <t>7.2.2.</t>
  </si>
  <si>
    <t>Les collaborateurs portent-ils une carte sanitaire d'urgence avec les informations essentielles pour les annonces en cas d'urgence?</t>
  </si>
  <si>
    <t>7.B</t>
  </si>
  <si>
    <t>7.2.3.a</t>
  </si>
  <si>
    <r>
      <t xml:space="preserve">Le comportement correct des collaborateurs dans des situations d'urgence (accident, incident, etc.) est-il:
</t>
    </r>
    <r>
      <rPr>
        <i/>
        <sz val="11"/>
        <color theme="1"/>
        <rFont val="Arial"/>
        <family val="2"/>
      </rPr>
      <t>Instruit?</t>
    </r>
  </si>
  <si>
    <t>7.2.3.b</t>
  </si>
  <si>
    <t>Exercé?</t>
  </si>
  <si>
    <t>7.2.3.c</t>
  </si>
  <si>
    <t>Vérifié?</t>
  </si>
  <si>
    <t>7.2.4.</t>
  </si>
  <si>
    <t>Disposez-vous d'un service sanitaire propre à l'entreprise?</t>
  </si>
  <si>
    <t>7.2.5.</t>
  </si>
  <si>
    <t>Disposez-vous de secouristes spécialement formés,disponibles en permanence et propres à votre entreprise? Si oui, combien?</t>
  </si>
  <si>
    <t>7.2.6.</t>
  </si>
  <si>
    <t>Disposez-vous d'un local sanitaire propre à votre entreprise et équipé pour les premiers secours selon les risques encourus dans votre entreprise?</t>
  </si>
  <si>
    <t>7.2.7.a</t>
  </si>
  <si>
    <r>
      <t>Lors d'incidents particuliers (accident, incendie, etc.), une personne
est-elle désignée pour informer:
L</t>
    </r>
    <r>
      <rPr>
        <i/>
        <sz val="11"/>
        <color theme="1"/>
        <rFont val="Arial"/>
        <family val="2"/>
      </rPr>
      <t>es proches de la personne accidentée?</t>
    </r>
  </si>
  <si>
    <t>7.2.7.b</t>
  </si>
  <si>
    <t>L'assurance?</t>
  </si>
  <si>
    <t>7.2.7.c</t>
  </si>
  <si>
    <t>Les autorités?</t>
  </si>
  <si>
    <t>7.2.7.d</t>
  </si>
  <si>
    <t>Les médias?</t>
  </si>
  <si>
    <t>7.3.</t>
  </si>
  <si>
    <t>Protection contre les incendies</t>
  </si>
  <si>
    <t>7.3.1.</t>
  </si>
  <si>
    <t>Disposez-vous d'une organisation interne de protection contre les incendies?</t>
  </si>
  <si>
    <t>7.C</t>
  </si>
  <si>
    <t>7.3.2.</t>
  </si>
  <si>
    <t>Disposez-vous d'une organisation d'annonce en cas d'incendie (organisation d'alarme) ainsi que des dispositifs appropriés pour l'avertissement en cas d'incendie?</t>
  </si>
  <si>
    <t>7.3.3.</t>
  </si>
  <si>
    <t>Les collaborateurs sont-ils informés du comportement à adopter en cas d'incendie?</t>
  </si>
  <si>
    <t>7.3.4.</t>
  </si>
  <si>
    <t>Effectuez-vous des exercices pratiques sur le comportement à adopter en cas d'incendie? Si oui, à quelle date a eu lieu le dernier exercice?</t>
  </si>
  <si>
    <t>7.3.5.</t>
  </si>
  <si>
    <t>Tous les collaborateurs de l’entreprise ont-ils participé au dernier exercice?</t>
  </si>
  <si>
    <t>8.</t>
  </si>
  <si>
    <t>Participation</t>
  </si>
  <si>
    <t>Visa gestionnaire du dossier Chapitre 8:</t>
  </si>
  <si>
    <t>8.1.</t>
  </si>
  <si>
    <t>Participation des collaborateurs</t>
  </si>
  <si>
    <t>8.1.1.</t>
  </si>
  <si>
    <r>
      <t xml:space="preserve">L’information et la consultation des collaborateurs sont-elles réglementées par la loi sur la participation*?
</t>
    </r>
    <r>
      <rPr>
        <sz val="9"/>
        <color theme="1"/>
        <rFont val="Arial"/>
        <family val="2"/>
      </rPr>
      <t>* Loi sur la participation = loi fédérale sur l'information et la consultation des travailleurs dans les entreprises</t>
    </r>
  </si>
  <si>
    <t>8.1.2.a</t>
  </si>
  <si>
    <r>
      <t xml:space="preserve">Quel type de représentation des travailleurs existe dans votre entreprise:
</t>
    </r>
    <r>
      <rPr>
        <i/>
        <sz val="11"/>
        <color theme="1"/>
        <rFont val="Arial"/>
        <family val="2"/>
      </rPr>
      <t>Directement par certains collaborateurs?</t>
    </r>
    <r>
      <rPr>
        <sz val="11"/>
        <color theme="1"/>
        <rFont val="Arial"/>
        <family val="2"/>
      </rPr>
      <t xml:space="preserve">
</t>
    </r>
  </si>
  <si>
    <t>8.1.2.b</t>
  </si>
  <si>
    <t>Par des représentants élus par les collaborateurs?</t>
  </si>
  <si>
    <t>8.1.3.</t>
  </si>
  <si>
    <t>L’information complète et en temps utile des collaborateurs ou des représentants des travailleurs est-elle garantie?</t>
  </si>
  <si>
    <t>8.1.4.</t>
  </si>
  <si>
    <t>Les droits de participation spécifiques des collaborateurs  ou de leurs représentants en matière de sécurité au travail et de protection de la santé sont-ils garantis?</t>
  </si>
  <si>
    <t>8.1.5.</t>
  </si>
  <si>
    <t>Les représentants des collaborateurs sont-ils soutenus dans leurs activités par l'employeur?</t>
  </si>
  <si>
    <t>8.2.</t>
  </si>
  <si>
    <t>Propositions d’amélioration et système d’incitation</t>
  </si>
  <si>
    <t>8.2.1.</t>
  </si>
  <si>
    <t>Le système de propositions et d'améliorations est-il institutionnalisé dans votre entreprise?</t>
  </si>
  <si>
    <t>8.A</t>
  </si>
  <si>
    <t>8.2.2.</t>
  </si>
  <si>
    <t>Les propositions en matière de sécurité et de protection de la santé sont-elles explicitement souhaitées par l'entreprise?</t>
  </si>
  <si>
    <t>8.2.3.</t>
  </si>
  <si>
    <t>Avez-vous reçu des propositions pendant ces douze derniers mois? Si oui, combien?</t>
  </si>
  <si>
    <t>8.2.4.</t>
  </si>
  <si>
    <t>Avez-vous reçu des propositions qui concernaient la sécurité et la santé (au sens le plus large) pendant ces douze derniers mois? Si oui, combien?</t>
  </si>
  <si>
    <t>8.2.5.</t>
  </si>
  <si>
    <t>Les propositions visant l'amélioration de la sécurité sont-elles récompensées? Si oui, de quelle manière?</t>
  </si>
  <si>
    <t>8.2.6.</t>
  </si>
  <si>
    <t>Votre entreprise recourt-elle à un système d'incitation spécifique en vue de promouvoir la sécurité et la santé? Si oui, en quoi consiste ce système d'incitation?</t>
  </si>
  <si>
    <t>8.2.7.</t>
  </si>
  <si>
    <r>
      <t xml:space="preserve">Votre entreprise recourt-elle à des cercles de qualité* ou d'autres moyens permettant d'utiliser au mieux les capacités d'amélioration du personnel? Si oui, lesquels?
</t>
    </r>
    <r>
      <rPr>
        <sz val="9"/>
        <color theme="1"/>
        <rFont val="Arial"/>
        <family val="2"/>
      </rPr>
      <t>*Cercles de qualité = groupe de travail char-gé de l'amélioration continue de la qualité.</t>
    </r>
  </si>
  <si>
    <t>9.</t>
  </si>
  <si>
    <t>Protection de la santé</t>
  </si>
  <si>
    <t>Visa gestionnaire du dossier Chapitre 9:</t>
  </si>
  <si>
    <t>9.1.</t>
  </si>
  <si>
    <t>Aménagement du travail</t>
  </si>
  <si>
    <t>9.1.1.</t>
  </si>
  <si>
    <t>Les collaborateurs sont-ils en mesure d'organiser leur travail de manière autonome?</t>
  </si>
  <si>
    <t>9.1.2.</t>
  </si>
  <si>
    <t>Les collaborateurs peuvent-ils  interrompre le flux de travail sans qu'il y ait des répercussions négatives (retards)?</t>
  </si>
  <si>
    <t>9.1.3.</t>
  </si>
  <si>
    <t xml:space="preserve">Les collaborateurs peuvent-ils se concerter aussi souvent que cela est nécessaire? </t>
  </si>
  <si>
    <t>9.1.4.</t>
  </si>
  <si>
    <t>Y a-t-il souvent des incertitudes quant à qui est responsable de quoi, même si chacun croit que tout a été clairement défini?</t>
  </si>
  <si>
    <t>9.1.5.</t>
  </si>
  <si>
    <t>Certains domaines rencontrent-ils des perturbations fréquentes dans le déroulement du travail (quiproquos, oublis, omissions, méprises)? Si oui, lesquelles ?</t>
  </si>
  <si>
    <t>9.1.6.</t>
  </si>
  <si>
    <t>Dans votre entreprise, y a-t-il des activités monotones, peu stimulantes requérant des aptitudes peu élevées?</t>
  </si>
  <si>
    <t>9.1.7.</t>
  </si>
  <si>
    <t>Si vous-avez répondu 9.1.6. positivement, de quelle manière pourrait-on enrichir ou modifier ces tâches afin de les rendre plus attrayantes?</t>
  </si>
  <si>
    <t>9.2.</t>
  </si>
  <si>
    <t>Charge de travail, satisfaction au travail</t>
  </si>
  <si>
    <t>9.2.1.</t>
  </si>
  <si>
    <t>Y a-t-il des secteurs où l’on se plaint fréquemment de fatigue, de maux de tête, de troubles du sommeil ou de maux d'estomac? 
Si oui, dans quels secteurs?</t>
  </si>
  <si>
    <t>9.2.2.</t>
  </si>
  <si>
    <t>Recevez-vous des plaintes relatives aux tâches de travail monotones ou aux contraintes unilatérales? 
Si oui, dans quels domaines?</t>
  </si>
  <si>
    <t>9.2.3.</t>
  </si>
  <si>
    <t>Recevez-vous des plaintes relatives aux délais trop courts, à l'effervescence ou au surmenage?</t>
  </si>
  <si>
    <t>9.2.4.</t>
  </si>
  <si>
    <t xml:space="preserve">Arrive-t-il que vous remarquiez une insatisfaction diffuse sans pouvoir trouver une raison valable pour ce malaise (les collaborateurs de plaignent en permanence)? </t>
  </si>
  <si>
    <t>9.2.5.a</t>
  </si>
  <si>
    <r>
      <t xml:space="preserve">Y a-t-il des conflits:
</t>
    </r>
    <r>
      <rPr>
        <i/>
        <sz val="11"/>
        <color theme="1"/>
        <rFont val="Arial"/>
        <family val="2"/>
      </rPr>
      <t>Entre les employés?</t>
    </r>
  </si>
  <si>
    <t>9.2.5.b</t>
  </si>
  <si>
    <t>Entre les divisions?</t>
  </si>
  <si>
    <t>9.2.5.c</t>
  </si>
  <si>
    <t>Entre les supérieurs et les subordonnés?</t>
  </si>
  <si>
    <t>9.2.5.d</t>
  </si>
  <si>
    <t>Entre les supérieurs?</t>
  </si>
  <si>
    <t>9.2.6.</t>
  </si>
  <si>
    <t>Une procédure pour la gestion des conflits est-elle appliquée?</t>
  </si>
  <si>
    <t>9.3.</t>
  </si>
  <si>
    <t>Charge physique</t>
  </si>
  <si>
    <t>9.3.1.a</t>
  </si>
  <si>
    <r>
      <t xml:space="preserve">Les contraintes physiques suivantes relatives à la sécurité et à la santé apparaissent-elles aux postes de travail de votre entreprise:
</t>
    </r>
    <r>
      <rPr>
        <i/>
        <sz val="11"/>
        <color theme="1"/>
        <rFont val="Arial"/>
        <family val="2"/>
      </rPr>
      <t>Contraintes cardio-vasculaires élevées, travaux physiquement pénibles?</t>
    </r>
  </si>
  <si>
    <t>9.3.1.b</t>
  </si>
  <si>
    <t>Contraintes importantes sur le squelette et les muscles?</t>
  </si>
  <si>
    <t>9.3.1.c</t>
  </si>
  <si>
    <t>Contraintes unilatérales locales sur le corps?</t>
  </si>
  <si>
    <t>9.3.1.d</t>
  </si>
  <si>
    <t>Contraintes importantes de l'appareil respiratoire?</t>
  </si>
  <si>
    <t>9.3.1.e</t>
  </si>
  <si>
    <t>Positions de travail statiques prolongées, travail musculaire prolongé?</t>
  </si>
  <si>
    <t>9.3.1.f</t>
  </si>
  <si>
    <t>Positions du corps peu naturelles et forcées?</t>
  </si>
  <si>
    <t>9.3.1.g</t>
  </si>
  <si>
    <t>Contraintes liées au levage, au maintien, au port et au déplacement de charges lourdes?</t>
  </si>
  <si>
    <t>9.3.1.h</t>
  </si>
  <si>
    <t>Bruit?</t>
  </si>
  <si>
    <t>9.3.1.i</t>
  </si>
  <si>
    <t>Vibrations?</t>
  </si>
  <si>
    <t>9.3.1.j</t>
  </si>
  <si>
    <t>Gaz d'échappement?</t>
  </si>
  <si>
    <t>9.3.1.k</t>
  </si>
  <si>
    <t>Chaleur?</t>
  </si>
  <si>
    <t>9.3.1.l</t>
  </si>
  <si>
    <t>Froid?</t>
  </si>
  <si>
    <t>9.3.1.m</t>
  </si>
  <si>
    <t>Humidité?</t>
  </si>
  <si>
    <t>9.3.1.n</t>
  </si>
  <si>
    <t>Bruine?</t>
  </si>
  <si>
    <t>9.3.1.o</t>
  </si>
  <si>
    <t>Courants d'air?</t>
  </si>
  <si>
    <t>9.3.1.p</t>
  </si>
  <si>
    <t>Vapeurs?</t>
  </si>
  <si>
    <t>9.3.1.q</t>
  </si>
  <si>
    <t>Poussières?</t>
  </si>
  <si>
    <t>9.3.1.r</t>
  </si>
  <si>
    <t>Brouillard?</t>
  </si>
  <si>
    <t>9.3.1.s</t>
  </si>
  <si>
    <t>Fumée?</t>
  </si>
  <si>
    <t>9.3.1.t</t>
  </si>
  <si>
    <t>Gaz?</t>
  </si>
  <si>
    <t>9.3.1.u</t>
  </si>
  <si>
    <t>Substances?</t>
  </si>
  <si>
    <t>9.3.1.v</t>
  </si>
  <si>
    <t>Rayons lumineux, champs de rayonnement?</t>
  </si>
  <si>
    <t>9.3.1.w</t>
  </si>
  <si>
    <t>Odeurs désagréables?</t>
  </si>
  <si>
    <t>9.3.1.x</t>
  </si>
  <si>
    <t>Lumière, éclairage?</t>
  </si>
  <si>
    <t>9.3.1.y</t>
  </si>
  <si>
    <t>Visibilité?</t>
  </si>
  <si>
    <t>9.3.1.z</t>
  </si>
  <si>
    <t>Autres contraintes? Si oui, lesquels?</t>
  </si>
  <si>
    <t>9.4.</t>
  </si>
  <si>
    <t>Charge psychique</t>
  </si>
  <si>
    <t>9.4.1.a</t>
  </si>
  <si>
    <r>
      <t xml:space="preserve">Les contraintes psychiques suivantes relatives à la sécurité et à la santé apparaissent-elles aux postes de travail de votre entreprise:
</t>
    </r>
    <r>
      <rPr>
        <i/>
        <sz val="11"/>
        <color theme="1"/>
        <rFont val="Arial"/>
        <family val="2"/>
      </rPr>
      <t>Compétences peu claires?</t>
    </r>
  </si>
  <si>
    <t>9.4.1.b</t>
  </si>
  <si>
    <t>Inadéquation entre les tâches, les compétences et les responsabilités?</t>
  </si>
  <si>
    <t>9.4.1.c</t>
  </si>
  <si>
    <t>Informations et instructions de travail contradictoires?</t>
  </si>
  <si>
    <t>9.4.1.d</t>
  </si>
  <si>
    <t>Information et communication insuffisantes?</t>
  </si>
  <si>
    <t>9.4.1.e</t>
  </si>
  <si>
    <t>Lacunes au niveau de la direction?</t>
  </si>
  <si>
    <t>9.4.1.f</t>
  </si>
  <si>
    <t>Tensions sociales au niveau de l'entreprise?</t>
  </si>
  <si>
    <t>9.4.1.g</t>
  </si>
  <si>
    <t>Tensions sociales au niveau des groupes ou services?</t>
  </si>
  <si>
    <t>9.4.1.h</t>
  </si>
  <si>
    <t>Manque de collaboration entre les différentes unités d'organisation?</t>
  </si>
  <si>
    <t>9.4.1.i</t>
  </si>
  <si>
    <t>Tâches peu satisfaisantes?</t>
  </si>
  <si>
    <t>9.4.1.j</t>
  </si>
  <si>
    <t>Cadence de travail élevée déterminée par les installations et appareils techniques?</t>
  </si>
  <si>
    <t>9.4.1.k</t>
  </si>
  <si>
    <t>Surcroît de travail fréquent?</t>
  </si>
  <si>
    <t>9.4.1.l</t>
  </si>
  <si>
    <t>Heures supplémentaires fréquentes?</t>
  </si>
  <si>
    <t>9.4.1.m</t>
  </si>
  <si>
    <t>Importante charge due à un volume de travail excessif?</t>
  </si>
  <si>
    <t>9.4.1.n</t>
  </si>
  <si>
    <t>Situations de stress fréquentes?</t>
  </si>
  <si>
    <t>9.4.1.o</t>
  </si>
  <si>
    <t>Situations fréquentes où lescollaborateurs subissent des règles qui leur sont imposées?</t>
  </si>
  <si>
    <t>9.5.</t>
  </si>
  <si>
    <t>Règlement sur le temps de travail</t>
  </si>
  <si>
    <t>9.5.1.a</t>
  </si>
  <si>
    <r>
      <t xml:space="preserve">Comment sont définis les horaires de travail dans votre entreprise?
</t>
    </r>
    <r>
      <rPr>
        <i/>
        <sz val="11"/>
        <color theme="1"/>
        <rFont val="Arial"/>
        <family val="2"/>
      </rPr>
      <t>Travail au quotidien?</t>
    </r>
    <r>
      <rPr>
        <sz val="11"/>
        <color theme="1"/>
        <rFont val="Arial"/>
        <family val="2"/>
      </rPr>
      <t xml:space="preserve">
Si oui, combien d'heures est le travail quotidien?</t>
    </r>
  </si>
  <si>
    <t>9.5.1.b</t>
  </si>
  <si>
    <r>
      <t xml:space="preserve">Travail hebdomadaire?
</t>
    </r>
    <r>
      <rPr>
        <sz val="11"/>
        <color theme="1"/>
        <rFont val="Arial"/>
        <family val="2"/>
      </rPr>
      <t>Si oui, combien d'heures est le travail hebdomadaire?</t>
    </r>
  </si>
  <si>
    <t>9.5.1.c</t>
  </si>
  <si>
    <r>
      <t xml:space="preserve">Travail annuel (en théorie)?
</t>
    </r>
    <r>
      <rPr>
        <sz val="11"/>
        <color theme="1"/>
        <rFont val="Arial"/>
        <family val="2"/>
      </rPr>
      <t>Si oui, combien d'heures est le travail annuel?</t>
    </r>
  </si>
  <si>
    <t>9.5.2.</t>
  </si>
  <si>
    <t>Les horaires sont-ils flexibles? Si oui, comment sont déterminées les heures de présence obligatoires?</t>
  </si>
  <si>
    <t>9.5.3.</t>
  </si>
  <si>
    <t>Existe-t-il d'autres types d'aménagement du temps de travail? Si oui, lesquels?</t>
  </si>
  <si>
    <t>9.5.4.</t>
  </si>
  <si>
    <t>Dans votre entreprise, travaille-t-on le samedi?</t>
  </si>
  <si>
    <t>9.5.5.</t>
  </si>
  <si>
    <t>Dans votre entreprise, travaille-t-on le dimanche et les jours fériés?</t>
  </si>
  <si>
    <t>9.5.6.</t>
  </si>
  <si>
    <t>Dans votre entreprise y a-t-il de travail en équipe? Si oui, quand démarre et termine l’équipé du matin, de l’après-midi et de nuit?</t>
  </si>
  <si>
    <t>9.5.7.</t>
  </si>
  <si>
    <t>Dans votre entreprise y a-t-il d'autres dispositions concernant la gestion de l'horaire de travail? Si oui, lesquelles?</t>
  </si>
  <si>
    <t>9.6.</t>
  </si>
  <si>
    <t>Aménagement des pauses</t>
  </si>
  <si>
    <t>9.6.1.</t>
  </si>
  <si>
    <t>Les pauses officielles sont-elles réglementées dans votre entreprise?</t>
  </si>
  <si>
    <t>9.6.2.a</t>
  </si>
  <si>
    <r>
      <t xml:space="preserve">Dans votre entreprise y a-t-il des pauses officielles:
</t>
    </r>
    <r>
      <rPr>
        <i/>
        <sz val="11"/>
        <color theme="1"/>
        <rFont val="Arial"/>
        <family val="2"/>
      </rPr>
      <t>Dans la matinée? Si oui, quelle durée?</t>
    </r>
  </si>
  <si>
    <t>9.6.2.b</t>
  </si>
  <si>
    <t>A midi? Si oui, quelle durée?</t>
  </si>
  <si>
    <t>9.6.2.c</t>
  </si>
  <si>
    <t>Dans l'après-midi? Si oui, quelle durée?</t>
  </si>
  <si>
    <t>9.6.2.d</t>
  </si>
  <si>
    <t>Dans le cadre du travail en équipe? Si oui, quelle durée?</t>
  </si>
  <si>
    <t>9.6.3.</t>
  </si>
  <si>
    <t>Les collaborateurs ont-ils la possibilité de faire de courtes pauses individuelles dans une limite raisonnable?</t>
  </si>
  <si>
    <t>9.6.4.</t>
  </si>
  <si>
    <t>Des locaux appropriés sont-ils disponibles pour les temps de pause?</t>
  </si>
  <si>
    <t>9.6.5.</t>
  </si>
  <si>
    <t>Les fumeurs et les non-fumeurs disposent-ils de locaux appropriés et séparés?</t>
  </si>
  <si>
    <t>9.7.</t>
  </si>
  <si>
    <t>Type de rémunération</t>
  </si>
  <si>
    <t>9.7.1.a</t>
  </si>
  <si>
    <r>
      <t xml:space="preserve">Quel est le type de rémunération appliqué dans votre entreprise:
</t>
    </r>
    <r>
      <rPr>
        <i/>
        <sz val="11"/>
        <color theme="1"/>
        <rFont val="Arial"/>
        <family val="2"/>
      </rPr>
      <t>Salaire horaire: emploi fixe, salaire mensuel ou à l'heure?</t>
    </r>
  </si>
  <si>
    <t>9.7.1.b</t>
  </si>
  <si>
    <t>Salaire à la prime (salaire horaire plus primes)?</t>
  </si>
  <si>
    <t>9.7.1.c</t>
  </si>
  <si>
    <t>Salaire au rendement: à la pièce?</t>
  </si>
  <si>
    <t>9.7.1.e</t>
  </si>
  <si>
    <t>Salaire au forfait (par équipe)?</t>
  </si>
  <si>
    <t>9.7.2.</t>
  </si>
  <si>
    <t>En cas de rémunération à la pièce, l'entreprise garantit-elle un salaire de base indépendant du rendement?</t>
  </si>
  <si>
    <t>9.8.</t>
  </si>
  <si>
    <t>Substances nocives</t>
  </si>
  <si>
    <t>9.8.1.</t>
  </si>
  <si>
    <t>Votre entreprise produit-elle ou traite-t-elle des matériaux pouvant mettre en danger la santé?</t>
  </si>
  <si>
    <t>9.8.2.</t>
  </si>
  <si>
    <t>Votre entreprise stocke-t-elle des matériaux pouvant mettre en danger la santé?</t>
  </si>
  <si>
    <t>9.8.3.</t>
  </si>
  <si>
    <t>Votre entreprise respecte-t-elle les dispositions de sécurité en relation avec les matériaux pouvant mettre en danger la santé?</t>
  </si>
  <si>
    <t>9.8.4.</t>
  </si>
  <si>
    <t>Votre entreprise dispose-t-elle des fiches de sécurité de tous les matériaux pouvant mettre en danger la santé?</t>
  </si>
  <si>
    <t>9.A</t>
  </si>
  <si>
    <t>9.8.5.</t>
  </si>
  <si>
    <t>Ces fiches de sécurité sont-elles à portée de main aux différents postes de travail?</t>
  </si>
  <si>
    <t>9.8.6.</t>
  </si>
  <si>
    <t>Les collaborateurs sont-ils instruits sur les informations contenues dans ces fiches de sécurité?</t>
  </si>
  <si>
    <t>9.8.7.</t>
  </si>
  <si>
    <t>Les moyens et les ressources d'infrastructure nécessaires en vue de garantir l'observation des règles fixées dans les fiches de sécurité sont-ils disponibles?</t>
  </si>
  <si>
    <t>9.9.</t>
  </si>
  <si>
    <t>Comportement à risque, substances engendrant une dépendance, maladies</t>
  </si>
  <si>
    <t>9.9.1.</t>
  </si>
  <si>
    <t>Existe-t-il des facteurs propres à amplifier le comportement à risque (grande productivité exigée à n'importe quel prix; valorisation des "Rambos", dénigrement des personnes adoptant un comportement conforme à la sécurité, etc.)?</t>
  </si>
  <si>
    <t>9.9.2.</t>
  </si>
  <si>
    <t>La consommation de substances engendrant une dépendance (p. ex. alcool, drogues, nicotine) est-elle réglementée dans votre entreprise?</t>
  </si>
  <si>
    <t>9.9.3.</t>
  </si>
  <si>
    <t>Sert-on de l'alcool à la cantine ou dans l'entreprise?</t>
  </si>
  <si>
    <t>9.9.4.</t>
  </si>
  <si>
    <t>Votre entreprise dispose-t-elle d'un programme de prévention des dépendances?</t>
  </si>
  <si>
    <t>9.9.5.</t>
  </si>
  <si>
    <t>Avez-vous actuellement dans votre entreprise des cas de dépendance reconnus?
Si oui, combien de cas?</t>
  </si>
  <si>
    <t>9.9.6.</t>
  </si>
  <si>
    <t>Ces cas sont-ils traités de manière concrète et systématique?
Si oui, quel est le nom du service ou de la personne traitant ces cas?</t>
  </si>
  <si>
    <t>9.9.7.</t>
  </si>
  <si>
    <t>Les supérieurs savent-ils tous comment réagir lorsqu'un collaborateur a des problèmes de dépendance (alcool, etc.)?</t>
  </si>
  <si>
    <t>9.9.8.</t>
  </si>
  <si>
    <t>Des mesures sont-elles prises pour protéger des groupes de personnes particuliers (p. ex. jeunes, femmes enceintes, personnes handicapées) ?</t>
  </si>
  <si>
    <t>9.9.9.</t>
  </si>
  <si>
    <t>A-t-on pris des mesures de protection contre les maladies transmissibles (p. ex. « Plan de pandémie, Manuel pour la préparation des entreprises » élaboré par l’OFSP, dispositions cantonales ou spécifiques à la branche) ?</t>
  </si>
  <si>
    <t>9.10.</t>
  </si>
  <si>
    <t>Aménagement des postes de travail et des moyens d'exploitation</t>
  </si>
  <si>
    <t>9.10.1.</t>
  </si>
  <si>
    <t>Lors de la planification de nouveaux moyens, postes et procédures de travail, tenez-vous compte des principes en matière d'ergonomie?</t>
  </si>
  <si>
    <t>9.10.2.</t>
  </si>
  <si>
    <t>L'aménagement ergonomique des postes de travail est-il régulièrement analysé?</t>
  </si>
  <si>
    <t>9.10.3.</t>
  </si>
  <si>
    <t>Vos planificateurs du travail et des moyens d'exploitation disposent-ils de connaissances en matière d'ergonomie?</t>
  </si>
  <si>
    <t>9.10.4.</t>
  </si>
  <si>
    <t>Consultez-vous d'autres organes internes ou externes lors de questions et de problèmes liés à l'ergonomie? Si oui, lesquels?</t>
  </si>
  <si>
    <t>9.10.5.</t>
  </si>
  <si>
    <t>Les critères et les exigences en matière d'ergonomie font-ils partie intégrante de vos contrats de vente et de vos commandes?</t>
  </si>
  <si>
    <t>10.</t>
  </si>
  <si>
    <t>Contrôle, audit</t>
  </si>
  <si>
    <t>Visa gestionnaire du dossier Chapitre 10:</t>
  </si>
  <si>
    <t>10.1.</t>
  </si>
  <si>
    <t>Audits de sécurité</t>
  </si>
  <si>
    <t>10.1.1.</t>
  </si>
  <si>
    <t>Votre entreprise dispose-t-elle d'un concept de contrôle ou de surveillance en matière de sécurité et de santé du personnel?</t>
  </si>
  <si>
    <t>10.A</t>
  </si>
  <si>
    <t>10.1.2.</t>
  </si>
  <si>
    <t>Des audits de sécurité sont-ils régulièrement réalisés dans votre entreprise? Si oui, par qui?</t>
  </si>
  <si>
    <t>10.1.3.a</t>
  </si>
  <si>
    <r>
      <t xml:space="preserve">Quelle est la fréquence des audits de sécurité:
</t>
    </r>
    <r>
      <rPr>
        <i/>
        <sz val="11"/>
        <color theme="1"/>
        <rFont val="Arial"/>
        <family val="2"/>
      </rPr>
      <t>Hebdomadaire?</t>
    </r>
  </si>
  <si>
    <t>10.1.3.b</t>
  </si>
  <si>
    <t>Mensuel?</t>
  </si>
  <si>
    <t>10.1.3.c</t>
  </si>
  <si>
    <t>Bi-annuel?</t>
  </si>
  <si>
    <t>10.1.3.d</t>
  </si>
  <si>
    <t>Annuel</t>
  </si>
  <si>
    <t>10.1.3.e</t>
  </si>
  <si>
    <t>Autre fréquence? Si oui, à quelle fréquence?</t>
  </si>
  <si>
    <t>10.1.4.</t>
  </si>
  <si>
    <t>Le contenu et le déroulement des audits de sécurité sont-ils planifiés au préalable?</t>
  </si>
  <si>
    <t>10.B</t>
  </si>
  <si>
    <t>10.1.5.</t>
  </si>
  <si>
    <t>Les supérieurs bénéficient-ils d'une formation en matière de réalisation et d'évaluation d'audits de sécurité?</t>
  </si>
  <si>
    <t>10.1.6.</t>
  </si>
  <si>
    <t>Utilisez-vous des procédures d'audits spécifiquement adaptées à la structure de risque et à la situation de votre entreprise?</t>
  </si>
  <si>
    <t>10.1.7.</t>
  </si>
  <si>
    <t>Lors de la réalisation d'audits de sécurité, utilisez-vous certains moyens auxiliaires tels que des listes de mots-clés, des listes de contrôle ou des formulaires?</t>
  </si>
  <si>
    <t>10.C</t>
  </si>
  <si>
    <t>10.1.8.</t>
  </si>
  <si>
    <t>Les constatations faites et les mesures prises sont-elles consignées par écrit?</t>
  </si>
  <si>
    <t>10.1.9.</t>
  </si>
  <si>
    <t>Les constatations sont pris en considération dans le système de sécurité de l'entreprise?</t>
  </si>
  <si>
    <t>10.2.</t>
  </si>
  <si>
    <t>Statistique des événements</t>
  </si>
  <si>
    <t>10.2.1.a</t>
  </si>
  <si>
    <r>
      <t xml:space="preserve">Votre entreprise tient-elle des statistiques sur:
</t>
    </r>
    <r>
      <rPr>
        <i/>
        <sz val="11"/>
        <color theme="1"/>
        <rFont val="Arial"/>
        <family val="2"/>
      </rPr>
      <t>Les maladies et les accidents professionnels?</t>
    </r>
  </si>
  <si>
    <t>10.2.1.b</t>
  </si>
  <si>
    <t>Les accidents non professionnels?</t>
  </si>
  <si>
    <t>10.2.1.c</t>
  </si>
  <si>
    <t>La maladie?</t>
  </si>
  <si>
    <t>10.2.1.d</t>
  </si>
  <si>
    <t>Les dommages matériels?</t>
  </si>
  <si>
    <t>10.2.1.e</t>
  </si>
  <si>
    <t>Les incidents dans l'entreprise?</t>
  </si>
  <si>
    <t>10.2.1.f</t>
  </si>
  <si>
    <t>Les jours d'absence?</t>
  </si>
  <si>
    <t>10.2.1.g</t>
  </si>
  <si>
    <t>Les presqu'accidents?</t>
  </si>
  <si>
    <t>10.2.2.a</t>
  </si>
  <si>
    <r>
      <t xml:space="preserve">Tenez-vous une statistique des événements pour: 
</t>
    </r>
    <r>
      <rPr>
        <i/>
        <sz val="11"/>
        <color theme="1"/>
        <rFont val="Arial"/>
        <family val="2"/>
      </rPr>
      <t>L'entreprise entière?</t>
    </r>
    <r>
      <rPr>
        <sz val="11"/>
        <color theme="1"/>
        <rFont val="Arial"/>
        <family val="2"/>
      </rPr>
      <t xml:space="preserve"> Si oui, qui est responsable de la mise à jour de la statistique des événements?</t>
    </r>
  </si>
  <si>
    <t>10.2.2.b</t>
  </si>
  <si>
    <t>Les unités d'organisation (p. ex. secteurs, divisions)?</t>
  </si>
  <si>
    <t>10.2.3.</t>
  </si>
  <si>
    <t>La statistique des événements est-elle utilisée à des fins de direction du personnel?</t>
  </si>
  <si>
    <t>10.3.</t>
  </si>
  <si>
    <t>Rotation du personnel</t>
  </si>
  <si>
    <t>10.3.1.</t>
  </si>
  <si>
    <r>
      <t xml:space="preserve">Le taux de rotation* annuel dans votre entreprise fait-il l'objet d'un enregistrement et d'une évaluation statistique?
</t>
    </r>
    <r>
      <rPr>
        <sz val="9"/>
        <color theme="1"/>
        <rFont val="Arial"/>
        <family val="2"/>
      </rPr>
      <t>*Le taux de rotation désigne la relation entre le nombre de départs et le nombre d'employés durant une année.
Taux de rotation =nombre de départs / nombre d’employés x 100.</t>
    </r>
  </si>
  <si>
    <t>10.3.2.</t>
  </si>
  <si>
    <t>Les raisons de départ sont-elles établies et analysées?</t>
  </si>
  <si>
    <t>10.3.3.</t>
  </si>
  <si>
    <t>Tirez-vous l'enseignement de certaines raisons de départ en prenant des mesures concrètes?</t>
  </si>
  <si>
    <t>10.3.4.</t>
  </si>
  <si>
    <t xml:space="preserve">Disposez-vous de possibilités de comparaison quant au taux de rotation dans votre branche ou avec des entreprises similaires de votre région? </t>
  </si>
  <si>
    <t>11.</t>
  </si>
  <si>
    <t>Gestion des absences</t>
  </si>
  <si>
    <t>Visa gestionnaire du dossier Chapitre 11:</t>
  </si>
  <si>
    <t>11.1.</t>
  </si>
  <si>
    <t>Y a-t-il une déclaration d'intention exprimée par la direction qui se traduit par une gestion des absences?</t>
  </si>
  <si>
    <t>11.2.a</t>
  </si>
  <si>
    <r>
      <t xml:space="preserve">Les données relatives aux accidentés et malades, ainsi qu'à leurs jours d'absence, sont-elles:
</t>
    </r>
    <r>
      <rPr>
        <i/>
        <sz val="11"/>
        <color theme="1"/>
        <rFont val="Arial"/>
        <family val="2"/>
      </rPr>
      <t>Consignées?</t>
    </r>
  </si>
  <si>
    <t>11.2.b</t>
  </si>
  <si>
    <t>Analysées?</t>
  </si>
  <si>
    <t>11.2.c</t>
  </si>
  <si>
    <t>Exploitées pour en tirer des mesures?</t>
  </si>
  <si>
    <t>11.2.d</t>
  </si>
  <si>
    <t>Communiquées ?</t>
  </si>
  <si>
    <t>11.3.</t>
  </si>
  <si>
    <t>Les indicateurs sont-ils mis à jour annuellement et définis dans les objectifs de prévention?</t>
  </si>
  <si>
    <t>11.4.</t>
  </si>
  <si>
    <t>Y a-t-il une définition des processus, responsabilités et tâches, qui fixent le mode de prise en charge des absences non planifiées de courtes et longues durées, ainsi que la réintégration au travail?</t>
  </si>
  <si>
    <t>11.A</t>
  </si>
  <si>
    <t>11.5.</t>
  </si>
  <si>
    <t>Les supérieurs hiérarchiques (et les autres services impliqués) bénéficient-ils d’une initiation à la gestion des absences et d’une formation à leurs tâches administratives et de suivi?</t>
  </si>
  <si>
    <t>11.6.</t>
  </si>
  <si>
    <t>Les collaborateurs sont-ils périodiquement informés des buts de la gestion des absences et de la bonne attitude à adopter en cas d'absence?</t>
  </si>
  <si>
    <t>11.B</t>
  </si>
  <si>
    <t>11.7.a</t>
  </si>
  <si>
    <r>
      <rPr>
        <sz val="11"/>
        <color theme="1"/>
        <rFont val="Arial"/>
        <family val="2"/>
      </rPr>
      <t>Les entretiens de retour au travail sont-ils menés:</t>
    </r>
    <r>
      <rPr>
        <i/>
        <sz val="11"/>
        <color theme="1"/>
        <rFont val="Arial"/>
        <family val="2"/>
      </rPr>
      <t xml:space="preserve">
Par les chefs?</t>
    </r>
  </si>
  <si>
    <t>11.7.b</t>
  </si>
  <si>
    <t>Après chaque absence non planifiée de longue durée?</t>
  </si>
  <si>
    <t>11.7.c</t>
  </si>
  <si>
    <t>Après chaque absence non planifiée?</t>
  </si>
  <si>
    <t>11.8.</t>
  </si>
  <si>
    <t>Des mesures de prévention sont-elles déduites des conclusions des entretiens de retour au travail?</t>
  </si>
  <si>
    <t>11.9.</t>
  </si>
  <si>
    <t>Une approche est-elle définie pour les absences fréquentes?</t>
  </si>
  <si>
    <t>11.10.</t>
  </si>
  <si>
    <t>Les chefs directs se renseignent-ils auprès des collaborateurs accidentés ou malades pendant leur absence au sujet de leur état de santé? Leur offrent-ils du soutien?</t>
  </si>
  <si>
    <t>11.11.</t>
  </si>
  <si>
    <t>Les possibilités d'occupation à temps partiel ou, éventuellement, avec un cahier des charges alternatif, sont-elles systématiquement envisagées par les chefs des collaborateurs accidentés ou malades?</t>
  </si>
  <si>
    <t>11.12.</t>
  </si>
  <si>
    <t>Les médecins traitants sont-ils informés des possibilités d'occupation à temps partiel ou, éventuellement, de cahiers des charges alternatifs?</t>
  </si>
  <si>
    <t>11.13.a</t>
  </si>
  <si>
    <r>
      <rPr>
        <sz val="11"/>
        <color theme="1"/>
        <rFont val="Arial"/>
        <family val="2"/>
      </rPr>
      <t>Les chefs sont-ils soutenus dans leur effort de gestion et d'intégration des personnes accidentées ou malades:</t>
    </r>
    <r>
      <rPr>
        <i/>
        <sz val="11"/>
        <color theme="1"/>
        <rFont val="Arial"/>
        <family val="2"/>
      </rPr>
      <t xml:space="preserve">
Par le service du personnel (RH)?</t>
    </r>
  </si>
  <si>
    <t>11.13.b</t>
  </si>
  <si>
    <t>Par d'autres services? Si oui, lesquels?</t>
  </si>
  <si>
    <t>12</t>
  </si>
  <si>
    <t>Sécurité durant les loisirs (facultatif)</t>
  </si>
  <si>
    <t>Visa gestionnaire du dossier Chapitre 12:</t>
  </si>
  <si>
    <t>12.1.</t>
  </si>
  <si>
    <t>Y a-t-il une déclaration d'intention explicitement exprimée par la direction visant à encourager les collaborateurs à adopter un comportement sûr et sain dans le cadre des loisirs?</t>
  </si>
  <si>
    <t>12.2.</t>
  </si>
  <si>
    <t>Les projets relatifs à la prévention des accidents lors des loisirs sont-ils budgetés?</t>
  </si>
  <si>
    <t>12.3.</t>
  </si>
  <si>
    <t>Y a-t-il une personne ou un groupe responsable en charge de la prévention des accidents lors des loisirs?</t>
  </si>
  <si>
    <t>12.4.</t>
  </si>
  <si>
    <t xml:space="preserve">Cette personne responsable ou les membres du groupe responsable bénéficient-ils d'une formation dans le domaine de la prévention des accidents lors des loisirs (par ex. Suva, BPA, etc.) ? </t>
  </si>
  <si>
    <t>12.5.</t>
  </si>
  <si>
    <t>Les collaborateurs sont-ils régulièrement informés au sujet des accidents non professionnels de l'entreprise (entretiens, articles, intranet, mailing, panneau d'affichage, etc.) ?</t>
  </si>
  <si>
    <t>12.6.a</t>
  </si>
  <si>
    <r>
      <t xml:space="preserve">Les accidents lors des loisirs sont-ils:
</t>
    </r>
    <r>
      <rPr>
        <i/>
        <sz val="11"/>
        <color theme="1"/>
        <rFont val="Arial"/>
        <family val="2"/>
      </rPr>
      <t>Enregistrés?</t>
    </r>
  </si>
  <si>
    <t>12.6.b</t>
  </si>
  <si>
    <t>Analysés?</t>
  </si>
  <si>
    <t>12.6.c</t>
  </si>
  <si>
    <t>Exploités?</t>
  </si>
  <si>
    <t>12.6.d</t>
  </si>
  <si>
    <t>Communiqués?</t>
  </si>
  <si>
    <t>12.7.</t>
  </si>
  <si>
    <t>Des points forts sont-ils déduits des statistiques d'accidents lors des loisirs?</t>
  </si>
  <si>
    <t>12.8.</t>
  </si>
  <si>
    <t>Y a-t-il des catégories de collaborateurs (jeunes, âgés, hommes, femmes, etc.) particulièrement concernés par les accidents lors des loisirs?</t>
  </si>
  <si>
    <t>12.9.</t>
  </si>
  <si>
    <t>L'entreprise dispose-t-elle de ses propres associations/clubs de sport?</t>
  </si>
  <si>
    <t>12.10.</t>
  </si>
  <si>
    <t>Y a-t-il dans l'entreprise des collaborateurs ayant de bonnes connaissances d'encadrement en pratique du sport, par ex. des entraîneurs, des coachs, des instructeurs?</t>
  </si>
  <si>
    <t>12.11.a</t>
  </si>
  <si>
    <t>Des projets ou des mesures visant à promouvoir la sécurité dans les loisirs sont-ils déjà en cours? Si oui, sur quels thèmes sont-ils focalisés?</t>
  </si>
  <si>
    <t>12.11.b</t>
  </si>
  <si>
    <t>Trébucher et chuter?</t>
  </si>
  <si>
    <t>12.11.c</t>
  </si>
  <si>
    <t>Sports de balle?</t>
  </si>
  <si>
    <t>12.11.d</t>
  </si>
  <si>
    <t>Sports d'hiver?</t>
  </si>
  <si>
    <t>12.11.e</t>
  </si>
  <si>
    <t>Maison et jardin?</t>
  </si>
  <si>
    <t>12.11.f</t>
  </si>
  <si>
    <t>Autres thèmes?</t>
  </si>
  <si>
    <t>12.12.</t>
  </si>
  <si>
    <t>Des objectifs concrets sont-ils poursuivis au travers de ces projets et mesures? Si oui, lesquels?</t>
  </si>
  <si>
    <t>12.13.</t>
  </si>
  <si>
    <t>Ces projets et mesures sont-ils évalués de sorte à en tirer des enseignements ou des conséquences?</t>
  </si>
  <si>
    <t>13</t>
  </si>
  <si>
    <t>GSE: Gestion de la santé en entreprise (facultatif)</t>
  </si>
  <si>
    <t>Visa gestionnaire du dossier Chapitre 13:</t>
  </si>
  <si>
    <t>13.1.</t>
  </si>
  <si>
    <t>Y a-t-il une déclaration d'intention explicitement exprimée par la direction visant à intégrer la gestion de la santé en entreprise dans la politique de l'entreprise et dans son mode de gestion?</t>
  </si>
  <si>
    <t>13.2.a</t>
  </si>
  <si>
    <r>
      <t xml:space="preserve">Y a-t-il un concept avec:
</t>
    </r>
    <r>
      <rPr>
        <i/>
        <sz val="11"/>
        <color theme="1"/>
        <rFont val="Arial"/>
        <family val="2"/>
      </rPr>
      <t>Des buts?</t>
    </r>
  </si>
  <si>
    <t>13.2.b</t>
  </si>
  <si>
    <t>Une approche et un agenda?</t>
  </si>
  <si>
    <t>13.2.c</t>
  </si>
  <si>
    <t>Une communication adaptée à des groupes cibles?</t>
  </si>
  <si>
    <t>13.2.d</t>
  </si>
  <si>
    <t>Un cadre budgétaire pour des projets de GSE?</t>
  </si>
  <si>
    <t>13.3.</t>
  </si>
  <si>
    <t>Y a-t-il une personne ou un groupe responsable en charge des projets de GSE?</t>
  </si>
  <si>
    <t>13.4.</t>
  </si>
  <si>
    <t>Cette personne ou les membres de ce groupe responsable disposent-ils d'une formation dans le domaine de la GSE?</t>
  </si>
  <si>
    <t>13.5.</t>
  </si>
  <si>
    <t>L'approche GSE est-elle fondée sur des points forts découlant des besoins perçus par l'entreprise ou des besoins tels qu'ils résultent d'une enquête auprès des collaborateurs, par ex. via un sondage ou des cercles de santé?</t>
  </si>
  <si>
    <t>13.6.a</t>
  </si>
  <si>
    <r>
      <rPr>
        <sz val="11"/>
        <color theme="1"/>
        <rFont val="Arial"/>
        <family val="2"/>
      </rPr>
      <t>Les collaborateurs sont-ils incités à se former sur certains thèmes par des cours, ateliers ou offres de sensibilisation tels que:</t>
    </r>
    <r>
      <rPr>
        <i/>
        <sz val="11"/>
        <color theme="1"/>
        <rFont val="Arial"/>
        <family val="2"/>
      </rPr>
      <t xml:space="preserve">
Bouger suffisamment, faire du sport?</t>
    </r>
  </si>
  <si>
    <t>13.6.b</t>
  </si>
  <si>
    <t>Nutrition / gestion du poids?</t>
  </si>
  <si>
    <t>13.6.c</t>
  </si>
  <si>
    <t>Strategies contre le stress und le burnout (gestion du stress, méthodes de relaxation, moments de détente, gestion du temps, gestion du changement) ?</t>
  </si>
  <si>
    <t>13.6.d</t>
  </si>
  <si>
    <t>Gestion de contraintes organisationnelles particulières, telles que le travail en équipe ou le travail de nuit?</t>
  </si>
  <si>
    <t>13.6.e</t>
  </si>
  <si>
    <t>Equilibre travail/loisir (Work-Life Balance)?</t>
  </si>
  <si>
    <t>13.6.f</t>
  </si>
  <si>
    <t>Sommeil et repos?</t>
  </si>
  <si>
    <t>13.6.g</t>
  </si>
  <si>
    <t>Prévention des dépendances?</t>
  </si>
  <si>
    <t>13.7.a</t>
  </si>
  <si>
    <r>
      <rPr>
        <sz val="11"/>
        <color theme="1"/>
        <rFont val="Arial"/>
        <family val="2"/>
      </rPr>
      <t>La formation sur les thèmes suivants sont-ils encouragés:</t>
    </r>
    <r>
      <rPr>
        <i/>
        <sz val="11"/>
        <color theme="1"/>
        <rFont val="Arial"/>
        <family val="2"/>
      </rPr>
      <t xml:space="preserve">
formation en management (influence du management sur la GSE, culture de la reconnaissance du travail accompli, cohésion d'équipe, cas de conflits, cas de dépendance, etc.) ?</t>
    </r>
  </si>
  <si>
    <t>13.7.b</t>
  </si>
  <si>
    <t>L'entreprise dispose-t-elle de locaux dédiés la GSE, tels que des pièces de repos, espaces de détente, douches, etc.?</t>
  </si>
  <si>
    <t>13.7.c</t>
  </si>
  <si>
    <t>Les places de travail sont-elles conçues selon les principes ergonomiques?</t>
  </si>
  <si>
    <t>13.7.d</t>
  </si>
  <si>
    <t>Les collaborateurs sont-ils instruits sur des thèmes tels que "porter juste" ou "se tenir correctement" ?</t>
  </si>
  <si>
    <t>13.7.e</t>
  </si>
  <si>
    <t>Les nouveaux collaborateurs/trices sont-ils sensibilisés à GSE, par ex. grâce un parrainage?</t>
  </si>
  <si>
    <t>13.7.f</t>
  </si>
  <si>
    <t>Les collaborateurs bénéficient-ils de formation continue orientée compétences sociales, développement personnel, etc.?</t>
  </si>
  <si>
    <t>13.7.g</t>
  </si>
  <si>
    <t>La bonne ambiance et une atmosphère de travail agréable en entreprise sont-elles favorisées par le soin dévoué à une bonne gestion des séances, au lancement de projets interdisciplinaires ou à des événements sociaux tels que des apéros ou jubilées?</t>
  </si>
  <si>
    <t>13.7.h</t>
  </si>
  <si>
    <t>L'entreprise favorise-t-elle la collaboration et la communication au travers des différents niveaux hiérarchiques de l'organigramme?</t>
  </si>
  <si>
    <t>13.7.i</t>
  </si>
  <si>
    <t>L'entreprise propose-t-elle le job sharing?</t>
  </si>
  <si>
    <t>13.7.j</t>
  </si>
  <si>
    <t>L'entreprise propose-t-elle un service de médiation neutre visant à traiter les cas de conflits et les collaborateurs en difficultés personnelles?</t>
  </si>
  <si>
    <t>13.8.</t>
  </si>
  <si>
    <t>Des projets de GSE sont-ils actuellement en cours? Si oui, depuis combien de temps et à propos de quels thèmes?</t>
  </si>
  <si>
    <t>13.9.</t>
  </si>
  <si>
    <t>La qualité et l'efficacité des projets GSE sont-elles évaluées de sorte à en tirer des enseignements ou des conséquences?</t>
  </si>
  <si>
    <t>14</t>
  </si>
  <si>
    <t>Extension pour ISO 45001 (facultatif)</t>
  </si>
  <si>
    <t>Visa gestionnaire du dossier Chapitre 14:</t>
  </si>
  <si>
    <t>14.0.</t>
  </si>
  <si>
    <t>Abréviations</t>
  </si>
  <si>
    <t>SM-SST: 
Système de management pour la sécurité et la santé au travail (selon ISO 45001)</t>
  </si>
  <si>
    <t>14.1.</t>
  </si>
  <si>
    <t xml:space="preserve">Comprendre les besoins et les attentes des travailleurs et des autres parties intéressées
(4,2)	</t>
  </si>
  <si>
    <t>14.1.1.</t>
  </si>
  <si>
    <t>Les parties intéressées qui, en plus de leur collaborateurs , sont concernées par leur système de gestion de la sécurité et de la santé sont-elles identifiées?  (p. ex. autorités, fournisseurs, organisations de travailleurs, visiteurs, grand public, clients, médias, organisations non gouvernementales (ONG)</t>
  </si>
  <si>
    <t>14.1.2.</t>
  </si>
  <si>
    <t>Les besoins et attentes (exigences) pertinents des travailleurs et des autres parties intéressées ont-ils été définis? (p. ex. tableau avec les travailleurs et les parties intéressées concernées en rapport avec le système S&amp;ST avec une analyse des exigences et des attentes, opportunités et risques ainsi qu’objectifs/mesures)</t>
  </si>
  <si>
    <t>14.1.3.</t>
  </si>
  <si>
    <t>Est-ce que les besoins et attentes pertinents sont évalués et suveillé?</t>
  </si>
  <si>
    <t>14.2.</t>
  </si>
  <si>
    <t>Système de management SST (4.4.)</t>
  </si>
  <si>
    <t>14.2.1</t>
  </si>
  <si>
    <t>Les informations documentées sont-elles conservées afin de garantir que le processus se déroule comme prévu? (p.ex. enregistrements issus des processus, preuves des modifications, rapports, journaux, etc)</t>
  </si>
  <si>
    <t>14.3.</t>
  </si>
  <si>
    <t>Actions à mettre en oeuvre face aux risques et opportunités (6.1.)</t>
  </si>
  <si>
    <t>14.3.1.</t>
  </si>
  <si>
    <t>Est-ce que pour l'organisation une procédure d'identification des risques et des opportunités est établie? (p.ex. par une analyse des risques, l'établissement d'une matrice des risques, une analyse SWOT avec plan d'action)</t>
  </si>
  <si>
    <t>14.3.2.</t>
  </si>
  <si>
    <t>Est-ce que les risques et opportunités SST considérés sont des informations documentées et sont maintenues et conservées en conséquence?</t>
  </si>
  <si>
    <t>14.4.</t>
  </si>
  <si>
    <t>Détermination des exigences légales et autres exigences (6.1.3.)</t>
  </si>
  <si>
    <t>14.4.1.</t>
  </si>
  <si>
    <t>Les informations sur les modifications des obligations légales et autres exigences sont-elles présentées de manière à ce que leur divulgation puisse être documentée de manière appropriée et être ainsi vérifiée sans aucun doute?</t>
  </si>
  <si>
    <t>14.5.</t>
  </si>
  <si>
    <t>Informations documentées (7.5.)</t>
  </si>
  <si>
    <t>14.5.1.</t>
  </si>
  <si>
    <t>Les informations documentées requises pour le SM-SST sont-elles disponibles? (y compris des informations documentées sur
- Le domaine d'application
- La politique et les objectifs en matière de SST
- Les bases légales et autre prescription
- Les compétences
- Les risques et les opportunités SST
- Les informations crées pour le fonctionnement de l'organisation
- Les preuves des résultats obtenus?</t>
  </si>
  <si>
    <t>14.5.2.</t>
  </si>
  <si>
    <t>Lors de la création et de l'actualisation des informations documentées, est-ce qu'une identification et description raisonable est assurée? (p.ex. titre, date, auteur, numéro de référence, version actuelle)</t>
  </si>
  <si>
    <t>14.5.3.</t>
  </si>
  <si>
    <t xml:space="preserve">Un processus est-il défini pour la gestion des informations documentées? (création, classement, clasification, autorisation, distribution, application, révision, retrait, dépôt, élimination)                                                                                                                                                                                                                                                                      </t>
  </si>
  <si>
    <t>14.6.</t>
  </si>
  <si>
    <t>Acquisition de biens et services (8.1.4.)</t>
  </si>
  <si>
    <t>14.6.1.</t>
  </si>
  <si>
    <t>Est-ce que l'organisation garantit que les fonctions et processus externalisés qui affectent le SM-SST sont contrôlés?</t>
  </si>
  <si>
    <t>14.7.</t>
  </si>
  <si>
    <t>Évaluation des performances (9.)</t>
  </si>
  <si>
    <t>14.7.1.</t>
  </si>
  <si>
    <t>Est-ce que les processus de surveillance, de mesure, d'analyse et d'évaluation des performances SST sont établits, mis en oeuvre et maintenus?</t>
  </si>
  <si>
    <t>14.7.2.</t>
  </si>
  <si>
    <t>Les processus nécessaires pour l'évaluation du respect des obligations légales et des autres exigences sont-ils définis, mis en œuvre et maintenus?</t>
  </si>
  <si>
    <t>14.7.3.</t>
  </si>
  <si>
    <t>Les auditeurs sont-ils formés pour effectuer des audits de système?</t>
  </si>
  <si>
    <t>14.7.4.</t>
  </si>
  <si>
    <t>Les audits internes ont-ils établis que les exigences d'ISO 45001 sont remplies?</t>
  </si>
  <si>
    <r>
      <t xml:space="preserve">Annexes nécessaires (si disponibles)
</t>
    </r>
    <r>
      <rPr>
        <sz val="16"/>
        <color theme="1"/>
        <rFont val="Arial"/>
        <family val="2"/>
      </rPr>
      <t>Veuillez nous envoyer les documents suivants, si possible au format PDF.</t>
    </r>
  </si>
  <si>
    <t>Annexes N°</t>
  </si>
  <si>
    <t>Description</t>
  </si>
  <si>
    <t>La charte des valeurs de l'entreprise</t>
  </si>
  <si>
    <t>Principes / directives de conduite de l'entreprise</t>
  </si>
  <si>
    <t>Définition écrite des objectifs de sécurité de l'entreprise</t>
  </si>
  <si>
    <t>Organigramme de l'entreprise</t>
  </si>
  <si>
    <t>2.B</t>
  </si>
  <si>
    <t>Cahier des charges pour les supérieur</t>
  </si>
  <si>
    <t>2.C</t>
  </si>
  <si>
    <t>Cahier des charges pour tout poste sans responsabilité de gestion</t>
  </si>
  <si>
    <t>2.D</t>
  </si>
  <si>
    <t>Cahier des charges pour le coordinateur de la sécurité</t>
  </si>
  <si>
    <t>Règlement du personnel de l'entreprise</t>
  </si>
  <si>
    <t>Autres documents qui réglementent les tâches, les compétences et les responsabilités concernant la sécurité et la santé</t>
  </si>
  <si>
    <t>Exemple d'une instruction de travail écrite</t>
  </si>
  <si>
    <t>Organigramme de l'organisation de la sécurité</t>
  </si>
  <si>
    <t>Concept de sécurité de l'entreprise</t>
  </si>
  <si>
    <t>Attestation de formation de sécurité des collaborateurs</t>
  </si>
  <si>
    <t>Manuel de sécurité  / Documentation de sécurité pour les collaborateurs</t>
  </si>
  <si>
    <t>Programme d’introduction des nouveaux collaborateurs</t>
  </si>
  <si>
    <t>Formulaire d'évaluation durant la période d'essai</t>
  </si>
  <si>
    <t>Concept de promotion personnelle, pour autant que les aspects de la sécurité et la santé soient pris en compte</t>
  </si>
  <si>
    <t>Documentation/ formulaire d'évaluation des collaborateurs</t>
  </si>
  <si>
    <t>Journal d'entreprise</t>
  </si>
  <si>
    <t>Documentation/ formulaire d'évaluation du fournisseur</t>
  </si>
  <si>
    <t>Éventuelles instructions internes concernant la sécurité et la santé au travail, qui complètent les feuillets d'information et des instructions de travail officielles</t>
  </si>
  <si>
    <t>Instructions internes concernant le fonctionnement normal et particulier d'installations, de machines et d'appareils</t>
  </si>
  <si>
    <t>Instructions internes concernant la maintenance des équipements de travail</t>
  </si>
  <si>
    <t>Directives et règles de sécurité en matière de maintenance de bâtiments et d'installations</t>
  </si>
  <si>
    <t>Listes de contrôle pour la vérification des aspects de sécurité pendant l'acquisition d'équipements de travail</t>
  </si>
  <si>
    <t>Documentation relative à la détermination des phénomènes dangereux</t>
  </si>
  <si>
    <t>Documentation procédure appréciation des risques</t>
  </si>
  <si>
    <t>Exemple de la documentation des résultats des appréciations des risques</t>
  </si>
  <si>
    <t>Documentation relative à l'analyse des incidents</t>
  </si>
  <si>
    <t>Stratégie pour la mise en œuvre de mesures de sécurité</t>
  </si>
  <si>
    <t>Documentation du concept d'intervention d'urgence de l'entreprise</t>
  </si>
  <si>
    <t>Carte d'urgence pour les collaborateurs</t>
  </si>
  <si>
    <t>Documentation de l'organisation interne de protection contre les incendies</t>
  </si>
  <si>
    <t>Documentation relative à la gestion des propositions des collaborateurs</t>
  </si>
  <si>
    <t>Documentation relative à la gestion des fiches de données de sécurité des produits et matériaux</t>
  </si>
  <si>
    <t>Concept de contrôle ou de surveillance en matière de sécurité et de santé des collaborateurs</t>
  </si>
  <si>
    <t>Procédure des audits de sécurité</t>
  </si>
  <si>
    <t>Exemple d'un protocole d'audit de sécurité</t>
  </si>
  <si>
    <t>Lignes directrices concernant la gestion des absences</t>
  </si>
  <si>
    <t>Objectifs et chiffres indicateurs sociaux de la gestion des absences</t>
  </si>
  <si>
    <t>Firma</t>
  </si>
  <si>
    <t>Datum</t>
  </si>
  <si>
    <t>Nr.</t>
  </si>
  <si>
    <t>Analyse und Bewertung für Selbstbeuteilung und Ist-Aufnahme</t>
  </si>
  <si>
    <t>Antwort Kunde</t>
  </si>
  <si>
    <t>Interviewpartner</t>
  </si>
  <si>
    <t>Bewertung Suva</t>
  </si>
  <si>
    <t>Berechnung 
für Diagramm</t>
  </si>
  <si>
    <t>ja/nein
(* keine Antwort)</t>
  </si>
  <si>
    <t>Bemerkungen des Kunden</t>
  </si>
  <si>
    <t>GL</t>
  </si>
  <si>
    <t>Führung</t>
  </si>
  <si>
    <t>HR</t>
  </si>
  <si>
    <t>Si Org</t>
  </si>
  <si>
    <t>VG</t>
  </si>
  <si>
    <t>MA</t>
  </si>
  <si>
    <t>Erfüllungsgrad in Prozent</t>
  </si>
  <si>
    <t>Gewicht</t>
  </si>
  <si>
    <t>max Punktzahl</t>
  </si>
  <si>
    <t>Punkte Selbst</t>
  </si>
  <si>
    <t>Punkte Suva</t>
  </si>
  <si>
    <t>Level 1 Selbst</t>
  </si>
  <si>
    <t>Level 1 Suva</t>
  </si>
  <si>
    <t>4.8.</t>
  </si>
  <si>
    <t>Stichproben</t>
  </si>
  <si>
    <t>4.8.1</t>
  </si>
  <si>
    <t>Genereller Eindruck anhand der verschiedenen Stichproben</t>
  </si>
  <si>
    <t>Legende im Spinnendiagramm:</t>
  </si>
  <si>
    <t>Erfüllungsgrad</t>
  </si>
  <si>
    <t>Évaluation Suva</t>
  </si>
  <si>
    <t>Delta Suva - Kunde</t>
  </si>
  <si>
    <t>Berechnung automatisch</t>
  </si>
  <si>
    <t>Spinnendiagramm überschreibbar</t>
  </si>
  <si>
    <t>Zur Information</t>
  </si>
  <si>
    <t>Versionenprotokoll</t>
  </si>
  <si>
    <t>Version</t>
  </si>
  <si>
    <t>Sheet</t>
  </si>
  <si>
    <t>Änderungen</t>
  </si>
  <si>
    <t>Version 14</t>
  </si>
  <si>
    <t>Selbstbeurteilung Kunde</t>
  </si>
  <si>
    <t>Französische Übersetzung der Frage 2.3.2.3. korrigiert</t>
  </si>
  <si>
    <t>Freigabe</t>
  </si>
  <si>
    <t>Anleitung</t>
  </si>
  <si>
    <t>Versionnummer aktualisiert</t>
  </si>
  <si>
    <t>Version 13</t>
  </si>
  <si>
    <t>verschiedene</t>
  </si>
  <si>
    <t>Formulierungen in der französischen Version kontrolliert und korrigiert durch Sandrine Casanova.</t>
  </si>
  <si>
    <t>Version 12</t>
  </si>
  <si>
    <t>In Fusszeile des Ausdrucks Versionnummer aktualisiert</t>
  </si>
  <si>
    <t>Analyse</t>
  </si>
  <si>
    <t>Spalte D "*" eingefügt zur Visualisierung nicht beantwortet.</t>
  </si>
  <si>
    <t>Spalte C formatiert für Visualisierung Ja / Nein</t>
  </si>
  <si>
    <t>In 9.9.8 und 9.9.9 Fragen 9.9 und 9.3 aus dem ASA-Systemkontrolle Kategorie 3.1 (EKAS 6074/3.1.d 02.2021) eingefügt.</t>
  </si>
  <si>
    <t>Version 11</t>
  </si>
  <si>
    <t>Anpassung von OHSAS 18001 auf ISO 45001</t>
  </si>
  <si>
    <t>Generell</t>
  </si>
  <si>
    <t>Suva Logo aktualisiert</t>
  </si>
  <si>
    <t>Anpassungen von OHSAS 18001 auf ISO 45001</t>
  </si>
  <si>
    <t>Version 10</t>
  </si>
  <si>
    <t>2.1.3. Gewicht von 1 auf 2 erhöht</t>
  </si>
  <si>
    <t>1.1.7. Gewicht von 5 auf 2 reduziert</t>
  </si>
  <si>
    <t>4.1.3. Gewicht von 3 auf 1 reduziert</t>
  </si>
  <si>
    <t>3.1. falscher Titel korrigiert (Zellenbezug 149 anstatt 148)</t>
  </si>
  <si>
    <t>4.2. Gewicht von 1 auf 0 reduziert</t>
  </si>
  <si>
    <t>4.3. Gewicht von 1 auf 2 erhöht</t>
  </si>
  <si>
    <t>Spinnendiagramme</t>
  </si>
  <si>
    <t>Legende "Beurteilung Suva" von D3 in Sheet Auswertungen</t>
  </si>
  <si>
    <t>Version 09</t>
  </si>
  <si>
    <t>Gewicht von Kapitel 9.3. physische Belastungen von 3 auf 0 geändert</t>
  </si>
  <si>
    <t>9.10. Summierung der eigenen Punkte: Formel auf richtige Spalte korrigiert</t>
  </si>
  <si>
    <t>4.8. Bewertung für Stichproben eingeführt</t>
  </si>
  <si>
    <t>4.1.3 Gewicht für Booklet von 5 auf 3 reduziert</t>
  </si>
  <si>
    <t>Diagramme</t>
  </si>
  <si>
    <t>Rahmenlinie entfernt</t>
  </si>
  <si>
    <t>Version 08</t>
  </si>
  <si>
    <t>Berechnung der PunkteN und O in Zeile 144 für Kapitel 3 bis Zelle 239 korrigiert</t>
  </si>
  <si>
    <t>Version 07</t>
  </si>
  <si>
    <t>Betriebsspiegel</t>
  </si>
  <si>
    <t>Fehler in der Nummerierung korrigiert</t>
  </si>
  <si>
    <t>Verdeckte Spalten gelöscht</t>
  </si>
  <si>
    <t>Druckbereich festgelegt</t>
  </si>
  <si>
    <t>Tabelle 1</t>
  </si>
  <si>
    <t>wieder entfernt</t>
  </si>
  <si>
    <t>Version 06</t>
  </si>
  <si>
    <t>"ist" in Punkt 3 gelöscht.</t>
  </si>
  <si>
    <t>Schlüsselpersonen Sicherheit</t>
  </si>
  <si>
    <t>Sicherheitsorganisation: "extern" bei ASA-Spezialisten ergänzt</t>
  </si>
  <si>
    <t>Zeile "18. Nettoprämiensatz …" gelöscht</t>
  </si>
  <si>
    <t>Version 05</t>
  </si>
  <si>
    <t>Berechnungen der Unterkapitelbewertungen für die verschiedenen Stufen in den Kapiteln 1 und 2 korrigiert</t>
  </si>
  <si>
    <t>Berechnung der Unterkapitelbewertungen an verschiedenen Orten in den Kapitel 3-11 korrigiert</t>
  </si>
  <si>
    <t>Bezug im Kapitel 10.3.2. korrigiert</t>
  </si>
  <si>
    <t>Feldfarbe für ja bei 10.3.1. auch auf grau gesetzt</t>
  </si>
  <si>
    <t>Version 04</t>
  </si>
  <si>
    <t>Punkt 5 " Beantworten …." : Text korrigiert</t>
  </si>
  <si>
    <t>Spinne ohne FZ, BGM, OHSAS</t>
  </si>
  <si>
    <t>Kundenname in Legende integriert. Quelle für Legendentitel ist aus Auswertungen C3</t>
  </si>
  <si>
    <t>Spinne mit FZ, BGM, OHSAS</t>
  </si>
  <si>
    <t>Auswertungen</t>
  </si>
  <si>
    <t xml:space="preserve">Quelle des Kundenamen für Titel in C3 ist Firmenname im Betriebsspiegel. </t>
  </si>
  <si>
    <t>neu erstellt</t>
  </si>
  <si>
    <t>Versionnummer ergänzt und aktualisiert</t>
  </si>
  <si>
    <t>Version 03</t>
  </si>
  <si>
    <t>Kapitel Freizeitsicherheit ergänzt</t>
  </si>
  <si>
    <t>Kapitel BGM ergänzt</t>
  </si>
  <si>
    <t>Verschiedene Fehler gemäss vbr korrigiert</t>
  </si>
  <si>
    <t>Enquêtes auprès des collaborateurs?</t>
  </si>
  <si>
    <t>La santé et la sécurité sont-elles prises en compte dans l'identification des lacunes de compétences et des besoins de formation ?</t>
  </si>
  <si>
    <t>19. Dangers spécifiques à l'exploitation</t>
  </si>
  <si>
    <t>Entretiens échange d'expériences?</t>
  </si>
  <si>
    <t>D’une unité organisationnelle spéciale (AVOR / Préparation du travail)?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</si>
</sst>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Ja&quot;;&quot;Ja&quot;;&quot;Nein&quot;"/>
    <numFmt numFmtId="165" formatCode="0.0"/>
  </numFmts>
  <fonts count="38" x14ac:knownFonts="1">
    <font>
      <sz val="11"/>
      <color theme="1"/>
      <name val="Calibri"/>
      <family val="2"/>
      <scheme val="minor"/>
    </font>
    <font>
      <u/>
      <sz val="11"/>
      <color theme="10"/>
      <name val="Calibri"/>
      <family val="2"/>
      <scheme val="minor"/>
    </font>
    <font>
      <sz val="10"/>
      <name val="Arial"/>
      <family val="2"/>
    </font>
    <font>
      <sz val="8"/>
      <name val="Arial"/>
      <family val="2"/>
    </font>
    <font>
      <sz val="10"/>
      <name val="Helvetica 45 Light"/>
      <family val="2"/>
    </font>
    <font>
      <b/>
      <sz val="10"/>
      <name val="Arial"/>
      <family val="2"/>
    </font>
    <font>
      <b/>
      <sz val="8"/>
      <name val="Arial"/>
      <family val="2"/>
    </font>
    <font>
      <sz val="10"/>
      <color theme="0"/>
      <name val="Arial"/>
      <family val="2"/>
    </font>
    <font>
      <b/>
      <sz val="18"/>
      <name val="Arial"/>
      <family val="2"/>
    </font>
    <font>
      <b/>
      <sz val="16"/>
      <name val="Arial"/>
      <family val="2"/>
    </font>
    <font>
      <b/>
      <sz val="11"/>
      <color rgb="FF3F3F3F"/>
      <name val="Calibri"/>
      <family val="2"/>
      <scheme val="minor"/>
    </font>
    <font>
      <sz val="11"/>
      <color theme="1"/>
      <name val="Calibri"/>
      <family val="2"/>
      <scheme val="minor"/>
    </font>
    <font>
      <b/>
      <sz val="12"/>
      <name val="Arial"/>
      <family val="2"/>
    </font>
    <font>
      <b/>
      <sz val="10"/>
      <color rgb="FFFF0000"/>
      <name val="Arial"/>
      <family val="2"/>
    </font>
    <font>
      <b/>
      <sz val="16"/>
      <color theme="1"/>
      <name val="Arial"/>
      <family val="2"/>
    </font>
    <font>
      <sz val="11"/>
      <color theme="1"/>
      <name val="Arial"/>
      <family val="2"/>
    </font>
    <font>
      <b/>
      <sz val="12"/>
      <color theme="1"/>
      <name val="Arial"/>
      <family val="2"/>
    </font>
    <font>
      <b/>
      <sz val="11"/>
      <color theme="1"/>
      <name val="Arial"/>
      <family val="2"/>
    </font>
    <font>
      <sz val="11"/>
      <name val="Arial"/>
      <family val="2"/>
    </font>
    <font>
      <b/>
      <sz val="14"/>
      <color theme="1"/>
      <name val="Arial"/>
      <family val="2"/>
    </font>
    <font>
      <u/>
      <sz val="11"/>
      <color theme="10"/>
      <name val="Arial"/>
      <family val="2"/>
    </font>
    <font>
      <i/>
      <sz val="11"/>
      <color theme="1"/>
      <name val="Arial"/>
      <family val="2"/>
    </font>
    <font>
      <sz val="9"/>
      <color theme="1"/>
      <name val="Arial"/>
      <family val="2"/>
    </font>
    <font>
      <b/>
      <sz val="14"/>
      <name val="Arial"/>
      <family val="2"/>
    </font>
    <font>
      <sz val="14"/>
      <color theme="1"/>
      <name val="Arial"/>
      <family val="2"/>
    </font>
    <font>
      <sz val="11"/>
      <color rgb="FFFF0000"/>
      <name val="Arial"/>
      <family val="2"/>
    </font>
    <font>
      <b/>
      <sz val="11"/>
      <color rgb="FF3F3F3F"/>
      <name val="Arial"/>
      <family val="2"/>
    </font>
    <font>
      <sz val="10"/>
      <color theme="1"/>
      <name val="Arial"/>
      <family val="2"/>
    </font>
    <font>
      <b/>
      <sz val="10"/>
      <color theme="1"/>
      <name val="Arial"/>
      <family val="2"/>
    </font>
    <font>
      <sz val="16"/>
      <color theme="1"/>
      <name val="Arial"/>
      <family val="2"/>
    </font>
    <font>
      <sz val="9"/>
      <color indexed="81"/>
      <name val="Segoe UI"/>
      <family val="2"/>
    </font>
    <font>
      <b/>
      <sz val="9"/>
      <color indexed="81"/>
      <name val="Segoe UI"/>
      <family val="2"/>
    </font>
    <font>
      <sz val="10"/>
      <color theme="1"/>
      <name val="Calibri"/>
      <family val="2"/>
      <scheme val="minor"/>
    </font>
    <font>
      <sz val="10"/>
      <name val="Verdana"/>
      <family val="2"/>
    </font>
    <font>
      <b/>
      <i/>
      <sz val="10"/>
      <name val="Arial"/>
      <family val="2"/>
    </font>
    <font>
      <b/>
      <sz val="13"/>
      <color theme="1"/>
      <name val="Arial"/>
      <family val="2"/>
    </font>
    <font>
      <i/>
      <sz val="11"/>
      <name val="Arial"/>
      <family val="2"/>
    </font>
    <font>
      <b/>
      <sz val="11"/>
      <name val="Arial"/>
      <family val="2"/>
    </font>
  </fonts>
  <fills count="15">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2F2F2"/>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A7"/>
        <bgColor indexed="64"/>
      </patternFill>
    </fill>
    <fill>
      <patternFill patternType="solid">
        <fgColor rgb="FFEA8B00"/>
        <bgColor indexed="64"/>
      </patternFill>
    </fill>
    <fill>
      <patternFill patternType="solid">
        <fgColor theme="0" tint="-0.249977111117893"/>
        <bgColor indexed="64"/>
      </patternFill>
    </fill>
    <fill>
      <patternFill patternType="solid">
        <fgColor rgb="FFE2EFDA"/>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theme="1"/>
      </left>
      <right/>
      <top style="medium">
        <color theme="1"/>
      </top>
      <bottom/>
      <diagonal/>
    </border>
    <border>
      <left/>
      <right/>
      <top style="medium">
        <color theme="1"/>
      </top>
      <bottom/>
      <diagonal/>
    </border>
    <border>
      <left/>
      <right style="thin">
        <color theme="1"/>
      </right>
      <top style="medium">
        <color theme="1"/>
      </top>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top style="medium">
        <color indexed="64"/>
      </top>
      <bottom style="thin">
        <color indexed="64"/>
      </bottom>
      <diagonal/>
    </border>
    <border>
      <left/>
      <right/>
      <top style="medium">
        <color indexed="64"/>
      </top>
      <bottom style="thin">
        <color indexed="64"/>
      </bottom>
      <diagonal/>
    </border>
    <border>
      <left/>
      <right style="thin">
        <color theme="1"/>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s>
  <cellStyleXfs count="6">
    <xf numFmtId="0" fontId="0" fillId="0" borderId="0"/>
    <xf numFmtId="0" fontId="1" fillId="0" borderId="0" applyNumberFormat="0" applyFill="0" applyBorder="0" applyAlignment="0" applyProtection="0"/>
    <xf numFmtId="0" fontId="2" fillId="0" borderId="0"/>
    <xf numFmtId="9" fontId="2" fillId="0" borderId="0" applyFont="0" applyFill="0" applyBorder="0" applyAlignment="0" applyProtection="0"/>
    <xf numFmtId="0" fontId="10" fillId="6" borderId="25" applyNumberFormat="0" applyAlignment="0" applyProtection="0"/>
    <xf numFmtId="9" fontId="11" fillId="0" borderId="0" applyFont="0" applyFill="0" applyBorder="0" applyAlignment="0" applyProtection="0"/>
  </cellStyleXfs>
  <cellXfs count="351">
    <xf numFmtId="0" fontId="0" fillId="0" borderId="0" xfId="0"/>
    <xf numFmtId="0" fontId="0" fillId="0" borderId="0" xfId="0" applyAlignment="1">
      <alignment vertical="top"/>
    </xf>
    <xf numFmtId="0" fontId="2" fillId="0" borderId="1" xfId="2" applyBorder="1" applyAlignment="1">
      <alignment vertical="top" wrapText="1"/>
    </xf>
    <xf numFmtId="49" fontId="3" fillId="0" borderId="1" xfId="2" applyNumberFormat="1" applyFont="1" applyBorder="1" applyAlignment="1">
      <alignment vertical="top"/>
    </xf>
    <xf numFmtId="2" fontId="2" fillId="3" borderId="1" xfId="2" applyNumberFormat="1" applyFill="1" applyBorder="1" applyAlignment="1">
      <alignment vertical="top"/>
    </xf>
    <xf numFmtId="0" fontId="2" fillId="3" borderId="1" xfId="2" applyFill="1" applyBorder="1" applyAlignment="1">
      <alignment vertical="top"/>
    </xf>
    <xf numFmtId="0" fontId="2" fillId="0" borderId="6" xfId="2" applyBorder="1" applyAlignment="1">
      <alignment vertical="top" wrapText="1"/>
    </xf>
    <xf numFmtId="0" fontId="5" fillId="3" borderId="1" xfId="2" applyFont="1" applyFill="1" applyBorder="1" applyAlignment="1">
      <alignment vertical="top" wrapText="1"/>
    </xf>
    <xf numFmtId="0" fontId="5" fillId="0" borderId="16" xfId="2" applyFont="1" applyBorder="1" applyAlignment="1">
      <alignment vertical="top" wrapText="1"/>
    </xf>
    <xf numFmtId="0" fontId="2" fillId="0" borderId="0" xfId="2"/>
    <xf numFmtId="0" fontId="9" fillId="0" borderId="0" xfId="2" applyFont="1" applyAlignment="1">
      <alignment horizontal="left" vertical="top" wrapText="1"/>
    </xf>
    <xf numFmtId="9" fontId="2" fillId="0" borderId="0" xfId="3" applyFont="1" applyFill="1" applyBorder="1" applyAlignment="1">
      <alignment horizontal="right" vertical="top" wrapText="1"/>
    </xf>
    <xf numFmtId="0" fontId="2" fillId="0" borderId="0" xfId="2" applyAlignment="1">
      <alignment horizontal="left" vertical="top" wrapText="1"/>
    </xf>
    <xf numFmtId="0" fontId="5" fillId="0" borderId="3" xfId="2" applyFont="1" applyBorder="1" applyAlignment="1">
      <alignment horizontal="center" vertical="top" wrapText="1"/>
    </xf>
    <xf numFmtId="0" fontId="5" fillId="0" borderId="6" xfId="2" applyFont="1" applyBorder="1" applyAlignment="1">
      <alignment horizontal="left" vertical="top" wrapText="1"/>
    </xf>
    <xf numFmtId="9" fontId="5" fillId="2" borderId="18" xfId="3" applyFont="1" applyFill="1" applyBorder="1" applyAlignment="1">
      <alignment horizontal="center" vertical="top" wrapText="1"/>
    </xf>
    <xf numFmtId="0" fontId="2" fillId="0" borderId="0" xfId="2" applyAlignment="1">
      <alignment wrapText="1"/>
    </xf>
    <xf numFmtId="0" fontId="2" fillId="0" borderId="0" xfId="2" applyAlignment="1">
      <alignment horizontal="center" vertical="top" wrapText="1"/>
    </xf>
    <xf numFmtId="0" fontId="2" fillId="3" borderId="1" xfId="2" applyFill="1" applyBorder="1" applyAlignment="1">
      <alignment vertical="top" wrapText="1"/>
    </xf>
    <xf numFmtId="49" fontId="6" fillId="8" borderId="1" xfId="2" applyNumberFormat="1" applyFont="1" applyFill="1" applyBorder="1" applyAlignment="1">
      <alignment vertical="top"/>
    </xf>
    <xf numFmtId="0" fontId="5" fillId="8" borderId="1" xfId="2" applyFont="1" applyFill="1" applyBorder="1" applyAlignment="1">
      <alignment vertical="top" wrapText="1"/>
    </xf>
    <xf numFmtId="9" fontId="6" fillId="8" borderId="1" xfId="5" applyFont="1" applyFill="1" applyBorder="1" applyAlignment="1">
      <alignment vertical="top" wrapText="1"/>
    </xf>
    <xf numFmtId="0" fontId="2" fillId="8" borderId="1" xfId="2" applyFill="1" applyBorder="1" applyAlignment="1">
      <alignment vertical="top"/>
    </xf>
    <xf numFmtId="0" fontId="2" fillId="8" borderId="2" xfId="2" applyFill="1" applyBorder="1" applyAlignment="1">
      <alignment vertical="top" wrapText="1"/>
    </xf>
    <xf numFmtId="1" fontId="2" fillId="8" borderId="1" xfId="2" applyNumberFormat="1" applyFill="1" applyBorder="1" applyAlignment="1">
      <alignment vertical="top"/>
    </xf>
    <xf numFmtId="0" fontId="5" fillId="8" borderId="6" xfId="2" applyFont="1" applyFill="1" applyBorder="1" applyAlignment="1">
      <alignment vertical="top" wrapText="1"/>
    </xf>
    <xf numFmtId="49" fontId="5" fillId="8" borderId="1" xfId="2" applyNumberFormat="1" applyFont="1" applyFill="1" applyBorder="1" applyAlignment="1">
      <alignment vertical="top"/>
    </xf>
    <xf numFmtId="0" fontId="2" fillId="5" borderId="1" xfId="2" applyFill="1" applyBorder="1" applyAlignment="1">
      <alignment vertical="top"/>
    </xf>
    <xf numFmtId="1" fontId="2" fillId="5" borderId="1" xfId="2" applyNumberFormat="1" applyFill="1" applyBorder="1" applyAlignment="1">
      <alignment vertical="top"/>
    </xf>
    <xf numFmtId="0" fontId="4" fillId="8" borderId="2" xfId="2" applyFont="1" applyFill="1" applyBorder="1" applyAlignment="1">
      <alignment vertical="top" wrapText="1"/>
    </xf>
    <xf numFmtId="9" fontId="5" fillId="3" borderId="8" xfId="2" applyNumberFormat="1" applyFont="1" applyFill="1" applyBorder="1" applyAlignment="1">
      <alignment vertical="top" wrapText="1"/>
    </xf>
    <xf numFmtId="1" fontId="2" fillId="5" borderId="1" xfId="2" applyNumberFormat="1" applyFill="1" applyBorder="1" applyAlignment="1">
      <alignment vertical="top" textRotation="90"/>
    </xf>
    <xf numFmtId="0" fontId="5" fillId="5" borderId="1" xfId="2" applyFont="1" applyFill="1" applyBorder="1" applyAlignment="1">
      <alignment vertical="top" textRotation="90"/>
    </xf>
    <xf numFmtId="0" fontId="2" fillId="9" borderId="1" xfId="2" applyFill="1" applyBorder="1" applyAlignment="1" applyProtection="1">
      <alignment vertical="top" wrapText="1"/>
      <protection locked="0"/>
    </xf>
    <xf numFmtId="49" fontId="5" fillId="3" borderId="1" xfId="2" applyNumberFormat="1" applyFont="1" applyFill="1" applyBorder="1" applyAlignment="1">
      <alignment vertical="top" wrapText="1"/>
    </xf>
    <xf numFmtId="165" fontId="2" fillId="3" borderId="1" xfId="2" applyNumberFormat="1" applyFill="1" applyBorder="1" applyAlignment="1">
      <alignment vertical="top"/>
    </xf>
    <xf numFmtId="2" fontId="2" fillId="5" borderId="1" xfId="2" applyNumberFormat="1" applyFill="1" applyBorder="1" applyAlignment="1">
      <alignment vertical="top"/>
    </xf>
    <xf numFmtId="0" fontId="2" fillId="5" borderId="1" xfId="2" applyFill="1" applyBorder="1" applyAlignment="1" applyProtection="1">
      <alignment vertical="top"/>
      <protection locked="0"/>
    </xf>
    <xf numFmtId="164" fontId="3" fillId="10" borderId="1" xfId="2" applyNumberFormat="1" applyFont="1" applyFill="1" applyBorder="1" applyAlignment="1">
      <alignment vertical="top" wrapText="1"/>
    </xf>
    <xf numFmtId="0" fontId="2" fillId="10" borderId="2" xfId="2" applyFill="1" applyBorder="1" applyAlignment="1">
      <alignment vertical="top" wrapText="1"/>
    </xf>
    <xf numFmtId="0" fontId="5" fillId="10" borderId="1" xfId="2" applyFont="1" applyFill="1" applyBorder="1" applyAlignment="1">
      <alignment horizontal="left" vertical="top" wrapText="1"/>
    </xf>
    <xf numFmtId="0" fontId="2" fillId="11" borderId="2" xfId="2" applyFill="1" applyBorder="1" applyAlignment="1">
      <alignment vertical="top" wrapText="1"/>
    </xf>
    <xf numFmtId="1" fontId="2" fillId="11" borderId="1" xfId="2" applyNumberFormat="1" applyFill="1" applyBorder="1" applyAlignment="1">
      <alignment vertical="top"/>
    </xf>
    <xf numFmtId="165" fontId="2" fillId="5" borderId="1" xfId="2" applyNumberFormat="1" applyFill="1" applyBorder="1" applyAlignment="1">
      <alignment vertical="top"/>
    </xf>
    <xf numFmtId="0" fontId="2" fillId="5" borderId="0" xfId="2" applyFill="1" applyAlignment="1">
      <alignment vertical="top"/>
    </xf>
    <xf numFmtId="0" fontId="3" fillId="5" borderId="1" xfId="2" applyFont="1" applyFill="1" applyBorder="1" applyAlignment="1">
      <alignment vertical="top" textRotation="90" wrapText="1"/>
    </xf>
    <xf numFmtId="0" fontId="2" fillId="11" borderId="1" xfId="2" applyFill="1" applyBorder="1" applyAlignment="1">
      <alignment vertical="top"/>
    </xf>
    <xf numFmtId="1" fontId="2" fillId="12" borderId="1" xfId="2" applyNumberFormat="1" applyFill="1" applyBorder="1" applyAlignment="1">
      <alignment vertical="top"/>
    </xf>
    <xf numFmtId="1" fontId="2" fillId="3" borderId="1" xfId="2" applyNumberFormat="1" applyFill="1" applyBorder="1" applyAlignment="1">
      <alignment vertical="top"/>
    </xf>
    <xf numFmtId="165" fontId="2" fillId="12" borderId="1" xfId="2" applyNumberFormat="1" applyFill="1" applyBorder="1" applyAlignment="1">
      <alignment vertical="top"/>
    </xf>
    <xf numFmtId="9" fontId="2" fillId="8" borderId="2" xfId="5" applyFont="1" applyFill="1" applyBorder="1" applyAlignment="1">
      <alignment vertical="top" wrapText="1"/>
    </xf>
    <xf numFmtId="9" fontId="0" fillId="0" borderId="0" xfId="5" applyFont="1" applyFill="1"/>
    <xf numFmtId="2" fontId="2" fillId="8" borderId="1" xfId="2" applyNumberFormat="1" applyFill="1" applyBorder="1" applyAlignment="1">
      <alignment vertical="top"/>
    </xf>
    <xf numFmtId="165" fontId="2" fillId="5" borderId="1" xfId="2" applyNumberFormat="1" applyFill="1" applyBorder="1" applyAlignment="1">
      <alignment vertical="top" textRotation="90"/>
    </xf>
    <xf numFmtId="165" fontId="0" fillId="0" borderId="0" xfId="0" applyNumberFormat="1"/>
    <xf numFmtId="1" fontId="2" fillId="11" borderId="2" xfId="2" applyNumberFormat="1" applyFill="1" applyBorder="1" applyAlignment="1">
      <alignment vertical="top" wrapText="1"/>
    </xf>
    <xf numFmtId="1" fontId="2" fillId="8" borderId="2" xfId="2" applyNumberFormat="1" applyFill="1" applyBorder="1" applyAlignment="1">
      <alignment vertical="top" wrapText="1"/>
    </xf>
    <xf numFmtId="1" fontId="0" fillId="0" borderId="0" xfId="0" applyNumberFormat="1"/>
    <xf numFmtId="0" fontId="2" fillId="5" borderId="8" xfId="2" applyFill="1" applyBorder="1" applyAlignment="1">
      <alignment vertical="top"/>
    </xf>
    <xf numFmtId="0" fontId="2" fillId="0" borderId="9" xfId="2" applyBorder="1" applyAlignment="1">
      <alignment vertical="center" wrapText="1"/>
    </xf>
    <xf numFmtId="9" fontId="5" fillId="13" borderId="18" xfId="3" applyFont="1" applyFill="1" applyBorder="1" applyAlignment="1" applyProtection="1">
      <alignment horizontal="center" vertical="top" wrapText="1"/>
      <protection locked="0"/>
    </xf>
    <xf numFmtId="0" fontId="5" fillId="0" borderId="6" xfId="2" applyFont="1" applyBorder="1" applyAlignment="1">
      <alignment wrapText="1"/>
    </xf>
    <xf numFmtId="0" fontId="5" fillId="0" borderId="6" xfId="2" applyFont="1" applyBorder="1" applyAlignment="1">
      <alignment vertical="center" wrapText="1"/>
    </xf>
    <xf numFmtId="0" fontId="5" fillId="0" borderId="19" xfId="2" applyFont="1" applyBorder="1" applyAlignment="1">
      <alignment horizontal="center" vertical="center" wrapText="1"/>
    </xf>
    <xf numFmtId="0" fontId="15" fillId="0" borderId="0" xfId="0" applyFont="1"/>
    <xf numFmtId="0" fontId="15" fillId="0" borderId="1" xfId="0" applyFont="1" applyBorder="1" applyAlignment="1">
      <alignment vertical="top" wrapText="1"/>
    </xf>
    <xf numFmtId="0" fontId="15" fillId="0" borderId="0" xfId="0" applyFont="1" applyAlignment="1">
      <alignment vertical="top"/>
    </xf>
    <xf numFmtId="49" fontId="17" fillId="0" borderId="1" xfId="0" applyNumberFormat="1" applyFont="1" applyBorder="1" applyAlignment="1">
      <alignment horizontal="left" vertical="top"/>
    </xf>
    <xf numFmtId="0" fontId="17" fillId="0" borderId="1" xfId="0" applyFont="1" applyBorder="1" applyAlignment="1">
      <alignment horizontal="left" vertical="top"/>
    </xf>
    <xf numFmtId="0" fontId="17" fillId="0" borderId="1" xfId="0" applyFont="1" applyBorder="1" applyAlignment="1">
      <alignment horizontal="left" vertical="top" wrapText="1"/>
    </xf>
    <xf numFmtId="0" fontId="17" fillId="0" borderId="0" xfId="0" applyFont="1" applyAlignment="1">
      <alignment vertical="top"/>
    </xf>
    <xf numFmtId="49" fontId="17" fillId="0" borderId="1" xfId="0" applyNumberFormat="1" applyFont="1" applyBorder="1" applyAlignment="1">
      <alignment horizontal="right" vertical="top"/>
    </xf>
    <xf numFmtId="49" fontId="15" fillId="0" borderId="1" xfId="0" applyNumberFormat="1" applyFont="1" applyBorder="1" applyAlignment="1">
      <alignment horizontal="right" vertical="top"/>
    </xf>
    <xf numFmtId="0" fontId="15" fillId="0" borderId="1" xfId="0" applyFont="1" applyBorder="1" applyAlignment="1">
      <alignment horizontal="left" vertical="top"/>
    </xf>
    <xf numFmtId="0" fontId="15" fillId="0" borderId="1" xfId="0" applyFont="1" applyBorder="1" applyAlignment="1">
      <alignment horizontal="left" vertical="top" wrapText="1"/>
    </xf>
    <xf numFmtId="49" fontId="15" fillId="0" borderId="1" xfId="0" applyNumberFormat="1" applyFont="1" applyBorder="1" applyAlignment="1" applyProtection="1">
      <alignment vertical="top" wrapText="1"/>
      <protection locked="0"/>
    </xf>
    <xf numFmtId="0" fontId="15" fillId="0" borderId="1" xfId="0" applyFont="1" applyBorder="1" applyAlignment="1">
      <alignment horizontal="right" vertical="top"/>
    </xf>
    <xf numFmtId="49" fontId="15" fillId="5" borderId="1" xfId="0" applyNumberFormat="1" applyFont="1" applyFill="1" applyBorder="1" applyAlignment="1" applyProtection="1">
      <alignment vertical="top" wrapText="1"/>
      <protection locked="0"/>
    </xf>
    <xf numFmtId="0" fontId="15" fillId="5" borderId="1" xfId="0" applyFont="1" applyFill="1" applyBorder="1" applyAlignment="1" applyProtection="1">
      <alignment vertical="top" wrapText="1"/>
      <protection locked="0"/>
    </xf>
    <xf numFmtId="0" fontId="17" fillId="0" borderId="1" xfId="0" applyFont="1" applyBorder="1" applyAlignment="1">
      <alignment vertical="top" wrapText="1"/>
    </xf>
    <xf numFmtId="49" fontId="15" fillId="0" borderId="1" xfId="0" applyNumberFormat="1" applyFont="1" applyBorder="1" applyAlignment="1">
      <alignment vertical="top" wrapText="1"/>
    </xf>
    <xf numFmtId="0" fontId="15" fillId="5" borderId="1" xfId="0" applyFont="1" applyFill="1" applyBorder="1" applyAlignment="1" applyProtection="1">
      <alignment horizontal="center"/>
      <protection locked="0"/>
    </xf>
    <xf numFmtId="0" fontId="19" fillId="0" borderId="1" xfId="0" applyFont="1" applyBorder="1" applyAlignment="1">
      <alignment horizontal="left" vertical="center"/>
    </xf>
    <xf numFmtId="0" fontId="15" fillId="0" borderId="1" xfId="0" applyFont="1" applyBorder="1" applyAlignment="1">
      <alignment horizontal="left"/>
    </xf>
    <xf numFmtId="0" fontId="15" fillId="0" borderId="1" xfId="0" applyFont="1" applyBorder="1" applyAlignment="1">
      <alignment horizontal="center"/>
    </xf>
    <xf numFmtId="49" fontId="15" fillId="0" borderId="0" xfId="0" applyNumberFormat="1" applyFont="1" applyAlignment="1">
      <alignment horizontal="right" vertical="top"/>
    </xf>
    <xf numFmtId="0" fontId="15" fillId="0" borderId="0" xfId="0" applyFont="1" applyAlignment="1">
      <alignment horizontal="left"/>
    </xf>
    <xf numFmtId="0" fontId="15" fillId="0" borderId="0" xfId="0" applyFont="1" applyAlignment="1">
      <alignment horizontal="left" wrapText="1"/>
    </xf>
    <xf numFmtId="0" fontId="15" fillId="0" borderId="0" xfId="0" applyFont="1" applyAlignment="1">
      <alignment horizontal="center"/>
    </xf>
    <xf numFmtId="49" fontId="15" fillId="0" borderId="0" xfId="0" applyNumberFormat="1" applyFont="1" applyAlignment="1">
      <alignment vertical="top" wrapText="1"/>
    </xf>
    <xf numFmtId="49" fontId="15" fillId="0" borderId="0" xfId="0" applyNumberFormat="1" applyFont="1" applyAlignment="1">
      <alignment horizontal="right"/>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49" fontId="15" fillId="0" borderId="0" xfId="0" applyNumberFormat="1" applyFont="1" applyAlignment="1" applyProtection="1">
      <alignment vertical="top" wrapText="1"/>
      <protection locked="0"/>
    </xf>
    <xf numFmtId="0" fontId="15" fillId="0" borderId="0" xfId="0" applyFont="1" applyAlignment="1" applyProtection="1">
      <alignment horizontal="left"/>
      <protection locked="0"/>
    </xf>
    <xf numFmtId="0" fontId="29" fillId="0" borderId="0" xfId="0" applyFont="1"/>
    <xf numFmtId="0" fontId="14" fillId="0" borderId="9" xfId="0" applyFont="1" applyBorder="1" applyAlignment="1">
      <alignment vertical="top"/>
    </xf>
    <xf numFmtId="0" fontId="17" fillId="0" borderId="1" xfId="0" applyFont="1" applyBorder="1" applyAlignment="1">
      <alignment vertical="top"/>
    </xf>
    <xf numFmtId="0" fontId="15" fillId="5" borderId="1" xfId="0" applyFont="1" applyFill="1" applyBorder="1" applyAlignment="1" applyProtection="1">
      <alignment wrapText="1"/>
      <protection locked="0"/>
    </xf>
    <xf numFmtId="0" fontId="18" fillId="5" borderId="1" xfId="0" applyFont="1" applyFill="1" applyBorder="1" applyAlignment="1" applyProtection="1">
      <alignment wrapText="1"/>
      <protection locked="0"/>
    </xf>
    <xf numFmtId="0" fontId="15" fillId="0" borderId="1" xfId="0" applyFont="1" applyBorder="1" applyAlignment="1">
      <alignment wrapText="1"/>
    </xf>
    <xf numFmtId="0" fontId="15" fillId="0" borderId="1" xfId="0" applyFont="1" applyBorder="1" applyAlignment="1" applyProtection="1">
      <alignment wrapText="1"/>
      <protection locked="0"/>
    </xf>
    <xf numFmtId="0" fontId="15" fillId="0" borderId="1" xfId="0" applyFont="1" applyBorder="1" applyProtection="1">
      <protection locked="0"/>
    </xf>
    <xf numFmtId="0" fontId="12" fillId="5" borderId="27" xfId="2" applyFont="1" applyFill="1" applyBorder="1" applyAlignment="1">
      <alignment vertical="top"/>
    </xf>
    <xf numFmtId="0" fontId="12" fillId="5" borderId="9" xfId="2" applyFont="1" applyFill="1" applyBorder="1" applyAlignment="1">
      <alignment vertical="top" wrapText="1"/>
    </xf>
    <xf numFmtId="1" fontId="12" fillId="5" borderId="9" xfId="2" applyNumberFormat="1" applyFont="1" applyFill="1" applyBorder="1" applyAlignment="1">
      <alignment vertical="top" wrapText="1"/>
    </xf>
    <xf numFmtId="165" fontId="12" fillId="5" borderId="10" xfId="2" applyNumberFormat="1" applyFont="1" applyFill="1" applyBorder="1" applyAlignment="1">
      <alignment vertical="top" wrapText="1"/>
    </xf>
    <xf numFmtId="0" fontId="15" fillId="5" borderId="2" xfId="0" applyFont="1" applyFill="1" applyBorder="1" applyAlignment="1" applyProtection="1">
      <alignment vertical="top" wrapText="1"/>
      <protection locked="0"/>
    </xf>
    <xf numFmtId="9" fontId="5" fillId="2" borderId="18" xfId="3" applyFont="1" applyFill="1" applyBorder="1" applyAlignment="1" applyProtection="1">
      <alignment horizontal="center" vertical="top" wrapText="1"/>
    </xf>
    <xf numFmtId="9" fontId="13" fillId="2" borderId="18" xfId="3" applyFont="1" applyFill="1" applyBorder="1" applyAlignment="1" applyProtection="1">
      <alignment horizontal="center" vertical="top" wrapText="1"/>
    </xf>
    <xf numFmtId="9" fontId="5" fillId="0" borderId="18" xfId="3" applyFont="1" applyFill="1" applyBorder="1" applyAlignment="1" applyProtection="1">
      <alignment horizontal="center" vertical="top" wrapText="1"/>
    </xf>
    <xf numFmtId="49" fontId="2" fillId="0" borderId="6" xfId="2" applyNumberFormat="1" applyBorder="1" applyAlignment="1">
      <alignment vertical="top" wrapText="1"/>
    </xf>
    <xf numFmtId="9" fontId="3" fillId="9" borderId="5" xfId="5" applyFont="1" applyFill="1" applyBorder="1" applyAlignment="1" applyProtection="1">
      <alignment vertical="top" wrapText="1"/>
      <protection locked="0"/>
    </xf>
    <xf numFmtId="9" fontId="12" fillId="9" borderId="10" xfId="5" applyFont="1" applyFill="1" applyBorder="1" applyAlignment="1">
      <alignment horizontal="left" vertical="top" wrapText="1"/>
    </xf>
    <xf numFmtId="9" fontId="2" fillId="3" borderId="2" xfId="5" applyFont="1" applyFill="1" applyBorder="1" applyAlignment="1">
      <alignment vertical="top" wrapText="1"/>
    </xf>
    <xf numFmtId="0" fontId="2" fillId="8" borderId="1" xfId="2" applyFill="1" applyBorder="1" applyAlignment="1">
      <alignment vertical="top" wrapText="1"/>
    </xf>
    <xf numFmtId="0" fontId="2" fillId="9" borderId="1" xfId="2" applyFill="1" applyBorder="1" applyAlignment="1">
      <alignment vertical="top" wrapText="1"/>
    </xf>
    <xf numFmtId="0" fontId="2" fillId="7" borderId="1" xfId="2" applyFill="1" applyBorder="1" applyAlignment="1">
      <alignment horizontal="left" vertical="top" textRotation="90"/>
    </xf>
    <xf numFmtId="0" fontId="2" fillId="7" borderId="1" xfId="2" applyFill="1" applyBorder="1" applyAlignment="1" applyProtection="1">
      <alignment vertical="top" wrapText="1"/>
      <protection locked="0"/>
    </xf>
    <xf numFmtId="0" fontId="4" fillId="7" borderId="1" xfId="2" applyFont="1" applyFill="1" applyBorder="1" applyAlignment="1" applyProtection="1">
      <alignment vertical="top" wrapText="1"/>
      <protection locked="0"/>
    </xf>
    <xf numFmtId="0" fontId="2" fillId="7" borderId="1" xfId="2" applyFill="1" applyBorder="1" applyAlignment="1">
      <alignment vertical="top" wrapText="1"/>
    </xf>
    <xf numFmtId="0" fontId="7" fillId="7" borderId="1" xfId="2" applyFont="1" applyFill="1" applyBorder="1" applyAlignment="1">
      <alignment vertical="top" wrapText="1"/>
    </xf>
    <xf numFmtId="9" fontId="0" fillId="0" borderId="0" xfId="5" applyFont="1" applyFill="1" applyBorder="1"/>
    <xf numFmtId="9" fontId="13" fillId="2" borderId="35" xfId="3" applyFont="1" applyFill="1" applyBorder="1" applyAlignment="1" applyProtection="1">
      <alignment horizontal="center" vertical="top" wrapText="1"/>
    </xf>
    <xf numFmtId="9" fontId="5" fillId="9" borderId="2" xfId="5" applyFont="1" applyFill="1" applyBorder="1" applyAlignment="1">
      <alignment horizontal="left" vertical="top" textRotation="90" wrapText="1"/>
    </xf>
    <xf numFmtId="49" fontId="17" fillId="0" borderId="1" xfId="0" applyNumberFormat="1" applyFont="1" applyBorder="1" applyAlignment="1">
      <alignment vertical="top" wrapText="1"/>
    </xf>
    <xf numFmtId="0" fontId="5" fillId="0" borderId="17" xfId="2" applyFont="1" applyBorder="1" applyAlignment="1">
      <alignment vertical="top" wrapText="1"/>
    </xf>
    <xf numFmtId="164" fontId="5" fillId="0" borderId="16" xfId="2" applyNumberFormat="1" applyFont="1" applyBorder="1" applyAlignment="1">
      <alignment vertical="top" wrapText="1"/>
    </xf>
    <xf numFmtId="9" fontId="2" fillId="0" borderId="14" xfId="5" applyFont="1" applyFill="1" applyBorder="1" applyAlignment="1">
      <alignment vertical="top" wrapText="1"/>
    </xf>
    <xf numFmtId="0" fontId="2" fillId="0" borderId="32" xfId="2" applyBorder="1" applyAlignment="1">
      <alignment vertical="top"/>
    </xf>
    <xf numFmtId="0" fontId="32" fillId="0" borderId="0" xfId="0" applyFont="1"/>
    <xf numFmtId="0" fontId="23" fillId="0" borderId="0" xfId="0" applyFont="1"/>
    <xf numFmtId="0" fontId="5" fillId="5" borderId="0" xfId="0" applyFont="1" applyFill="1"/>
    <xf numFmtId="0" fontId="2" fillId="0" borderId="4" xfId="0" applyFont="1" applyBorder="1"/>
    <xf numFmtId="0" fontId="2" fillId="0" borderId="8" xfId="0" applyFont="1" applyBorder="1"/>
    <xf numFmtId="0" fontId="2" fillId="0" borderId="7" xfId="0" applyFont="1" applyBorder="1"/>
    <xf numFmtId="0" fontId="2" fillId="0" borderId="26" xfId="0" applyFont="1" applyBorder="1"/>
    <xf numFmtId="0" fontId="2" fillId="0" borderId="13" xfId="0" applyFont="1" applyBorder="1"/>
    <xf numFmtId="0" fontId="2" fillId="0" borderId="12" xfId="0" applyFont="1" applyBorder="1"/>
    <xf numFmtId="0" fontId="2" fillId="0" borderId="27" xfId="0" applyFont="1" applyBorder="1"/>
    <xf numFmtId="0" fontId="2" fillId="0" borderId="11" xfId="0" applyFont="1" applyBorder="1"/>
    <xf numFmtId="0" fontId="2" fillId="0" borderId="10" xfId="0" applyFont="1" applyBorder="1"/>
    <xf numFmtId="0" fontId="2" fillId="5" borderId="4" xfId="0" applyFont="1" applyFill="1" applyBorder="1"/>
    <xf numFmtId="0" fontId="2" fillId="5" borderId="8" xfId="0" applyFont="1" applyFill="1" applyBorder="1"/>
    <xf numFmtId="0" fontId="2" fillId="5" borderId="7" xfId="0" applyFont="1" applyFill="1" applyBorder="1" applyAlignment="1">
      <alignment horizontal="left" vertical="center"/>
    </xf>
    <xf numFmtId="0" fontId="2" fillId="5" borderId="13" xfId="0" applyFont="1" applyFill="1" applyBorder="1"/>
    <xf numFmtId="0" fontId="2" fillId="5" borderId="12" xfId="0" applyFont="1" applyFill="1" applyBorder="1" applyAlignment="1">
      <alignment horizontal="left" vertical="center"/>
    </xf>
    <xf numFmtId="0" fontId="2" fillId="5" borderId="27" xfId="0" applyFont="1" applyFill="1" applyBorder="1"/>
    <xf numFmtId="0" fontId="2" fillId="5" borderId="11" xfId="0" applyFont="1" applyFill="1" applyBorder="1"/>
    <xf numFmtId="0" fontId="2" fillId="5" borderId="10" xfId="0" applyFont="1" applyFill="1" applyBorder="1"/>
    <xf numFmtId="0" fontId="33" fillId="0" borderId="0" xfId="0" applyFont="1" applyAlignment="1">
      <alignment horizontal="left" vertical="center"/>
    </xf>
    <xf numFmtId="0" fontId="15" fillId="0" borderId="0" xfId="0" applyFont="1" applyAlignment="1">
      <alignment horizontal="right"/>
    </xf>
    <xf numFmtId="0" fontId="15" fillId="0" borderId="0" xfId="0" applyFont="1" applyAlignment="1">
      <alignment wrapText="1"/>
    </xf>
    <xf numFmtId="0" fontId="15" fillId="0" borderId="0" xfId="0" applyFont="1" applyAlignment="1">
      <alignment vertical="top" wrapText="1"/>
    </xf>
    <xf numFmtId="0" fontId="34" fillId="5" borderId="26" xfId="0" applyFont="1" applyFill="1" applyBorder="1"/>
    <xf numFmtId="14" fontId="34" fillId="5" borderId="26" xfId="0" applyNumberFormat="1" applyFont="1" applyFill="1" applyBorder="1"/>
    <xf numFmtId="0" fontId="34" fillId="0" borderId="26" xfId="0" applyFont="1" applyBorder="1"/>
    <xf numFmtId="14" fontId="34" fillId="0" borderId="26" xfId="0" applyNumberFormat="1" applyFont="1" applyBorder="1"/>
    <xf numFmtId="2" fontId="0" fillId="0" borderId="0" xfId="0" applyNumberFormat="1"/>
    <xf numFmtId="0" fontId="2" fillId="0" borderId="14" xfId="2" applyBorder="1" applyAlignment="1">
      <alignment vertical="top"/>
    </xf>
    <xf numFmtId="0" fontId="5" fillId="0" borderId="34" xfId="2" applyFont="1" applyBorder="1" applyAlignment="1">
      <alignment vertical="top" wrapText="1"/>
    </xf>
    <xf numFmtId="0" fontId="35" fillId="0" borderId="0" xfId="0" applyFont="1"/>
    <xf numFmtId="9" fontId="3" fillId="9" borderId="1" xfId="5" applyFont="1" applyFill="1" applyBorder="1" applyAlignment="1" applyProtection="1">
      <alignment vertical="top" wrapText="1"/>
      <protection locked="0"/>
    </xf>
    <xf numFmtId="165" fontId="2" fillId="8" borderId="1" xfId="2" applyNumberFormat="1" applyFill="1" applyBorder="1" applyAlignment="1">
      <alignment vertical="top"/>
    </xf>
    <xf numFmtId="9" fontId="6" fillId="8" borderId="2" xfId="5" applyFont="1" applyFill="1" applyBorder="1" applyAlignment="1">
      <alignment vertical="top" wrapText="1"/>
    </xf>
    <xf numFmtId="0" fontId="3" fillId="10" borderId="1" xfId="2" applyFont="1" applyFill="1" applyBorder="1" applyAlignment="1">
      <alignment vertical="top" wrapText="1"/>
    </xf>
    <xf numFmtId="49" fontId="19" fillId="0" borderId="1" xfId="0" applyNumberFormat="1" applyFont="1" applyBorder="1" applyAlignment="1">
      <alignment horizontal="right" vertical="center"/>
    </xf>
    <xf numFmtId="0" fontId="19" fillId="0" borderId="1" xfId="0" applyFont="1" applyBorder="1" applyAlignment="1">
      <alignment horizontal="center" vertical="center"/>
    </xf>
    <xf numFmtId="0" fontId="19" fillId="0" borderId="1" xfId="0" applyFont="1" applyBorder="1" applyAlignment="1">
      <alignment vertical="center"/>
    </xf>
    <xf numFmtId="0" fontId="16" fillId="0" borderId="1" xfId="0" applyFont="1" applyBorder="1" applyAlignment="1">
      <alignment horizontal="left" vertical="center"/>
    </xf>
    <xf numFmtId="49" fontId="17" fillId="0" borderId="1" xfId="0" applyNumberFormat="1" applyFont="1" applyBorder="1" applyAlignment="1">
      <alignment horizontal="right" vertical="center"/>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lignment vertical="center"/>
    </xf>
    <xf numFmtId="49" fontId="15" fillId="0" borderId="1" xfId="0" applyNumberFormat="1" applyFont="1" applyBorder="1" applyAlignment="1">
      <alignment horizontal="right" vertical="center"/>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0" fontId="15" fillId="4" borderId="1" xfId="0" applyFont="1" applyFill="1" applyBorder="1" applyAlignment="1" applyProtection="1">
      <alignment horizontal="center" vertical="center"/>
      <protection locked="0"/>
    </xf>
    <xf numFmtId="49" fontId="15" fillId="0" borderId="1" xfId="0" applyNumberFormat="1" applyFont="1" applyBorder="1" applyAlignment="1" applyProtection="1">
      <alignment vertical="center" wrapText="1"/>
      <protection locked="0"/>
    </xf>
    <xf numFmtId="0" fontId="16" fillId="0" borderId="1" xfId="0" quotePrefix="1" applyFont="1" applyBorder="1" applyAlignment="1">
      <alignment vertical="center"/>
    </xf>
    <xf numFmtId="0" fontId="15" fillId="0" borderId="1" xfId="0" applyFont="1" applyBorder="1" applyAlignment="1">
      <alignment horizontal="right" vertical="center"/>
    </xf>
    <xf numFmtId="0" fontId="15" fillId="5" borderId="1" xfId="0" applyFont="1" applyFill="1" applyBorder="1" applyAlignment="1" applyProtection="1">
      <alignment horizontal="center" vertical="center"/>
      <protection locked="0"/>
    </xf>
    <xf numFmtId="0" fontId="15" fillId="0" borderId="1" xfId="0" applyFont="1" applyBorder="1" applyAlignment="1" applyProtection="1">
      <alignment vertical="center" wrapText="1"/>
      <protection locked="0"/>
    </xf>
    <xf numFmtId="0" fontId="19" fillId="0" borderId="1" xfId="0" quotePrefix="1" applyFont="1" applyBorder="1" applyAlignment="1">
      <alignment vertical="center"/>
    </xf>
    <xf numFmtId="0" fontId="20" fillId="0" borderId="1" xfId="1" quotePrefix="1" applyFont="1" applyFill="1" applyBorder="1" applyAlignment="1" applyProtection="1">
      <alignment vertical="center"/>
    </xf>
    <xf numFmtId="49" fontId="15" fillId="5" borderId="1" xfId="0" applyNumberFormat="1" applyFont="1" applyFill="1" applyBorder="1" applyAlignment="1" applyProtection="1">
      <alignment vertical="center" wrapText="1"/>
      <protection locked="0"/>
    </xf>
    <xf numFmtId="0" fontId="16" fillId="0" borderId="1" xfId="0" applyFont="1" applyBorder="1" applyAlignment="1">
      <alignment vertical="center"/>
    </xf>
    <xf numFmtId="49" fontId="15" fillId="0" borderId="1" xfId="0" applyNumberFormat="1" applyFont="1" applyBorder="1" applyAlignment="1" applyProtection="1">
      <alignment vertical="center"/>
      <protection locked="0"/>
    </xf>
    <xf numFmtId="0" fontId="15" fillId="7" borderId="1" xfId="0" applyFont="1" applyFill="1" applyBorder="1" applyAlignment="1">
      <alignment horizontal="right" vertical="center"/>
    </xf>
    <xf numFmtId="0" fontId="15" fillId="7" borderId="1" xfId="0" applyFont="1" applyFill="1" applyBorder="1" applyAlignment="1">
      <alignment horizontal="left" vertical="center"/>
    </xf>
    <xf numFmtId="0" fontId="15" fillId="7" borderId="1" xfId="0" applyFont="1" applyFill="1" applyBorder="1" applyAlignment="1">
      <alignment horizontal="left" vertical="center" wrapText="1"/>
    </xf>
    <xf numFmtId="0" fontId="15" fillId="5" borderId="1" xfId="0" applyFont="1" applyFill="1" applyBorder="1" applyAlignment="1" applyProtection="1">
      <alignment vertical="center"/>
      <protection locked="0"/>
    </xf>
    <xf numFmtId="0" fontId="21" fillId="7" borderId="1" xfId="0" applyFont="1" applyFill="1" applyBorder="1" applyAlignment="1">
      <alignment horizontal="left" vertical="center" wrapText="1"/>
    </xf>
    <xf numFmtId="0" fontId="15" fillId="0" borderId="1" xfId="0" applyFont="1" applyBorder="1" applyAlignment="1">
      <alignment vertical="center"/>
    </xf>
    <xf numFmtId="0" fontId="17" fillId="0" borderId="1" xfId="0" applyFont="1" applyBorder="1" applyAlignment="1">
      <alignment horizontal="left" vertical="center" wrapText="1"/>
    </xf>
    <xf numFmtId="0" fontId="15" fillId="5" borderId="1" xfId="0" applyFont="1" applyFill="1" applyBorder="1" applyAlignment="1" applyProtection="1">
      <alignment horizontal="center" vertical="center" wrapText="1"/>
      <protection locked="0"/>
    </xf>
    <xf numFmtId="0" fontId="15" fillId="0" borderId="1" xfId="0" applyFont="1" applyBorder="1" applyAlignment="1">
      <alignment vertical="center" wrapText="1"/>
    </xf>
    <xf numFmtId="0" fontId="15" fillId="7" borderId="1" xfId="0" applyFont="1" applyFill="1" applyBorder="1" applyAlignment="1">
      <alignment horizontal="right" vertical="center" wrapText="1"/>
    </xf>
    <xf numFmtId="0" fontId="15" fillId="4" borderId="1" xfId="0" applyFont="1" applyFill="1" applyBorder="1" applyAlignment="1" applyProtection="1">
      <alignment horizontal="center" vertical="center" wrapText="1"/>
      <protection locked="0"/>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49" fontId="15" fillId="7" borderId="1" xfId="0" applyNumberFormat="1" applyFont="1" applyFill="1" applyBorder="1" applyAlignment="1">
      <alignment horizontal="right" vertical="center"/>
    </xf>
    <xf numFmtId="0" fontId="15" fillId="0" borderId="1" xfId="0" applyFont="1" applyBorder="1" applyAlignment="1" applyProtection="1">
      <alignment vertical="center"/>
      <protection locked="0"/>
    </xf>
    <xf numFmtId="49" fontId="15" fillId="0" borderId="1" xfId="0" applyNumberFormat="1" applyFont="1" applyBorder="1" applyAlignment="1">
      <alignment horizontal="right" vertical="center" wrapText="1"/>
    </xf>
    <xf numFmtId="0" fontId="15" fillId="0" borderId="1" xfId="0" applyFont="1" applyBorder="1" applyAlignment="1">
      <alignment horizontal="center" vertical="center"/>
    </xf>
    <xf numFmtId="0" fontId="15" fillId="0" borderId="8" xfId="0" applyFont="1" applyBorder="1" applyAlignment="1">
      <alignment vertical="center"/>
    </xf>
    <xf numFmtId="49" fontId="15" fillId="7" borderId="1" xfId="0" applyNumberFormat="1" applyFont="1" applyFill="1" applyBorder="1" applyAlignment="1">
      <alignment horizontal="right" vertical="center" wrapText="1"/>
    </xf>
    <xf numFmtId="49" fontId="15" fillId="0" borderId="6" xfId="0" applyNumberFormat="1" applyFont="1" applyBorder="1" applyAlignment="1" applyProtection="1">
      <alignment vertical="center" wrapText="1"/>
      <protection locked="0"/>
    </xf>
    <xf numFmtId="49" fontId="15" fillId="5" borderId="6" xfId="0" applyNumberFormat="1" applyFont="1" applyFill="1" applyBorder="1" applyAlignment="1" applyProtection="1">
      <alignment vertical="center" wrapText="1"/>
      <protection locked="0"/>
    </xf>
    <xf numFmtId="0" fontId="15" fillId="0" borderId="6" xfId="0" applyFont="1" applyBorder="1" applyAlignment="1" applyProtection="1">
      <alignment vertical="center"/>
      <protection locked="0"/>
    </xf>
    <xf numFmtId="0" fontId="15" fillId="0" borderId="11" xfId="0" applyFont="1" applyBorder="1" applyAlignment="1">
      <alignment vertical="center"/>
    </xf>
    <xf numFmtId="0" fontId="18" fillId="0" borderId="1" xfId="0" applyFont="1" applyBorder="1" applyAlignment="1">
      <alignment horizontal="left" vertical="center" wrapText="1"/>
    </xf>
    <xf numFmtId="49" fontId="15" fillId="0" borderId="0" xfId="0" applyNumberFormat="1" applyFont="1" applyAlignment="1">
      <alignment horizontal="right" vertical="center" wrapText="1"/>
    </xf>
    <xf numFmtId="0" fontId="15" fillId="0" borderId="0" xfId="0" applyFont="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vertical="center" wrapText="1"/>
    </xf>
    <xf numFmtId="49" fontId="19" fillId="0" borderId="29" xfId="0" applyNumberFormat="1" applyFont="1" applyBorder="1" applyAlignment="1">
      <alignment horizontal="right" vertical="center"/>
    </xf>
    <xf numFmtId="0" fontId="19" fillId="0" borderId="29" xfId="0" applyFont="1" applyBorder="1" applyAlignment="1">
      <alignment horizontal="left" vertical="center"/>
    </xf>
    <xf numFmtId="0" fontId="19" fillId="0" borderId="30" xfId="0" applyFont="1" applyBorder="1" applyAlignment="1">
      <alignment horizontal="left" vertical="center"/>
    </xf>
    <xf numFmtId="0" fontId="19" fillId="0" borderId="30" xfId="0" applyFont="1" applyBorder="1" applyAlignment="1">
      <alignment horizontal="center" vertical="center"/>
    </xf>
    <xf numFmtId="0" fontId="19" fillId="0" borderId="30" xfId="0" applyFont="1" applyBorder="1" applyAlignment="1">
      <alignment vertical="center"/>
    </xf>
    <xf numFmtId="0" fontId="19" fillId="0" borderId="31" xfId="0" applyFont="1" applyBorder="1" applyAlignment="1">
      <alignment horizontal="left" vertical="center"/>
    </xf>
    <xf numFmtId="0" fontId="17" fillId="0" borderId="2" xfId="0" applyFont="1" applyBorder="1" applyAlignment="1">
      <alignment vertical="center"/>
    </xf>
    <xf numFmtId="0" fontId="17" fillId="7" borderId="1" xfId="0" applyFont="1" applyFill="1" applyBorder="1" applyAlignment="1">
      <alignment horizontal="left" vertical="center"/>
    </xf>
    <xf numFmtId="0" fontId="17" fillId="5" borderId="1" xfId="0" applyFont="1" applyFill="1" applyBorder="1" applyAlignment="1" applyProtection="1">
      <alignment horizontal="center" vertical="center"/>
      <protection locked="0"/>
    </xf>
    <xf numFmtId="0" fontId="17" fillId="0" borderId="2" xfId="0" applyFont="1" applyBorder="1" applyAlignment="1" applyProtection="1">
      <alignment vertical="center"/>
      <protection locked="0"/>
    </xf>
    <xf numFmtId="0" fontId="17" fillId="5" borderId="2" xfId="0" applyFont="1" applyFill="1" applyBorder="1" applyAlignment="1" applyProtection="1">
      <alignment vertical="center"/>
      <protection locked="0"/>
    </xf>
    <xf numFmtId="49" fontId="15" fillId="0" borderId="2" xfId="0" applyNumberFormat="1" applyFont="1" applyBorder="1" applyAlignment="1">
      <alignment vertical="center" wrapText="1"/>
    </xf>
    <xf numFmtId="0" fontId="20" fillId="0" borderId="1" xfId="1" applyFont="1" applyFill="1" applyBorder="1" applyAlignment="1" applyProtection="1">
      <alignment horizontal="left" vertical="center"/>
    </xf>
    <xf numFmtId="0" fontId="12" fillId="0" borderId="1" xfId="1" applyFont="1" applyFill="1" applyBorder="1" applyAlignment="1" applyProtection="1">
      <alignment horizontal="left" vertical="center" wrapText="1"/>
    </xf>
    <xf numFmtId="0" fontId="12" fillId="0" borderId="1" xfId="1" applyFont="1" applyFill="1" applyBorder="1" applyAlignment="1" applyProtection="1">
      <alignment vertical="center" wrapText="1"/>
    </xf>
    <xf numFmtId="0" fontId="23" fillId="0" borderId="1" xfId="1" applyFont="1" applyFill="1" applyBorder="1" applyAlignment="1" applyProtection="1">
      <alignment vertical="center" wrapText="1"/>
    </xf>
    <xf numFmtId="49" fontId="15" fillId="0" borderId="1" xfId="0" applyNumberFormat="1" applyFont="1" applyBorder="1" applyAlignment="1">
      <alignment vertical="center" wrapText="1"/>
    </xf>
    <xf numFmtId="0" fontId="16" fillId="0" borderId="8" xfId="0" applyFont="1" applyBorder="1" applyAlignment="1">
      <alignment horizontal="left" vertical="center"/>
    </xf>
    <xf numFmtId="49" fontId="17" fillId="0" borderId="1" xfId="0" applyNumberFormat="1" applyFont="1" applyBorder="1" applyAlignment="1">
      <alignment horizontal="right" vertical="center" wrapText="1"/>
    </xf>
    <xf numFmtId="0" fontId="15" fillId="0" borderId="1" xfId="0" applyFont="1" applyBorder="1" applyAlignment="1" applyProtection="1">
      <alignment horizontal="left" vertical="center" wrapText="1"/>
      <protection locked="0"/>
    </xf>
    <xf numFmtId="0" fontId="24" fillId="0" borderId="1" xfId="0" applyFont="1" applyBorder="1" applyAlignment="1">
      <alignment vertical="center"/>
    </xf>
    <xf numFmtId="49" fontId="19" fillId="0" borderId="22" xfId="0" applyNumberFormat="1" applyFont="1" applyBorder="1" applyAlignment="1">
      <alignment horizontal="right" vertical="center"/>
    </xf>
    <xf numFmtId="0" fontId="19" fillId="0" borderId="22" xfId="0" applyFont="1" applyBorder="1" applyAlignment="1">
      <alignment horizontal="left" vertical="center"/>
    </xf>
    <xf numFmtId="0" fontId="19" fillId="0" borderId="23" xfId="0" applyFont="1" applyBorder="1" applyAlignment="1">
      <alignment horizontal="left" vertical="center"/>
    </xf>
    <xf numFmtId="0" fontId="19" fillId="0" borderId="23" xfId="0" applyFont="1" applyBorder="1" applyAlignment="1">
      <alignment horizontal="center" vertical="center"/>
    </xf>
    <xf numFmtId="0" fontId="19" fillId="0" borderId="23" xfId="0" applyFont="1" applyBorder="1" applyAlignment="1">
      <alignment vertical="center"/>
    </xf>
    <xf numFmtId="0" fontId="19" fillId="0" borderId="24" xfId="0" applyFont="1" applyBorder="1" applyAlignment="1">
      <alignment horizontal="left" vertical="center"/>
    </xf>
    <xf numFmtId="0" fontId="23" fillId="0" borderId="1" xfId="1" applyFont="1" applyFill="1" applyBorder="1" applyAlignment="1" applyProtection="1">
      <alignment horizontal="left" vertical="center"/>
    </xf>
    <xf numFmtId="0" fontId="16" fillId="0" borderId="1" xfId="0" applyFont="1" applyBorder="1" applyAlignment="1">
      <alignment horizontal="left" vertical="center" wrapText="1"/>
    </xf>
    <xf numFmtId="0" fontId="15" fillId="0" borderId="3" xfId="0" applyFont="1" applyBorder="1" applyAlignment="1">
      <alignment horizontal="left" vertical="center"/>
    </xf>
    <xf numFmtId="0" fontId="25" fillId="0" borderId="1" xfId="0" applyFont="1" applyBorder="1" applyAlignment="1">
      <alignment horizontal="center" vertical="center"/>
    </xf>
    <xf numFmtId="49" fontId="25" fillId="0" borderId="1" xfId="0" applyNumberFormat="1" applyFont="1" applyBorder="1" applyAlignment="1">
      <alignment vertical="center" wrapText="1"/>
    </xf>
    <xf numFmtId="0" fontId="25" fillId="0" borderId="1" xfId="0" applyFont="1" applyBorder="1" applyAlignment="1">
      <alignment horizontal="left" vertical="center"/>
    </xf>
    <xf numFmtId="0" fontId="15" fillId="7" borderId="0" xfId="0" applyFont="1" applyFill="1" applyAlignment="1">
      <alignment horizontal="left" vertical="center"/>
    </xf>
    <xf numFmtId="0" fontId="15" fillId="0" borderId="1" xfId="0" applyFont="1" applyBorder="1" applyAlignment="1">
      <alignment horizontal="right" vertical="center" wrapText="1"/>
    </xf>
    <xf numFmtId="0" fontId="25" fillId="0" borderId="0" xfId="0" applyFont="1" applyAlignment="1">
      <alignment horizontal="center" vertical="center"/>
    </xf>
    <xf numFmtId="49" fontId="25" fillId="0" borderId="0" xfId="0" applyNumberFormat="1" applyFont="1" applyAlignment="1">
      <alignment vertical="center" wrapText="1"/>
    </xf>
    <xf numFmtId="0" fontId="25" fillId="0" borderId="0" xfId="0" applyFont="1" applyAlignment="1">
      <alignment horizontal="left" vertical="center"/>
    </xf>
    <xf numFmtId="0" fontId="26" fillId="5" borderId="1" xfId="4" applyFont="1" applyFill="1" applyBorder="1" applyAlignment="1" applyProtection="1">
      <alignment horizontal="center" vertical="center"/>
      <protection locked="0"/>
    </xf>
    <xf numFmtId="49" fontId="26" fillId="0" borderId="1" xfId="4" applyNumberFormat="1" applyFont="1" applyFill="1" applyBorder="1" applyAlignment="1" applyProtection="1">
      <alignment vertical="center" wrapText="1"/>
      <protection locked="0"/>
    </xf>
    <xf numFmtId="0" fontId="26" fillId="0" borderId="1" xfId="4" applyFont="1" applyFill="1" applyBorder="1" applyAlignment="1" applyProtection="1">
      <alignment horizontal="left" vertical="center"/>
    </xf>
    <xf numFmtId="49" fontId="26" fillId="5" borderId="1" xfId="4" applyNumberFormat="1" applyFont="1" applyFill="1" applyBorder="1" applyAlignment="1" applyProtection="1">
      <alignment vertical="center" wrapText="1"/>
      <protection locked="0"/>
    </xf>
    <xf numFmtId="0" fontId="26" fillId="0" borderId="1" xfId="4" applyFont="1" applyFill="1" applyBorder="1" applyAlignment="1" applyProtection="1">
      <alignment horizontal="center" vertical="center"/>
    </xf>
    <xf numFmtId="49" fontId="26" fillId="0" borderId="1" xfId="4" applyNumberFormat="1" applyFont="1" applyFill="1" applyBorder="1" applyAlignment="1" applyProtection="1">
      <alignment vertical="center" wrapText="1"/>
    </xf>
    <xf numFmtId="0" fontId="15" fillId="0" borderId="8" xfId="0" applyFont="1" applyBorder="1" applyAlignment="1">
      <alignment horizontal="left" vertical="center"/>
    </xf>
    <xf numFmtId="0" fontId="15" fillId="0" borderId="8" xfId="0" applyFont="1" applyBorder="1" applyAlignment="1">
      <alignment horizontal="left" vertical="center" wrapText="1"/>
    </xf>
    <xf numFmtId="49" fontId="26" fillId="0" borderId="1" xfId="4" applyNumberFormat="1" applyFont="1" applyFill="1" applyBorder="1" applyAlignment="1" applyProtection="1">
      <alignment horizontal="center" vertical="center" wrapText="1"/>
    </xf>
    <xf numFmtId="0" fontId="26" fillId="0" borderId="8" xfId="4" applyFont="1" applyFill="1" applyBorder="1" applyAlignment="1" applyProtection="1">
      <alignment horizontal="left" vertical="center"/>
    </xf>
    <xf numFmtId="0" fontId="26" fillId="5" borderId="1" xfId="4" applyFont="1" applyFill="1" applyBorder="1" applyAlignment="1" applyProtection="1">
      <alignment horizontal="center" vertical="center" wrapText="1"/>
      <protection locked="0"/>
    </xf>
    <xf numFmtId="0" fontId="26" fillId="0" borderId="1" xfId="4" applyFont="1" applyFill="1" applyBorder="1" applyAlignment="1" applyProtection="1">
      <alignment horizontal="left" vertical="center" wrapText="1"/>
    </xf>
    <xf numFmtId="0" fontId="26" fillId="0" borderId="0" xfId="4" applyFont="1" applyFill="1" applyBorder="1" applyAlignment="1" applyProtection="1">
      <alignment horizontal="center" vertical="center"/>
    </xf>
    <xf numFmtId="49" fontId="26" fillId="0" borderId="0" xfId="4" applyNumberFormat="1" applyFont="1" applyFill="1" applyBorder="1" applyAlignment="1" applyProtection="1">
      <alignment vertical="center" wrapText="1"/>
    </xf>
    <xf numFmtId="0" fontId="26" fillId="0" borderId="0" xfId="4" applyFont="1" applyFill="1" applyBorder="1" applyAlignment="1" applyProtection="1">
      <alignment horizontal="left" vertical="center"/>
    </xf>
    <xf numFmtId="49" fontId="19" fillId="0" borderId="28" xfId="0" applyNumberFormat="1" applyFont="1" applyBorder="1" applyAlignment="1">
      <alignment horizontal="right" vertical="center"/>
    </xf>
    <xf numFmtId="0" fontId="19" fillId="0" borderId="28" xfId="0" applyFont="1" applyBorder="1" applyAlignment="1">
      <alignment horizontal="left" vertical="center"/>
    </xf>
    <xf numFmtId="0" fontId="15" fillId="0" borderId="28" xfId="0" applyFont="1" applyBorder="1" applyAlignment="1">
      <alignment horizontal="left" vertical="center" wrapText="1"/>
    </xf>
    <xf numFmtId="0" fontId="19" fillId="0" borderId="28" xfId="0" applyFont="1" applyBorder="1" applyAlignment="1">
      <alignment horizontal="center" vertical="center"/>
    </xf>
    <xf numFmtId="0" fontId="26" fillId="0" borderId="28" xfId="4" applyFont="1" applyFill="1" applyBorder="1" applyAlignment="1" applyProtection="1">
      <alignment horizontal="center" vertical="center"/>
    </xf>
    <xf numFmtId="49" fontId="26" fillId="0" borderId="28" xfId="4" applyNumberFormat="1" applyFont="1" applyFill="1" applyBorder="1" applyAlignment="1" applyProtection="1">
      <alignment vertical="center" wrapText="1"/>
    </xf>
    <xf numFmtId="0" fontId="26" fillId="0" borderId="28" xfId="4" applyFont="1" applyFill="1" applyBorder="1" applyAlignment="1" applyProtection="1">
      <alignment horizontal="left" vertical="center"/>
    </xf>
    <xf numFmtId="0" fontId="36" fillId="7" borderId="1" xfId="0" applyFont="1" applyFill="1" applyBorder="1" applyAlignment="1">
      <alignment horizontal="left" vertical="center" wrapText="1"/>
    </xf>
    <xf numFmtId="49" fontId="15" fillId="0" borderId="0" xfId="0" applyNumberFormat="1" applyFont="1" applyAlignment="1">
      <alignment horizontal="right" vertical="center"/>
    </xf>
    <xf numFmtId="49" fontId="16" fillId="0" borderId="1" xfId="0" applyNumberFormat="1" applyFont="1" applyBorder="1" applyAlignment="1">
      <alignment horizontal="left" vertical="center"/>
    </xf>
    <xf numFmtId="0" fontId="15" fillId="0" borderId="0" xfId="0" applyFont="1" applyAlignment="1">
      <alignment horizontal="right" vertical="center"/>
    </xf>
    <xf numFmtId="0" fontId="15" fillId="7" borderId="1" xfId="0" applyFont="1" applyFill="1" applyBorder="1" applyAlignment="1" applyProtection="1">
      <alignment horizontal="center" vertical="center"/>
      <protection locked="0"/>
    </xf>
    <xf numFmtId="0" fontId="17" fillId="0" borderId="1" xfId="0" applyFont="1" applyBorder="1" applyAlignment="1">
      <alignment horizontal="right" vertical="center"/>
    </xf>
    <xf numFmtId="0" fontId="24" fillId="0" borderId="1" xfId="0" applyFont="1" applyBorder="1" applyAlignment="1">
      <alignment horizontal="left" vertical="center"/>
    </xf>
    <xf numFmtId="0" fontId="15" fillId="0" borderId="28" xfId="0" applyFont="1" applyBorder="1" applyAlignment="1">
      <alignment horizontal="center" vertical="center"/>
    </xf>
    <xf numFmtId="49" fontId="15" fillId="0" borderId="28" xfId="0" applyNumberFormat="1" applyFont="1" applyBorder="1" applyAlignment="1">
      <alignment vertical="center" wrapText="1"/>
    </xf>
    <xf numFmtId="0" fontId="15" fillId="0" borderId="28" xfId="0" applyFont="1" applyBorder="1" applyAlignment="1">
      <alignment horizontal="left" vertical="center"/>
    </xf>
    <xf numFmtId="49" fontId="17" fillId="0" borderId="6" xfId="0" applyNumberFormat="1" applyFont="1" applyBorder="1" applyAlignment="1">
      <alignment horizontal="right" vertical="center"/>
    </xf>
    <xf numFmtId="0" fontId="15" fillId="0" borderId="2" xfId="0" applyFont="1" applyBorder="1" applyAlignment="1">
      <alignment horizontal="left" vertical="center" wrapText="1"/>
    </xf>
    <xf numFmtId="0" fontId="15" fillId="0" borderId="0" xfId="0" applyFont="1" applyAlignment="1">
      <alignment vertical="center" wrapText="1"/>
    </xf>
    <xf numFmtId="0" fontId="17" fillId="0" borderId="11" xfId="0" applyFont="1" applyBorder="1" applyAlignment="1">
      <alignment horizontal="left" vertical="center"/>
    </xf>
    <xf numFmtId="0" fontId="15" fillId="14" borderId="1" xfId="0" applyFont="1" applyFill="1" applyBorder="1" applyAlignment="1">
      <alignment horizontal="left" vertical="center" wrapText="1"/>
    </xf>
    <xf numFmtId="0" fontId="37" fillId="0" borderId="11" xfId="0" applyFont="1" applyBorder="1" applyAlignment="1">
      <alignment horizontal="left" vertical="center"/>
    </xf>
    <xf numFmtId="0" fontId="18" fillId="0" borderId="0" xfId="0" applyFont="1" applyAlignment="1">
      <alignment horizontal="left" vertical="center" wrapText="1"/>
    </xf>
    <xf numFmtId="0" fontId="18" fillId="0" borderId="1" xfId="0" applyFont="1" applyBorder="1" applyAlignment="1">
      <alignment horizontal="left" vertical="center"/>
    </xf>
    <xf numFmtId="0" fontId="27" fillId="0" borderId="1" xfId="0" applyFont="1" applyBorder="1" applyAlignment="1">
      <alignment horizontal="right" vertical="center"/>
    </xf>
    <xf numFmtId="0" fontId="15" fillId="0" borderId="1" xfId="0" applyFont="1" applyBorder="1" applyAlignment="1">
      <alignment vertical="top"/>
    </xf>
    <xf numFmtId="0" fontId="17" fillId="0" borderId="8" xfId="0" applyFont="1" applyBorder="1" applyAlignment="1">
      <alignment vertical="center" wrapText="1"/>
    </xf>
    <xf numFmtId="49" fontId="17" fillId="0" borderId="1" xfId="0" applyNumberFormat="1" applyFont="1" applyBorder="1" applyAlignment="1">
      <alignment vertical="top"/>
    </xf>
    <xf numFmtId="0" fontId="17" fillId="0" borderId="1" xfId="0" applyFont="1" applyBorder="1" applyAlignment="1">
      <alignment vertical="top"/>
    </xf>
    <xf numFmtId="0" fontId="17" fillId="0" borderId="6" xfId="0" applyFont="1" applyBorder="1" applyAlignment="1">
      <alignment vertical="top" wrapText="1"/>
    </xf>
    <xf numFmtId="0" fontId="17" fillId="0" borderId="2" xfId="0" applyFont="1" applyBorder="1" applyAlignment="1">
      <alignment vertical="top" wrapText="1"/>
    </xf>
    <xf numFmtId="0" fontId="17" fillId="0" borderId="1" xfId="0" applyFont="1" applyBorder="1" applyAlignment="1">
      <alignment vertical="top" wrapText="1"/>
    </xf>
    <xf numFmtId="0" fontId="17" fillId="0" borderId="8" xfId="0" applyFont="1" applyBorder="1" applyAlignment="1">
      <alignment vertical="top" wrapText="1"/>
    </xf>
    <xf numFmtId="0" fontId="17" fillId="0" borderId="13" xfId="0" applyFont="1" applyBorder="1" applyAlignment="1">
      <alignment vertical="top" wrapText="1"/>
    </xf>
    <xf numFmtId="0" fontId="17" fillId="0" borderId="11" xfId="0" applyFont="1" applyBorder="1" applyAlignment="1">
      <alignment vertical="top" wrapText="1"/>
    </xf>
    <xf numFmtId="0" fontId="17" fillId="0" borderId="1" xfId="0" applyFont="1" applyBorder="1" applyAlignment="1">
      <alignment horizontal="left" vertical="top"/>
    </xf>
    <xf numFmtId="0" fontId="14" fillId="0" borderId="9" xfId="0" applyFont="1" applyBorder="1" applyAlignment="1">
      <alignment horizontal="left" vertical="top"/>
    </xf>
    <xf numFmtId="0" fontId="0" fillId="0" borderId="6" xfId="0" applyBorder="1" applyAlignment="1">
      <alignment horizontal="center"/>
    </xf>
    <xf numFmtId="0" fontId="0" fillId="0" borderId="2" xfId="0" applyBorder="1" applyAlignment="1">
      <alignment horizontal="center"/>
    </xf>
    <xf numFmtId="0" fontId="0" fillId="0" borderId="2" xfId="0" applyBorder="1" applyAlignment="1">
      <alignment vertical="top" wrapText="1"/>
    </xf>
    <xf numFmtId="0" fontId="14" fillId="0" borderId="0" xfId="0" applyFont="1" applyAlignment="1">
      <alignment vertical="top" wrapText="1"/>
    </xf>
    <xf numFmtId="0" fontId="37" fillId="0" borderId="6" xfId="0" applyFont="1" applyBorder="1" applyAlignment="1">
      <alignment horizontal="left" vertical="center" wrapText="1"/>
    </xf>
    <xf numFmtId="0" fontId="37" fillId="0" borderId="2" xfId="0" applyFont="1" applyBorder="1" applyAlignment="1">
      <alignment horizontal="left" vertical="center" wrapText="1"/>
    </xf>
    <xf numFmtId="0" fontId="37" fillId="0" borderId="6" xfId="0" applyFont="1" applyBorder="1" applyAlignment="1">
      <alignment horizontal="left" vertical="center"/>
    </xf>
    <xf numFmtId="0" fontId="37" fillId="0" borderId="2" xfId="0" applyFont="1" applyBorder="1" applyAlignment="1">
      <alignment horizontal="left" vertical="center"/>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15" fillId="5" borderId="3" xfId="0" applyFont="1" applyFill="1" applyBorder="1" applyAlignment="1" applyProtection="1">
      <alignment horizontal="left" vertical="center"/>
      <protection locked="0"/>
    </xf>
    <xf numFmtId="0" fontId="15" fillId="5" borderId="2" xfId="0" applyFont="1" applyFill="1" applyBorder="1" applyAlignment="1" applyProtection="1">
      <alignment horizontal="left" vertical="center"/>
      <protection locked="0"/>
    </xf>
    <xf numFmtId="0" fontId="15" fillId="0" borderId="6" xfId="0" applyFont="1" applyBorder="1" applyAlignment="1">
      <alignment horizontal="center" vertic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9" fillId="4" borderId="1" xfId="0" applyFont="1" applyFill="1" applyBorder="1" applyAlignment="1" applyProtection="1">
      <alignment horizontal="left" vertical="center"/>
      <protection locked="0"/>
    </xf>
    <xf numFmtId="49" fontId="14" fillId="0" borderId="9" xfId="0" applyNumberFormat="1" applyFont="1" applyBorder="1" applyAlignment="1">
      <alignment horizontal="left" vertical="top"/>
    </xf>
    <xf numFmtId="0" fontId="19" fillId="4" borderId="1" xfId="0" applyFont="1" applyFill="1" applyBorder="1" applyAlignment="1" applyProtection="1">
      <alignment vertical="center"/>
      <protection locked="0"/>
    </xf>
    <xf numFmtId="0" fontId="15" fillId="0" borderId="1" xfId="0" applyFont="1" applyBorder="1" applyAlignment="1">
      <alignment horizontal="center" vertical="center"/>
    </xf>
    <xf numFmtId="0" fontId="16" fillId="0" borderId="8" xfId="0" applyFont="1" applyBorder="1" applyAlignment="1">
      <alignment horizontal="left" vertical="center"/>
    </xf>
    <xf numFmtId="0" fontId="19" fillId="0" borderId="11" xfId="0" applyFont="1" applyBorder="1" applyAlignment="1">
      <alignment horizontal="left" vertical="center"/>
    </xf>
    <xf numFmtId="0" fontId="19" fillId="4" borderId="6" xfId="0" applyFont="1" applyFill="1" applyBorder="1" applyAlignment="1" applyProtection="1">
      <alignment horizontal="left" vertical="center"/>
      <protection locked="0"/>
    </xf>
    <xf numFmtId="0" fontId="19" fillId="4" borderId="3" xfId="0" applyFont="1" applyFill="1" applyBorder="1" applyAlignment="1" applyProtection="1">
      <alignment horizontal="left" vertical="center"/>
      <protection locked="0"/>
    </xf>
    <xf numFmtId="0" fontId="19" fillId="4" borderId="2" xfId="0" applyFont="1" applyFill="1" applyBorder="1" applyAlignment="1" applyProtection="1">
      <alignment horizontal="left" vertical="center"/>
      <protection locked="0"/>
    </xf>
    <xf numFmtId="0" fontId="14" fillId="0" borderId="10" xfId="0" applyFont="1" applyBorder="1" applyAlignment="1">
      <alignment horizontal="left" vertical="top" wrapText="1"/>
    </xf>
    <xf numFmtId="0" fontId="14" fillId="0" borderId="27" xfId="0" applyFont="1" applyBorder="1" applyAlignment="1">
      <alignment horizontal="left" vertical="top"/>
    </xf>
    <xf numFmtId="164" fontId="12" fillId="10" borderId="11" xfId="2" applyNumberFormat="1" applyFont="1" applyFill="1" applyBorder="1" applyAlignment="1">
      <alignment horizontal="left" vertical="top" wrapText="1"/>
    </xf>
    <xf numFmtId="0" fontId="8" fillId="0" borderId="26" xfId="2" applyFont="1" applyBorder="1" applyAlignment="1">
      <alignment horizontal="left" vertical="top" wrapText="1"/>
    </xf>
    <xf numFmtId="0" fontId="8" fillId="0" borderId="12" xfId="2" applyFont="1" applyBorder="1" applyAlignment="1">
      <alignment horizontal="left" vertical="top" wrapText="1"/>
    </xf>
    <xf numFmtId="0" fontId="8" fillId="0" borderId="27" xfId="2" applyFont="1" applyBorder="1" applyAlignment="1">
      <alignment horizontal="left" vertical="top" wrapText="1"/>
    </xf>
    <xf numFmtId="0" fontId="8" fillId="0" borderId="10" xfId="2" applyFont="1" applyBorder="1" applyAlignment="1">
      <alignment horizontal="left" vertical="top" wrapText="1"/>
    </xf>
    <xf numFmtId="0" fontId="2" fillId="0" borderId="33" xfId="2" applyBorder="1" applyAlignment="1">
      <alignment vertical="top"/>
    </xf>
    <xf numFmtId="0" fontId="2" fillId="0" borderId="34" xfId="2" applyBorder="1" applyAlignment="1">
      <alignment vertical="top"/>
    </xf>
    <xf numFmtId="0" fontId="2" fillId="0" borderId="14" xfId="2" applyBorder="1" applyAlignment="1">
      <alignment vertical="top"/>
    </xf>
    <xf numFmtId="0" fontId="5" fillId="7" borderId="27" xfId="2" applyFont="1" applyFill="1" applyBorder="1" applyAlignment="1">
      <alignment horizontal="center" vertical="top" wrapText="1"/>
    </xf>
    <xf numFmtId="0" fontId="5" fillId="7" borderId="9" xfId="2" applyFont="1" applyFill="1" applyBorder="1" applyAlignment="1">
      <alignment horizontal="center" vertical="top" wrapText="1"/>
    </xf>
    <xf numFmtId="0" fontId="5" fillId="7" borderId="10" xfId="2" applyFont="1" applyFill="1" applyBorder="1" applyAlignment="1">
      <alignment horizontal="center" vertical="top" wrapText="1"/>
    </xf>
    <xf numFmtId="0" fontId="5" fillId="0" borderId="21" xfId="2" applyFont="1" applyBorder="1" applyAlignment="1">
      <alignment wrapText="1"/>
    </xf>
    <xf numFmtId="0" fontId="5" fillId="0" borderId="20" xfId="2" applyFont="1" applyBorder="1" applyAlignment="1">
      <alignment wrapText="1"/>
    </xf>
    <xf numFmtId="0" fontId="5" fillId="0" borderId="17" xfId="2" applyFont="1" applyBorder="1" applyAlignment="1">
      <alignment wrapText="1"/>
    </xf>
    <xf numFmtId="0" fontId="5" fillId="0" borderId="15" xfId="2" applyFont="1" applyBorder="1" applyAlignment="1">
      <alignment wrapText="1"/>
    </xf>
    <xf numFmtId="0" fontId="5" fillId="0" borderId="0" xfId="2" applyFont="1" applyAlignment="1"/>
    <xf numFmtId="0" fontId="2" fillId="0" borderId="0" xfId="2" applyAlignment="1"/>
  </cellXfs>
  <cellStyles count="6">
    <cellStyle name="Hyperlink" xfId="1" builtinId="8"/>
    <cellStyle name="Normal" xfId="0" builtinId="0"/>
    <cellStyle name="Output" xfId="4" builtinId="21"/>
    <cellStyle name="Percent" xfId="5" builtinId="5"/>
    <cellStyle name="Prozent 2" xfId="3" xr:uid="{00000000-0005-0000-0000-000003000000}"/>
    <cellStyle name="Standard 2" xfId="2" xr:uid="{00000000-0005-0000-0000-000005000000}"/>
  </cellStyles>
  <dxfs count="70">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2EFDA"/>
      <color rgb="FFEA8B00"/>
      <color rgb="FFFFFFA7"/>
      <color rgb="FFFFFF7D"/>
      <color rgb="FFFFFF9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Autoévaluation Exemple SA</c:v>
                </c:pt>
              </c:strCache>
            </c:strRef>
          </c:tx>
          <c:spPr>
            <a:ln w="25400">
              <a:solidFill>
                <a:srgbClr val="0070C0"/>
              </a:solidFill>
            </a:ln>
          </c:spPr>
          <c:marker>
            <c:symbol val="x"/>
            <c:size val="7"/>
            <c:spPr>
              <a:solidFill>
                <a:srgbClr val="0070C0"/>
              </a:solidFill>
              <a:ln w="6350">
                <a:solidFill>
                  <a:srgbClr val="0070C0"/>
                </a:solidFill>
              </a:ln>
            </c:spPr>
          </c:marker>
          <c:cat>
            <c:strRef>
              <c:f>Auswertungen!$A$5:$A$18</c:f>
              <c:strCache>
                <c:ptCount val="14"/>
                <c:pt idx="0">
                  <c:v>1 Ligne de conduite, objectifs et stratégie</c:v>
                </c:pt>
                <c:pt idx="1">
                  <c:v>2. Organisation</c:v>
                </c:pt>
                <c:pt idx="2">
                  <c:v>3. Qualification, formation, communication</c:v>
                </c:pt>
                <c:pt idx="3">
                  <c:v>4. Règles de sécurité</c:v>
                </c:pt>
                <c:pt idx="4">
                  <c:v>5. Détermination des phénomènes dangereux et évaluation des risques</c:v>
                </c:pt>
                <c:pt idx="5">
                  <c:v>6. Mesures</c:v>
                </c:pt>
                <c:pt idx="6">
                  <c:v>7. Organisation en cas d’urgence</c:v>
                </c:pt>
                <c:pt idx="7">
                  <c:v>8. Participation</c:v>
                </c:pt>
                <c:pt idx="8">
                  <c:v>9. Protection de la santé</c:v>
                </c:pt>
                <c:pt idx="9">
                  <c:v>10. Contrôle, audit</c:v>
                </c:pt>
                <c:pt idx="10">
                  <c:v>11. Gestion des absences</c:v>
                </c:pt>
                <c:pt idx="11">
                  <c:v>12 Sécurité durant les loisirs (facultatif)</c:v>
                </c:pt>
                <c:pt idx="12">
                  <c:v>13 GSE: Gestion de la santé en entreprise (facultatif)</c:v>
                </c:pt>
                <c:pt idx="13">
                  <c:v>14 Extension pour ISO 45001 (facultatif)</c:v>
                </c:pt>
              </c:strCache>
            </c:strRef>
          </c:cat>
          <c:val>
            <c:numRef>
              <c:f>Auswertungen!$C$5:$C$15</c:f>
              <c:numCache>
                <c:formatCode>0%</c:formatCode>
                <c:ptCount val="11"/>
                <c:pt idx="0">
                  <c:v>0</c:v>
                </c:pt>
                <c:pt idx="1">
                  <c:v>0</c:v>
                </c:pt>
                <c:pt idx="2">
                  <c:v>0</c:v>
                </c:pt>
                <c:pt idx="3">
                  <c:v>0.5</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0-D88C-4D56-AF9B-773CD5D412DE}"/>
            </c:ext>
          </c:extLst>
        </c:ser>
        <c:ser>
          <c:idx val="1"/>
          <c:order val="1"/>
          <c:tx>
            <c:strRef>
              <c:f>Auswertungen!$D$3</c:f>
              <c:strCache>
                <c:ptCount val="1"/>
                <c:pt idx="0">
                  <c:v>Évaluation Suva</c:v>
                </c:pt>
              </c:strCache>
            </c:strRef>
          </c:tx>
          <c:spPr>
            <a:ln w="25400">
              <a:solidFill>
                <a:srgbClr val="FF0000"/>
              </a:solidFill>
            </a:ln>
          </c:spPr>
          <c:marker>
            <c:symbol val="circle"/>
            <c:size val="7"/>
            <c:spPr>
              <a:solidFill>
                <a:srgbClr val="FF0000"/>
              </a:solidFill>
              <a:ln>
                <a:solidFill>
                  <a:srgbClr val="FF0000"/>
                </a:solidFill>
              </a:ln>
            </c:spPr>
          </c:marker>
          <c:val>
            <c:numRef>
              <c:f>Auswertungen!$E$5:$E$15</c:f>
              <c:numCache>
                <c:formatCode>0%</c:formatCode>
                <c:ptCount val="11"/>
                <c:pt idx="0">
                  <c:v>0</c:v>
                </c:pt>
                <c:pt idx="1">
                  <c:v>0</c:v>
                </c:pt>
                <c:pt idx="2">
                  <c:v>0</c:v>
                </c:pt>
                <c:pt idx="3">
                  <c:v>0</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1-D88C-4D56-AF9B-773CD5D412DE}"/>
            </c:ext>
          </c:extLst>
        </c:ser>
        <c:dLbls>
          <c:showLegendKey val="0"/>
          <c:showVal val="0"/>
          <c:showCatName val="0"/>
          <c:showSerName val="0"/>
          <c:showPercent val="0"/>
          <c:showBubbleSize val="0"/>
        </c:dLbls>
        <c:axId val="543207192"/>
        <c:axId val="543211504"/>
      </c:radarChart>
      <c:catAx>
        <c:axId val="543207192"/>
        <c:scaling>
          <c:orientation val="minMax"/>
        </c:scaling>
        <c:delete val="0"/>
        <c:axPos val="b"/>
        <c:majorGridlines/>
        <c:numFmt formatCode="General" sourceLinked="1"/>
        <c:majorTickMark val="out"/>
        <c:minorTickMark val="none"/>
        <c:tickLblPos val="nextTo"/>
        <c:txPr>
          <a:bodyPr/>
          <a:lstStyle/>
          <a:p>
            <a:pPr>
              <a:defRPr sz="1100" b="1"/>
            </a:pPr>
            <a:endParaRPr lang="fr-FR"/>
          </a:p>
        </c:txPr>
        <c:crossAx val="543211504"/>
        <c:crosses val="autoZero"/>
        <c:auto val="1"/>
        <c:lblAlgn val="ctr"/>
        <c:lblOffset val="100"/>
        <c:noMultiLvlLbl val="0"/>
      </c:catAx>
      <c:valAx>
        <c:axId val="543211504"/>
        <c:scaling>
          <c:orientation val="minMax"/>
          <c:max val="1"/>
          <c:min val="0"/>
        </c:scaling>
        <c:delete val="0"/>
        <c:axPos val="l"/>
        <c:majorGridlines>
          <c:spPr>
            <a:ln>
              <a:solidFill>
                <a:schemeClr val="tx1">
                  <a:lumMod val="50000"/>
                  <a:lumOff val="50000"/>
                </a:schemeClr>
              </a:solidFill>
            </a:ln>
          </c:spPr>
        </c:majorGridlines>
        <c:numFmt formatCode="0%" sourceLinked="0"/>
        <c:majorTickMark val="cross"/>
        <c:minorTickMark val="none"/>
        <c:tickLblPos val="none"/>
        <c:spPr>
          <a:ln>
            <a:solidFill>
              <a:schemeClr val="tx1"/>
            </a:solidFill>
          </a:ln>
        </c:spPr>
        <c:txPr>
          <a:bodyPr/>
          <a:lstStyle/>
          <a:p>
            <a:pPr>
              <a:defRPr sz="600"/>
            </a:pPr>
            <a:endParaRPr lang="fr-FR"/>
          </a:p>
        </c:txPr>
        <c:crossAx val="543207192"/>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Autoévaluation Exemple SA</c:v>
                </c:pt>
              </c:strCache>
            </c:strRef>
          </c:tx>
          <c:spPr>
            <a:ln w="25400">
              <a:solidFill>
                <a:srgbClr val="0070C0"/>
              </a:solidFill>
            </a:ln>
          </c:spPr>
          <c:marker>
            <c:symbol val="square"/>
            <c:size val="7"/>
            <c:spPr>
              <a:solidFill>
                <a:srgbClr val="0070C0"/>
              </a:solidFill>
            </c:spPr>
          </c:marker>
          <c:cat>
            <c:strRef>
              <c:f>Auswertungen!$A$5:$A$18</c:f>
              <c:strCache>
                <c:ptCount val="14"/>
                <c:pt idx="0">
                  <c:v>1 Ligne de conduite, objectifs et stratégie</c:v>
                </c:pt>
                <c:pt idx="1">
                  <c:v>2. Organisation</c:v>
                </c:pt>
                <c:pt idx="2">
                  <c:v>3. Qualification, formation, communication</c:v>
                </c:pt>
                <c:pt idx="3">
                  <c:v>4. Règles de sécurité</c:v>
                </c:pt>
                <c:pt idx="4">
                  <c:v>5. Détermination des phénomènes dangereux et évaluation des risques</c:v>
                </c:pt>
                <c:pt idx="5">
                  <c:v>6. Mesures</c:v>
                </c:pt>
                <c:pt idx="6">
                  <c:v>7. Organisation en cas d’urgence</c:v>
                </c:pt>
                <c:pt idx="7">
                  <c:v>8. Participation</c:v>
                </c:pt>
                <c:pt idx="8">
                  <c:v>9. Protection de la santé</c:v>
                </c:pt>
                <c:pt idx="9">
                  <c:v>10. Contrôle, audit</c:v>
                </c:pt>
                <c:pt idx="10">
                  <c:v>11. Gestion des absences</c:v>
                </c:pt>
                <c:pt idx="11">
                  <c:v>12 Sécurité durant les loisirs (facultatif)</c:v>
                </c:pt>
                <c:pt idx="12">
                  <c:v>13 GSE: Gestion de la santé en entreprise (facultatif)</c:v>
                </c:pt>
                <c:pt idx="13">
                  <c:v>14 Extension pour ISO 45001 (facultatif)</c:v>
                </c:pt>
              </c:strCache>
            </c:strRef>
          </c:cat>
          <c:val>
            <c:numRef>
              <c:f>Auswertungen!$C$5:$C$18</c:f>
              <c:numCache>
                <c:formatCode>0%</c:formatCode>
                <c:ptCount val="14"/>
                <c:pt idx="0">
                  <c:v>0</c:v>
                </c:pt>
                <c:pt idx="1">
                  <c:v>0</c:v>
                </c:pt>
                <c:pt idx="2">
                  <c:v>0</c:v>
                </c:pt>
                <c:pt idx="3">
                  <c:v>0.5</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0-BC76-45CF-B176-CA7CB07025B6}"/>
            </c:ext>
          </c:extLst>
        </c:ser>
        <c:ser>
          <c:idx val="1"/>
          <c:order val="1"/>
          <c:tx>
            <c:strRef>
              <c:f>Auswertungen!$D$3</c:f>
              <c:strCache>
                <c:ptCount val="1"/>
                <c:pt idx="0">
                  <c:v>Évaluation Suva</c:v>
                </c:pt>
              </c:strCache>
            </c:strRef>
          </c:tx>
          <c:spPr>
            <a:ln w="25400" cap="rnd">
              <a:solidFill>
                <a:srgbClr val="FF0000"/>
              </a:solidFill>
            </a:ln>
          </c:spPr>
          <c:marker>
            <c:symbol val="diamond"/>
            <c:size val="7"/>
            <c:spPr>
              <a:solidFill>
                <a:srgbClr val="FF0000"/>
              </a:solidFill>
              <a:ln cap="rnd">
                <a:solidFill>
                  <a:srgbClr val="FF0000"/>
                </a:solidFill>
              </a:ln>
            </c:spPr>
          </c:marker>
          <c:dPt>
            <c:idx val="3"/>
            <c:marker>
              <c:spPr>
                <a:solidFill>
                  <a:srgbClr val="FF0000"/>
                </a:solidFill>
                <a:ln w="6350" cap="rnd">
                  <a:solidFill>
                    <a:srgbClr val="FF0000"/>
                  </a:solidFill>
                </a:ln>
              </c:spPr>
            </c:marker>
            <c:bubble3D val="0"/>
            <c:extLst>
              <c:ext xmlns:c16="http://schemas.microsoft.com/office/drawing/2014/chart" uri="{C3380CC4-5D6E-409C-BE32-E72D297353CC}">
                <c16:uniqueId val="{00000001-BC76-45CF-B176-CA7CB07025B6}"/>
              </c:ext>
            </c:extLst>
          </c:dPt>
          <c:val>
            <c:numRef>
              <c:f>Auswertungen!$E$5:$E$18</c:f>
              <c:numCache>
                <c:formatCode>0%</c:formatCode>
                <c:ptCount val="14"/>
                <c:pt idx="0">
                  <c:v>0</c:v>
                </c:pt>
                <c:pt idx="1">
                  <c:v>0</c:v>
                </c:pt>
                <c:pt idx="2">
                  <c:v>0</c:v>
                </c:pt>
                <c:pt idx="3">
                  <c:v>0</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2-BC76-45CF-B176-CA7CB07025B6}"/>
            </c:ext>
          </c:extLst>
        </c:ser>
        <c:dLbls>
          <c:showLegendKey val="0"/>
          <c:showVal val="0"/>
          <c:showCatName val="0"/>
          <c:showSerName val="0"/>
          <c:showPercent val="0"/>
          <c:showBubbleSize val="0"/>
        </c:dLbls>
        <c:axId val="543208368"/>
        <c:axId val="543212680"/>
      </c:radarChart>
      <c:catAx>
        <c:axId val="543208368"/>
        <c:scaling>
          <c:orientation val="minMax"/>
        </c:scaling>
        <c:delete val="0"/>
        <c:axPos val="b"/>
        <c:majorGridlines/>
        <c:numFmt formatCode="General" sourceLinked="1"/>
        <c:majorTickMark val="out"/>
        <c:minorTickMark val="none"/>
        <c:tickLblPos val="nextTo"/>
        <c:txPr>
          <a:bodyPr/>
          <a:lstStyle/>
          <a:p>
            <a:pPr>
              <a:defRPr sz="1100" b="1"/>
            </a:pPr>
            <a:endParaRPr lang="fr-FR"/>
          </a:p>
        </c:txPr>
        <c:crossAx val="543212680"/>
        <c:crosses val="autoZero"/>
        <c:auto val="1"/>
        <c:lblAlgn val="ctr"/>
        <c:lblOffset val="100"/>
        <c:noMultiLvlLbl val="0"/>
      </c:catAx>
      <c:valAx>
        <c:axId val="543212680"/>
        <c:scaling>
          <c:orientation val="minMax"/>
          <c:max val="1"/>
          <c:min val="0"/>
        </c:scaling>
        <c:delete val="0"/>
        <c:axPos val="l"/>
        <c:majorGridlines/>
        <c:numFmt formatCode="0%" sourceLinked="1"/>
        <c:majorTickMark val="cross"/>
        <c:minorTickMark val="none"/>
        <c:tickLblPos val="none"/>
        <c:spPr>
          <a:ln>
            <a:solidFill>
              <a:schemeClr val="tx1"/>
            </a:solidFill>
          </a:ln>
        </c:spPr>
        <c:crossAx val="543208368"/>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zoomToFit="1"/>
  </sheetViews>
  <pageMargins left="0.7" right="0.7" top="0.78740157499999996" bottom="0.78740157499999996"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sheetViews>
    <sheetView workbookViewId="0" zoomToFit="1"/>
  </sheetViews>
  <pageMargins left="0.7" right="0.7" top="0.78740157499999996" bottom="0.78740157499999996"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9288780" cy="6004560"/>
    <xdr:graphicFrame macro="">
      <xdr:nvGraphicFramePr>
        <xdr:cNvPr id="2" name="Diagramm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88780" cy="6004560"/>
    <xdr:graphicFrame macro="">
      <xdr:nvGraphicFramePr>
        <xdr:cNvPr id="2" name="Diagramm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showGridLines="0" tabSelected="1" zoomScaleNormal="100" workbookViewId="0">
      <pane ySplit="1" topLeftCell="A2" activePane="bottomLeft" state="frozen"/>
      <selection pane="bottomLeft" activeCell="B12" sqref="B12"/>
    </sheetView>
  </sheetViews>
  <sheetFormatPr defaultColWidth="11.44140625" defaultRowHeight="13.8" x14ac:dyDescent="0.25"/>
  <cols>
    <col min="1" max="1" width="87.88671875" style="64" customWidth="1"/>
    <col min="2" max="16384" width="11.44140625" style="64"/>
  </cols>
  <sheetData>
    <row r="1" spans="1:1" s="95" customFormat="1" ht="30" customHeight="1" x14ac:dyDescent="0.35">
      <c r="A1" s="96" t="s">
        <v>0</v>
      </c>
    </row>
    <row r="2" spans="1:1" ht="110.25" customHeight="1" x14ac:dyDescent="0.25">
      <c r="A2" s="65" t="s">
        <v>1</v>
      </c>
    </row>
    <row r="3" spans="1:1" ht="96" customHeight="1" x14ac:dyDescent="0.25">
      <c r="A3" s="74" t="s">
        <v>2</v>
      </c>
    </row>
    <row r="4" spans="1:1" ht="87" customHeight="1" x14ac:dyDescent="0.25">
      <c r="A4" s="74" t="s">
        <v>3</v>
      </c>
    </row>
    <row r="5" spans="1:1" ht="38.25" customHeight="1" x14ac:dyDescent="0.25">
      <c r="A5" s="74" t="s">
        <v>4</v>
      </c>
    </row>
    <row r="6" spans="1:1" ht="83.25" customHeight="1" x14ac:dyDescent="0.25">
      <c r="A6" s="74" t="s">
        <v>5</v>
      </c>
    </row>
    <row r="7" spans="1:1" ht="130.5" customHeight="1" x14ac:dyDescent="0.25">
      <c r="A7" s="74" t="s">
        <v>6</v>
      </c>
    </row>
    <row r="8" spans="1:1" ht="111.75" customHeight="1" x14ac:dyDescent="0.25">
      <c r="A8" s="74" t="s">
        <v>7</v>
      </c>
    </row>
    <row r="9" spans="1:1" x14ac:dyDescent="0.25">
      <c r="A9" s="151" t="s">
        <v>8</v>
      </c>
    </row>
  </sheetData>
  <sheetProtection sheet="1" selectLockedCells="1"/>
  <pageMargins left="0.70866141732283472" right="0.70866141732283472" top="0.74803149606299213" bottom="0.74803149606299213"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8"/>
  <dimension ref="A1:C33"/>
  <sheetViews>
    <sheetView showGridLines="0" zoomScaleNormal="100" workbookViewId="0">
      <pane ySplit="1" topLeftCell="A3" activePane="bottomLeft" state="frozen"/>
      <selection pane="bottomLeft" activeCell="C3" sqref="C3"/>
    </sheetView>
  </sheetViews>
  <sheetFormatPr defaultColWidth="11.44140625" defaultRowHeight="14.4" x14ac:dyDescent="0.3"/>
  <cols>
    <col min="1" max="1" width="34.88671875" customWidth="1"/>
    <col min="2" max="2" width="21" bestFit="1" customWidth="1"/>
    <col min="3" max="3" width="27.5546875" customWidth="1"/>
    <col min="7" max="7" width="11.5546875" customWidth="1"/>
  </cols>
  <sheetData>
    <row r="1" spans="1:3" s="1" customFormat="1" ht="30" customHeight="1" x14ac:dyDescent="0.3">
      <c r="A1" s="307" t="s">
        <v>9</v>
      </c>
      <c r="B1" s="307"/>
      <c r="C1" s="307"/>
    </row>
    <row r="2" spans="1:3" ht="18.899999999999999" customHeight="1" x14ac:dyDescent="0.3">
      <c r="A2" s="308"/>
      <c r="B2" s="309"/>
      <c r="C2" s="161" t="s">
        <v>10</v>
      </c>
    </row>
    <row r="3" spans="1:3" ht="18.899999999999999" customHeight="1" x14ac:dyDescent="0.3">
      <c r="A3" s="306" t="s">
        <v>11</v>
      </c>
      <c r="B3" s="306"/>
      <c r="C3" s="98" t="s">
        <v>12</v>
      </c>
    </row>
    <row r="4" spans="1:3" ht="18.899999999999999" customHeight="1" x14ac:dyDescent="0.3">
      <c r="A4" s="306" t="s">
        <v>13</v>
      </c>
      <c r="B4" s="306"/>
      <c r="C4" s="98"/>
    </row>
    <row r="5" spans="1:3" ht="18.899999999999999" customHeight="1" x14ac:dyDescent="0.3">
      <c r="A5" s="306" t="s">
        <v>14</v>
      </c>
      <c r="B5" s="306"/>
      <c r="C5" s="98"/>
    </row>
    <row r="6" spans="1:3" ht="18.899999999999999" customHeight="1" x14ac:dyDescent="0.3">
      <c r="A6" s="306" t="s">
        <v>15</v>
      </c>
      <c r="B6" s="306"/>
      <c r="C6" s="98"/>
    </row>
    <row r="7" spans="1:3" ht="18.899999999999999" customHeight="1" x14ac:dyDescent="0.3">
      <c r="A7" s="306" t="s">
        <v>16</v>
      </c>
      <c r="B7" s="306"/>
      <c r="C7" s="98"/>
    </row>
    <row r="8" spans="1:3" ht="18.899999999999999" customHeight="1" x14ac:dyDescent="0.3">
      <c r="A8" s="306" t="s">
        <v>17</v>
      </c>
      <c r="B8" s="306"/>
      <c r="C8" s="98"/>
    </row>
    <row r="9" spans="1:3" ht="18.899999999999999" customHeight="1" x14ac:dyDescent="0.3">
      <c r="A9" s="306" t="s">
        <v>18</v>
      </c>
      <c r="B9" s="306"/>
      <c r="C9" s="98"/>
    </row>
    <row r="10" spans="1:3" ht="18.899999999999999" customHeight="1" x14ac:dyDescent="0.3">
      <c r="A10" s="306" t="s">
        <v>19</v>
      </c>
      <c r="B10" s="306"/>
      <c r="C10" s="98"/>
    </row>
    <row r="11" spans="1:3" ht="18.899999999999999" customHeight="1" x14ac:dyDescent="0.3">
      <c r="A11" s="306" t="s">
        <v>20</v>
      </c>
      <c r="B11" s="306"/>
      <c r="C11" s="98"/>
    </row>
    <row r="12" spans="1:3" ht="18.899999999999999" customHeight="1" x14ac:dyDescent="0.3">
      <c r="A12" s="302" t="s">
        <v>21</v>
      </c>
      <c r="B12" s="302"/>
      <c r="C12" s="98"/>
    </row>
    <row r="13" spans="1:3" ht="18.899999999999999" customHeight="1" x14ac:dyDescent="0.3">
      <c r="A13" s="299" t="s">
        <v>22</v>
      </c>
      <c r="B13" s="299"/>
      <c r="C13" s="98"/>
    </row>
    <row r="14" spans="1:3" ht="48" customHeight="1" x14ac:dyDescent="0.3">
      <c r="A14" s="300" t="s">
        <v>23</v>
      </c>
      <c r="B14" s="301"/>
      <c r="C14" s="98"/>
    </row>
    <row r="15" spans="1:3" ht="27.6" customHeight="1" x14ac:dyDescent="0.3">
      <c r="A15" s="302" t="s">
        <v>24</v>
      </c>
      <c r="B15" s="65" t="s">
        <v>25</v>
      </c>
      <c r="C15" s="98"/>
    </row>
    <row r="16" spans="1:3" ht="27.6" x14ac:dyDescent="0.3">
      <c r="A16" s="302"/>
      <c r="B16" s="65" t="s">
        <v>26</v>
      </c>
      <c r="C16" s="98"/>
    </row>
    <row r="17" spans="1:3" ht="27.6" x14ac:dyDescent="0.3">
      <c r="A17" s="302"/>
      <c r="B17" s="65" t="s">
        <v>27</v>
      </c>
      <c r="C17" s="98"/>
    </row>
    <row r="18" spans="1:3" x14ac:dyDescent="0.3">
      <c r="A18" s="299" t="s">
        <v>28</v>
      </c>
      <c r="B18" s="97" t="s">
        <v>29</v>
      </c>
      <c r="C18" s="99"/>
    </row>
    <row r="19" spans="1:3" x14ac:dyDescent="0.3">
      <c r="A19" s="299"/>
      <c r="B19" s="97" t="s">
        <v>30</v>
      </c>
      <c r="C19" s="99"/>
    </row>
    <row r="20" spans="1:3" x14ac:dyDescent="0.3">
      <c r="A20" s="299"/>
      <c r="B20" s="97" t="s">
        <v>31</v>
      </c>
      <c r="C20" s="99"/>
    </row>
    <row r="21" spans="1:3" x14ac:dyDescent="0.3">
      <c r="A21" s="299"/>
      <c r="B21" s="97" t="s">
        <v>32</v>
      </c>
      <c r="C21" s="99"/>
    </row>
    <row r="22" spans="1:3" x14ac:dyDescent="0.3">
      <c r="A22" s="299"/>
      <c r="B22" s="97" t="s">
        <v>33</v>
      </c>
      <c r="C22" s="99"/>
    </row>
    <row r="23" spans="1:3" ht="14.4" customHeight="1" x14ac:dyDescent="0.3">
      <c r="A23" s="303" t="s">
        <v>34</v>
      </c>
      <c r="B23" s="296" t="s">
        <v>35</v>
      </c>
      <c r="C23" s="99"/>
    </row>
    <row r="24" spans="1:3" x14ac:dyDescent="0.3">
      <c r="A24" s="304"/>
      <c r="B24" s="296" t="s">
        <v>31</v>
      </c>
      <c r="C24" s="99"/>
    </row>
    <row r="25" spans="1:3" x14ac:dyDescent="0.3">
      <c r="A25" s="304"/>
      <c r="B25" s="296" t="s">
        <v>32</v>
      </c>
      <c r="C25" s="99"/>
    </row>
    <row r="26" spans="1:3" ht="18.75" customHeight="1" x14ac:dyDescent="0.3">
      <c r="A26" s="305"/>
      <c r="B26" s="296" t="s">
        <v>36</v>
      </c>
      <c r="C26" s="98"/>
    </row>
    <row r="27" spans="1:3" ht="14.4" customHeight="1" x14ac:dyDescent="0.3">
      <c r="A27" s="302" t="s">
        <v>37</v>
      </c>
      <c r="B27" s="65" t="s">
        <v>38</v>
      </c>
      <c r="C27" s="98"/>
    </row>
    <row r="28" spans="1:3" ht="41.4" x14ac:dyDescent="0.3">
      <c r="A28" s="302"/>
      <c r="B28" s="65" t="s">
        <v>39</v>
      </c>
      <c r="C28" s="98"/>
    </row>
    <row r="29" spans="1:3" ht="27.6" x14ac:dyDescent="0.3">
      <c r="A29" s="302"/>
      <c r="B29" s="65" t="s">
        <v>40</v>
      </c>
      <c r="C29" s="98"/>
    </row>
    <row r="30" spans="1:3" x14ac:dyDescent="0.3">
      <c r="A30" s="302"/>
      <c r="B30" s="65" t="s">
        <v>41</v>
      </c>
      <c r="C30" s="98"/>
    </row>
    <row r="31" spans="1:3" ht="18.899999999999999" customHeight="1" x14ac:dyDescent="0.3">
      <c r="A31" s="299" t="s">
        <v>42</v>
      </c>
      <c r="B31" s="299"/>
      <c r="C31" s="98"/>
    </row>
    <row r="32" spans="1:3" ht="18.899999999999999" customHeight="1" x14ac:dyDescent="0.3">
      <c r="A32" s="299" t="s">
        <v>43</v>
      </c>
      <c r="B32" s="299"/>
      <c r="C32" s="98"/>
    </row>
    <row r="33" spans="1:3" ht="18.899999999999999" customHeight="1" x14ac:dyDescent="0.3">
      <c r="A33" s="299" t="s">
        <v>1653</v>
      </c>
      <c r="B33" s="299"/>
      <c r="C33" s="98"/>
    </row>
  </sheetData>
  <sheetProtection sheet="1" selectLockedCells="1"/>
  <mergeCells count="21">
    <mergeCell ref="A1:C1"/>
    <mergeCell ref="A8:B8"/>
    <mergeCell ref="A3:B3"/>
    <mergeCell ref="A4:B4"/>
    <mergeCell ref="A5:B5"/>
    <mergeCell ref="A6:B6"/>
    <mergeCell ref="A7:B7"/>
    <mergeCell ref="A2:B2"/>
    <mergeCell ref="A9:B9"/>
    <mergeCell ref="A10:B10"/>
    <mergeCell ref="A11:B11"/>
    <mergeCell ref="A12:B12"/>
    <mergeCell ref="A13:B13"/>
    <mergeCell ref="A31:B31"/>
    <mergeCell ref="A32:B32"/>
    <mergeCell ref="A33:B33"/>
    <mergeCell ref="A14:B14"/>
    <mergeCell ref="A15:A17"/>
    <mergeCell ref="A23:A26"/>
    <mergeCell ref="A18:A22"/>
    <mergeCell ref="A27:A30"/>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9">
    <pageSetUpPr fitToPage="1"/>
  </sheetPr>
  <dimension ref="A1:B133"/>
  <sheetViews>
    <sheetView showGridLines="0" zoomScaleNormal="100" zoomScaleSheetLayoutView="80" workbookViewId="0">
      <pane ySplit="2" topLeftCell="A3" activePane="bottomLeft" state="frozen"/>
      <selection pane="bottomLeft" activeCell="B38" sqref="B38"/>
    </sheetView>
  </sheetViews>
  <sheetFormatPr defaultColWidth="11.44140625" defaultRowHeight="13.8" x14ac:dyDescent="0.25"/>
  <cols>
    <col min="1" max="1" width="44" style="64" customWidth="1"/>
    <col min="2" max="2" width="43.33203125" style="64" customWidth="1"/>
    <col min="3" max="16384" width="11.44140625" style="64"/>
  </cols>
  <sheetData>
    <row r="1" spans="1:2" ht="30" customHeight="1" x14ac:dyDescent="0.25">
      <c r="A1" s="311" t="s">
        <v>44</v>
      </c>
      <c r="B1" s="311"/>
    </row>
    <row r="2" spans="1:2" x14ac:dyDescent="0.25">
      <c r="A2" s="79" t="s">
        <v>45</v>
      </c>
      <c r="B2" s="79" t="s">
        <v>46</v>
      </c>
    </row>
    <row r="3" spans="1:2" ht="14.4" x14ac:dyDescent="0.25">
      <c r="A3" s="300" t="s">
        <v>47</v>
      </c>
      <c r="B3" s="310"/>
    </row>
    <row r="4" spans="1:2" x14ac:dyDescent="0.25">
      <c r="A4" s="78"/>
      <c r="B4" s="78"/>
    </row>
    <row r="5" spans="1:2" x14ac:dyDescent="0.25">
      <c r="A5" s="78"/>
      <c r="B5" s="78"/>
    </row>
    <row r="6" spans="1:2" x14ac:dyDescent="0.25">
      <c r="A6" s="78"/>
      <c r="B6" s="78"/>
    </row>
    <row r="7" spans="1:2" x14ac:dyDescent="0.25">
      <c r="A7" s="78"/>
      <c r="B7" s="78"/>
    </row>
    <row r="8" spans="1:2" x14ac:dyDescent="0.25">
      <c r="A8" s="78"/>
      <c r="B8" s="78"/>
    </row>
    <row r="9" spans="1:2" x14ac:dyDescent="0.25">
      <c r="A9" s="78"/>
      <c r="B9" s="78"/>
    </row>
    <row r="10" spans="1:2" x14ac:dyDescent="0.25">
      <c r="A10" s="78"/>
      <c r="B10" s="78"/>
    </row>
    <row r="11" spans="1:2" x14ac:dyDescent="0.25">
      <c r="A11" s="78"/>
      <c r="B11" s="78"/>
    </row>
    <row r="12" spans="1:2" x14ac:dyDescent="0.25">
      <c r="A12" s="78"/>
      <c r="B12" s="78"/>
    </row>
    <row r="13" spans="1:2" x14ac:dyDescent="0.25">
      <c r="A13" s="78"/>
      <c r="B13" s="78"/>
    </row>
    <row r="14" spans="1:2" ht="14.4" customHeight="1" x14ac:dyDescent="0.25">
      <c r="A14" s="300" t="s">
        <v>48</v>
      </c>
      <c r="B14" s="310"/>
    </row>
    <row r="15" spans="1:2" x14ac:dyDescent="0.25">
      <c r="A15" s="78"/>
      <c r="B15" s="78"/>
    </row>
    <row r="16" spans="1:2" x14ac:dyDescent="0.25">
      <c r="A16" s="78"/>
      <c r="B16" s="78"/>
    </row>
    <row r="17" spans="1:2" x14ac:dyDescent="0.25">
      <c r="A17" s="78"/>
      <c r="B17" s="78"/>
    </row>
    <row r="18" spans="1:2" x14ac:dyDescent="0.25">
      <c r="A18" s="78"/>
      <c r="B18" s="78"/>
    </row>
    <row r="19" spans="1:2" x14ac:dyDescent="0.25">
      <c r="A19" s="78"/>
      <c r="B19" s="78"/>
    </row>
    <row r="20" spans="1:2" x14ac:dyDescent="0.25">
      <c r="A20" s="78"/>
      <c r="B20" s="78"/>
    </row>
    <row r="21" spans="1:2" x14ac:dyDescent="0.25">
      <c r="A21" s="78"/>
      <c r="B21" s="78"/>
    </row>
    <row r="22" spans="1:2" x14ac:dyDescent="0.25">
      <c r="A22" s="78"/>
      <c r="B22" s="78"/>
    </row>
    <row r="23" spans="1:2" x14ac:dyDescent="0.25">
      <c r="A23" s="78"/>
      <c r="B23" s="78"/>
    </row>
    <row r="24" spans="1:2" x14ac:dyDescent="0.25">
      <c r="A24" s="78"/>
      <c r="B24" s="78"/>
    </row>
    <row r="25" spans="1:2" x14ac:dyDescent="0.25">
      <c r="A25" s="78"/>
      <c r="B25" s="78"/>
    </row>
    <row r="26" spans="1:2" ht="14.4" x14ac:dyDescent="0.25">
      <c r="A26" s="300" t="s">
        <v>49</v>
      </c>
      <c r="B26" s="310"/>
    </row>
    <row r="27" spans="1:2" x14ac:dyDescent="0.25">
      <c r="A27" s="78"/>
      <c r="B27" s="78"/>
    </row>
    <row r="28" spans="1:2" x14ac:dyDescent="0.25">
      <c r="A28" s="78"/>
      <c r="B28" s="78"/>
    </row>
    <row r="29" spans="1:2" x14ac:dyDescent="0.25">
      <c r="A29" s="78"/>
      <c r="B29" s="78"/>
    </row>
    <row r="30" spans="1:2" x14ac:dyDescent="0.25">
      <c r="A30" s="78"/>
      <c r="B30" s="78"/>
    </row>
    <row r="31" spans="1:2" x14ac:dyDescent="0.25">
      <c r="A31" s="78"/>
      <c r="B31" s="78"/>
    </row>
    <row r="32" spans="1:2" x14ac:dyDescent="0.25">
      <c r="A32" s="78"/>
      <c r="B32" s="78"/>
    </row>
    <row r="33" spans="1:2" x14ac:dyDescent="0.25">
      <c r="A33" s="78"/>
      <c r="B33" s="78"/>
    </row>
    <row r="34" spans="1:2" x14ac:dyDescent="0.25">
      <c r="A34" s="78"/>
      <c r="B34" s="78"/>
    </row>
    <row r="35" spans="1:2" x14ac:dyDescent="0.25">
      <c r="A35" s="78"/>
      <c r="B35" s="78"/>
    </row>
    <row r="36" spans="1:2" x14ac:dyDescent="0.25">
      <c r="A36" s="78"/>
      <c r="B36" s="78"/>
    </row>
    <row r="37" spans="1:2" ht="14.4" x14ac:dyDescent="0.25">
      <c r="A37" s="300" t="s">
        <v>50</v>
      </c>
      <c r="B37" s="310"/>
    </row>
    <row r="38" spans="1:2" x14ac:dyDescent="0.25">
      <c r="A38" s="65" t="s">
        <v>51</v>
      </c>
      <c r="B38" s="78"/>
    </row>
    <row r="39" spans="1:2" x14ac:dyDescent="0.25">
      <c r="A39" s="65" t="s">
        <v>52</v>
      </c>
      <c r="B39" s="78"/>
    </row>
    <row r="40" spans="1:2" x14ac:dyDescent="0.25">
      <c r="A40" s="65" t="s">
        <v>53</v>
      </c>
      <c r="B40" s="78"/>
    </row>
    <row r="41" spans="1:2" x14ac:dyDescent="0.25">
      <c r="A41" s="65" t="s">
        <v>54</v>
      </c>
      <c r="B41" s="78"/>
    </row>
    <row r="42" spans="1:2" x14ac:dyDescent="0.25">
      <c r="A42" s="65" t="s">
        <v>55</v>
      </c>
      <c r="B42" s="78"/>
    </row>
    <row r="43" spans="1:2" ht="27.6" x14ac:dyDescent="0.25">
      <c r="A43" s="65" t="s">
        <v>56</v>
      </c>
      <c r="B43" s="78"/>
    </row>
    <row r="44" spans="1:2" x14ac:dyDescent="0.25">
      <c r="A44" s="65" t="s">
        <v>57</v>
      </c>
      <c r="B44" s="78"/>
    </row>
    <row r="45" spans="1:2" x14ac:dyDescent="0.25">
      <c r="A45" s="65" t="s">
        <v>58</v>
      </c>
      <c r="B45" s="78"/>
    </row>
    <row r="46" spans="1:2" x14ac:dyDescent="0.25">
      <c r="A46" s="78"/>
      <c r="B46" s="78"/>
    </row>
    <row r="47" spans="1:2" ht="14.4" x14ac:dyDescent="0.25">
      <c r="A47" s="300" t="s">
        <v>59</v>
      </c>
      <c r="B47" s="310"/>
    </row>
    <row r="48" spans="1:2" x14ac:dyDescent="0.25">
      <c r="A48" s="65" t="s">
        <v>60</v>
      </c>
      <c r="B48" s="78"/>
    </row>
    <row r="49" spans="1:2" x14ac:dyDescent="0.25">
      <c r="A49" s="65" t="s">
        <v>61</v>
      </c>
      <c r="B49" s="78"/>
    </row>
    <row r="50" spans="1:2" ht="27.6" x14ac:dyDescent="0.25">
      <c r="A50" s="65" t="s">
        <v>62</v>
      </c>
      <c r="B50" s="78"/>
    </row>
    <row r="51" spans="1:2" x14ac:dyDescent="0.25">
      <c r="A51" s="78"/>
      <c r="B51" s="107"/>
    </row>
    <row r="52" spans="1:2" ht="14.4" x14ac:dyDescent="0.25">
      <c r="A52" s="300" t="s">
        <v>63</v>
      </c>
      <c r="B52" s="310"/>
    </row>
    <row r="53" spans="1:2" x14ac:dyDescent="0.25">
      <c r="A53" s="65" t="s">
        <v>64</v>
      </c>
      <c r="B53" s="78"/>
    </row>
    <row r="54" spans="1:2" x14ac:dyDescent="0.25">
      <c r="A54" s="65" t="s">
        <v>65</v>
      </c>
      <c r="B54" s="78"/>
    </row>
    <row r="55" spans="1:2" x14ac:dyDescent="0.25">
      <c r="A55" s="65" t="s">
        <v>66</v>
      </c>
      <c r="B55" s="78"/>
    </row>
    <row r="56" spans="1:2" x14ac:dyDescent="0.25">
      <c r="A56" s="78"/>
      <c r="B56" s="107"/>
    </row>
    <row r="57" spans="1:2" ht="14.4" x14ac:dyDescent="0.25">
      <c r="A57" s="300" t="s">
        <v>67</v>
      </c>
      <c r="B57" s="310"/>
    </row>
    <row r="58" spans="1:2" x14ac:dyDescent="0.25">
      <c r="A58" s="65" t="s">
        <v>67</v>
      </c>
      <c r="B58" s="78"/>
    </row>
    <row r="59" spans="1:2" x14ac:dyDescent="0.25">
      <c r="A59" s="65" t="s">
        <v>68</v>
      </c>
      <c r="B59" s="78"/>
    </row>
    <row r="60" spans="1:2" x14ac:dyDescent="0.25">
      <c r="A60" s="65" t="s">
        <v>69</v>
      </c>
      <c r="B60" s="78"/>
    </row>
    <row r="61" spans="1:2" x14ac:dyDescent="0.25">
      <c r="A61" s="78"/>
      <c r="B61" s="107"/>
    </row>
    <row r="62" spans="1:2" ht="14.4" x14ac:dyDescent="0.25">
      <c r="A62" s="300" t="s">
        <v>70</v>
      </c>
      <c r="B62" s="310"/>
    </row>
    <row r="63" spans="1:2" x14ac:dyDescent="0.25">
      <c r="A63" s="65" t="s">
        <v>71</v>
      </c>
      <c r="B63" s="78"/>
    </row>
    <row r="64" spans="1:2" x14ac:dyDescent="0.25">
      <c r="A64" s="65" t="s">
        <v>72</v>
      </c>
      <c r="B64" s="78"/>
    </row>
    <row r="65" spans="1:2" x14ac:dyDescent="0.25">
      <c r="A65" s="65" t="s">
        <v>73</v>
      </c>
      <c r="B65" s="78"/>
    </row>
    <row r="66" spans="1:2" x14ac:dyDescent="0.25">
      <c r="A66" s="65" t="s">
        <v>74</v>
      </c>
      <c r="B66" s="78"/>
    </row>
    <row r="67" spans="1:2" x14ac:dyDescent="0.25">
      <c r="A67" s="65" t="s">
        <v>75</v>
      </c>
      <c r="B67" s="78"/>
    </row>
    <row r="68" spans="1:2" x14ac:dyDescent="0.25">
      <c r="A68" s="78"/>
      <c r="B68" s="107"/>
    </row>
    <row r="69" spans="1:2" ht="14.4" x14ac:dyDescent="0.25">
      <c r="A69" s="300" t="s">
        <v>76</v>
      </c>
      <c r="B69" s="310"/>
    </row>
    <row r="70" spans="1:2" x14ac:dyDescent="0.25">
      <c r="A70" s="65" t="s">
        <v>77</v>
      </c>
      <c r="B70" s="78"/>
    </row>
    <row r="71" spans="1:2" x14ac:dyDescent="0.25">
      <c r="A71" s="78"/>
      <c r="B71" s="107"/>
    </row>
    <row r="72" spans="1:2" ht="14.4" x14ac:dyDescent="0.25">
      <c r="A72" s="300" t="s">
        <v>78</v>
      </c>
      <c r="B72" s="310"/>
    </row>
    <row r="73" spans="1:2" ht="27.6" x14ac:dyDescent="0.25">
      <c r="A73" s="65" t="s">
        <v>79</v>
      </c>
      <c r="B73" s="78"/>
    </row>
    <row r="74" spans="1:2" x14ac:dyDescent="0.25">
      <c r="A74" s="65" t="s">
        <v>80</v>
      </c>
      <c r="B74" s="78"/>
    </row>
    <row r="75" spans="1:2" x14ac:dyDescent="0.25">
      <c r="A75" s="78"/>
      <c r="B75" s="107"/>
    </row>
    <row r="76" spans="1:2" ht="14.4" x14ac:dyDescent="0.25">
      <c r="A76" s="300" t="s">
        <v>81</v>
      </c>
      <c r="B76" s="310"/>
    </row>
    <row r="77" spans="1:2" x14ac:dyDescent="0.25">
      <c r="A77" s="65" t="s">
        <v>82</v>
      </c>
      <c r="B77" s="78"/>
    </row>
    <row r="78" spans="1:2" x14ac:dyDescent="0.25">
      <c r="A78" s="65" t="s">
        <v>83</v>
      </c>
      <c r="B78" s="78"/>
    </row>
    <row r="79" spans="1:2" x14ac:dyDescent="0.25">
      <c r="A79" s="65" t="s">
        <v>84</v>
      </c>
      <c r="B79" s="78"/>
    </row>
    <row r="80" spans="1:2" x14ac:dyDescent="0.25">
      <c r="A80" s="78"/>
      <c r="B80" s="107"/>
    </row>
    <row r="81" spans="1:2" x14ac:dyDescent="0.25">
      <c r="A81" s="79" t="s">
        <v>85</v>
      </c>
      <c r="B81" s="65"/>
    </row>
    <row r="82" spans="1:2" x14ac:dyDescent="0.25">
      <c r="A82" s="65" t="s">
        <v>86</v>
      </c>
      <c r="B82" s="78"/>
    </row>
    <row r="83" spans="1:2" x14ac:dyDescent="0.25">
      <c r="A83" s="65" t="s">
        <v>87</v>
      </c>
      <c r="B83" s="78"/>
    </row>
    <row r="84" spans="1:2" ht="14.4" x14ac:dyDescent="0.25">
      <c r="A84" s="300" t="s">
        <v>88</v>
      </c>
      <c r="B84" s="310"/>
    </row>
    <row r="85" spans="1:2" x14ac:dyDescent="0.25">
      <c r="A85" s="65" t="s">
        <v>89</v>
      </c>
      <c r="B85" s="78"/>
    </row>
    <row r="86" spans="1:2" x14ac:dyDescent="0.25">
      <c r="A86" s="65" t="s">
        <v>90</v>
      </c>
      <c r="B86" s="78"/>
    </row>
    <row r="87" spans="1:2" x14ac:dyDescent="0.25">
      <c r="A87" s="78"/>
      <c r="B87" s="107"/>
    </row>
    <row r="88" spans="1:2" ht="14.4" x14ac:dyDescent="0.25">
      <c r="A88" s="300" t="s">
        <v>91</v>
      </c>
      <c r="B88" s="310"/>
    </row>
    <row r="89" spans="1:2" x14ac:dyDescent="0.25">
      <c r="A89" s="65" t="s">
        <v>92</v>
      </c>
      <c r="B89" s="78"/>
    </row>
    <row r="90" spans="1:2" x14ac:dyDescent="0.25">
      <c r="A90" s="65" t="s">
        <v>93</v>
      </c>
      <c r="B90" s="78"/>
    </row>
    <row r="91" spans="1:2" x14ac:dyDescent="0.25">
      <c r="A91" s="78"/>
      <c r="B91" s="107"/>
    </row>
    <row r="92" spans="1:2" ht="14.4" x14ac:dyDescent="0.25">
      <c r="A92" s="300" t="s">
        <v>94</v>
      </c>
      <c r="B92" s="310"/>
    </row>
    <row r="93" spans="1:2" x14ac:dyDescent="0.25">
      <c r="A93" s="65" t="s">
        <v>95</v>
      </c>
      <c r="B93" s="78"/>
    </row>
    <row r="94" spans="1:2" x14ac:dyDescent="0.25">
      <c r="A94" s="65" t="s">
        <v>96</v>
      </c>
      <c r="B94" s="78"/>
    </row>
    <row r="95" spans="1:2" x14ac:dyDescent="0.25">
      <c r="A95" s="78"/>
      <c r="B95" s="107"/>
    </row>
    <row r="96" spans="1:2" ht="14.4" x14ac:dyDescent="0.25">
      <c r="A96" s="300" t="s">
        <v>97</v>
      </c>
      <c r="B96" s="310"/>
    </row>
    <row r="97" spans="1:2" x14ac:dyDescent="0.25">
      <c r="A97" s="65" t="s">
        <v>98</v>
      </c>
      <c r="B97" s="78"/>
    </row>
    <row r="98" spans="1:2" x14ac:dyDescent="0.25">
      <c r="A98" s="65" t="s">
        <v>99</v>
      </c>
      <c r="B98" s="78"/>
    </row>
    <row r="99" spans="1:2" x14ac:dyDescent="0.25">
      <c r="A99" s="65" t="s">
        <v>100</v>
      </c>
      <c r="B99" s="78"/>
    </row>
    <row r="100" spans="1:2" ht="14.4" x14ac:dyDescent="0.25">
      <c r="A100" s="300" t="s">
        <v>101</v>
      </c>
      <c r="B100" s="310"/>
    </row>
    <row r="101" spans="1:2" x14ac:dyDescent="0.25">
      <c r="A101" s="65" t="s">
        <v>102</v>
      </c>
      <c r="B101" s="78"/>
    </row>
    <row r="102" spans="1:2" x14ac:dyDescent="0.25">
      <c r="A102" s="65" t="s">
        <v>103</v>
      </c>
      <c r="B102" s="78"/>
    </row>
    <row r="103" spans="1:2" x14ac:dyDescent="0.25">
      <c r="A103" s="65" t="s">
        <v>104</v>
      </c>
      <c r="B103" s="78"/>
    </row>
    <row r="104" spans="1:2" x14ac:dyDescent="0.25">
      <c r="A104" s="65" t="s">
        <v>105</v>
      </c>
      <c r="B104" s="78"/>
    </row>
    <row r="105" spans="1:2" x14ac:dyDescent="0.25">
      <c r="A105" s="78"/>
      <c r="B105" s="78"/>
    </row>
    <row r="106" spans="1:2" x14ac:dyDescent="0.25">
      <c r="A106" s="79" t="s">
        <v>106</v>
      </c>
      <c r="B106" s="65"/>
    </row>
    <row r="107" spans="1:2" x14ac:dyDescent="0.25">
      <c r="A107" s="65" t="s">
        <v>107</v>
      </c>
      <c r="B107" s="78"/>
    </row>
    <row r="108" spans="1:2" x14ac:dyDescent="0.25">
      <c r="A108" s="65" t="s">
        <v>108</v>
      </c>
      <c r="B108" s="78"/>
    </row>
    <row r="109" spans="1:2" x14ac:dyDescent="0.25">
      <c r="A109" s="78"/>
      <c r="B109" s="107"/>
    </row>
    <row r="110" spans="1:2" x14ac:dyDescent="0.25">
      <c r="A110" s="79" t="s">
        <v>109</v>
      </c>
      <c r="B110" s="65"/>
    </row>
    <row r="111" spans="1:2" x14ac:dyDescent="0.25">
      <c r="A111" s="65" t="s">
        <v>110</v>
      </c>
      <c r="B111" s="78"/>
    </row>
    <row r="112" spans="1:2" x14ac:dyDescent="0.25">
      <c r="A112" s="65" t="s">
        <v>111</v>
      </c>
      <c r="B112" s="78"/>
    </row>
    <row r="113" spans="1:2" x14ac:dyDescent="0.25">
      <c r="A113" s="65" t="s">
        <v>112</v>
      </c>
      <c r="B113" s="78"/>
    </row>
    <row r="114" spans="1:2" x14ac:dyDescent="0.25">
      <c r="A114" s="78"/>
      <c r="B114" s="107"/>
    </row>
    <row r="115" spans="1:2" x14ac:dyDescent="0.25">
      <c r="A115" s="79" t="s">
        <v>113</v>
      </c>
      <c r="B115" s="65"/>
    </row>
    <row r="116" spans="1:2" x14ac:dyDescent="0.25">
      <c r="A116" s="65" t="s">
        <v>114</v>
      </c>
      <c r="B116" s="78"/>
    </row>
    <row r="117" spans="1:2" x14ac:dyDescent="0.25">
      <c r="A117" s="65" t="s">
        <v>115</v>
      </c>
      <c r="B117" s="78"/>
    </row>
    <row r="118" spans="1:2" x14ac:dyDescent="0.25">
      <c r="A118" s="65" t="s">
        <v>116</v>
      </c>
      <c r="B118" s="78"/>
    </row>
    <row r="119" spans="1:2" x14ac:dyDescent="0.25">
      <c r="A119" s="100" t="s">
        <v>117</v>
      </c>
      <c r="B119" s="98"/>
    </row>
    <row r="120" spans="1:2" x14ac:dyDescent="0.25">
      <c r="A120" s="78"/>
      <c r="B120" s="107"/>
    </row>
    <row r="121" spans="1:2" ht="14.4" customHeight="1" x14ac:dyDescent="0.25">
      <c r="A121" s="300" t="s">
        <v>118</v>
      </c>
      <c r="B121" s="310"/>
    </row>
    <row r="122" spans="1:2" x14ac:dyDescent="0.25">
      <c r="A122" s="101"/>
      <c r="B122" s="101"/>
    </row>
    <row r="123" spans="1:2" x14ac:dyDescent="0.25">
      <c r="A123" s="101"/>
      <c r="B123" s="101"/>
    </row>
    <row r="124" spans="1:2" x14ac:dyDescent="0.25">
      <c r="A124" s="101"/>
      <c r="B124" s="101"/>
    </row>
    <row r="125" spans="1:2" x14ac:dyDescent="0.25">
      <c r="A125" s="101"/>
      <c r="B125" s="101"/>
    </row>
    <row r="126" spans="1:2" x14ac:dyDescent="0.25">
      <c r="A126" s="101"/>
      <c r="B126" s="101"/>
    </row>
    <row r="127" spans="1:2" x14ac:dyDescent="0.25">
      <c r="A127" s="101"/>
      <c r="B127" s="101"/>
    </row>
    <row r="128" spans="1:2" x14ac:dyDescent="0.25">
      <c r="A128" s="102"/>
      <c r="B128" s="102"/>
    </row>
    <row r="129" spans="1:2" x14ac:dyDescent="0.25">
      <c r="A129" s="102"/>
      <c r="B129" s="102"/>
    </row>
    <row r="130" spans="1:2" x14ac:dyDescent="0.25">
      <c r="A130" s="102"/>
      <c r="B130" s="102"/>
    </row>
    <row r="131" spans="1:2" x14ac:dyDescent="0.25">
      <c r="A131" s="102"/>
      <c r="B131" s="102"/>
    </row>
    <row r="132" spans="1:2" x14ac:dyDescent="0.25">
      <c r="A132" s="102"/>
      <c r="B132" s="102"/>
    </row>
    <row r="133" spans="1:2" x14ac:dyDescent="0.25">
      <c r="A133" s="102"/>
      <c r="B133" s="102"/>
    </row>
  </sheetData>
  <sheetProtection sheet="1" objects="1" scenarios="1" selectLockedCells="1"/>
  <mergeCells count="18">
    <mergeCell ref="A1:B1"/>
    <mergeCell ref="A37:B37"/>
    <mergeCell ref="A47:B47"/>
    <mergeCell ref="A52:B52"/>
    <mergeCell ref="A57:B57"/>
    <mergeCell ref="A92:B92"/>
    <mergeCell ref="A96:B96"/>
    <mergeCell ref="A100:B100"/>
    <mergeCell ref="A121:B121"/>
    <mergeCell ref="A3:B3"/>
    <mergeCell ref="A14:B14"/>
    <mergeCell ref="A26:B26"/>
    <mergeCell ref="A62:B62"/>
    <mergeCell ref="A76:B76"/>
    <mergeCell ref="A72:B72"/>
    <mergeCell ref="A69:B69"/>
    <mergeCell ref="A88:B88"/>
    <mergeCell ref="A84:B84"/>
  </mergeCells>
  <pageMargins left="0.70866141732283472" right="0.70866141732283472" top="0.78740157480314965" bottom="0.78740157480314965" header="0.31496062992125984" footer="0.31496062992125984"/>
  <pageSetup paperSize="9" scale="99" fitToHeight="0" orientation="portrait" r:id="rId1"/>
  <headerFooter>
    <oddHeader>&amp;R&amp;G</oddHeader>
    <oddFooter>&amp;L&amp;"Arial,Standard"&amp;10Selbstbeurteilung Integrierte Sicherheit&amp;R&amp;"Arial,Standard"&amp;10Seite &amp;P von &amp;N</oddFooter>
  </headerFooter>
  <rowBreaks count="1" manualBreakCount="1">
    <brk id="36" max="16383" man="1"/>
  </row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dimension ref="A1:G706"/>
  <sheetViews>
    <sheetView zoomScale="90" zoomScaleNormal="90" workbookViewId="0">
      <pane ySplit="2" topLeftCell="A77" activePane="bottomLeft" state="frozen"/>
      <selection pane="bottomLeft" activeCell="D97" sqref="D97"/>
    </sheetView>
  </sheetViews>
  <sheetFormatPr defaultColWidth="11.44140625" defaultRowHeight="13.8" outlineLevelCol="1" x14ac:dyDescent="0.25"/>
  <cols>
    <col min="1" max="1" width="10.33203125" style="90" bestFit="1" customWidth="1"/>
    <col min="2" max="2" width="3.109375" style="86" customWidth="1"/>
    <col min="3" max="3" width="64.88671875" style="91" customWidth="1"/>
    <col min="4" max="5" width="4.5546875" style="92" customWidth="1" outlineLevel="1"/>
    <col min="6" max="6" width="42.44140625" style="93" customWidth="1" outlineLevel="1"/>
    <col min="7" max="7" width="12.6640625" style="94" customWidth="1" outlineLevel="1"/>
    <col min="8" max="16384" width="11.44140625" style="64"/>
  </cols>
  <sheetData>
    <row r="1" spans="1:7" s="66" customFormat="1" ht="30" customHeight="1" x14ac:dyDescent="0.3">
      <c r="A1" s="324" t="s">
        <v>119</v>
      </c>
      <c r="B1" s="324"/>
      <c r="C1" s="324"/>
      <c r="D1" s="324"/>
      <c r="E1" s="324"/>
      <c r="F1" s="324"/>
      <c r="G1" s="324"/>
    </row>
    <row r="2" spans="1:7" s="66" customFormat="1" ht="27.6" x14ac:dyDescent="0.3">
      <c r="A2" s="67" t="s">
        <v>120</v>
      </c>
      <c r="B2" s="68"/>
      <c r="C2" s="69" t="s">
        <v>121</v>
      </c>
      <c r="D2" s="97" t="s">
        <v>122</v>
      </c>
      <c r="E2" s="97" t="s">
        <v>123</v>
      </c>
      <c r="F2" s="125" t="s">
        <v>124</v>
      </c>
      <c r="G2" s="79" t="s">
        <v>125</v>
      </c>
    </row>
    <row r="3" spans="1:7" s="70" customFormat="1" ht="17.399999999999999" x14ac:dyDescent="0.3">
      <c r="A3" s="166" t="s">
        <v>126</v>
      </c>
      <c r="B3" s="82" t="s">
        <v>127</v>
      </c>
      <c r="C3" s="82"/>
      <c r="D3" s="167"/>
      <c r="E3" s="167"/>
      <c r="F3" s="168"/>
      <c r="G3" s="168"/>
    </row>
    <row r="4" spans="1:7" s="70" customFormat="1" ht="17.399999999999999" x14ac:dyDescent="0.3">
      <c r="A4" s="166"/>
      <c r="B4" s="169" t="s">
        <v>128</v>
      </c>
      <c r="C4" s="169"/>
      <c r="D4" s="325"/>
      <c r="E4" s="325"/>
      <c r="F4" s="325"/>
      <c r="G4" s="168"/>
    </row>
    <row r="5" spans="1:7" s="70" customFormat="1" x14ac:dyDescent="0.3">
      <c r="A5" s="170" t="s">
        <v>129</v>
      </c>
      <c r="B5" s="317" t="s">
        <v>130</v>
      </c>
      <c r="C5" s="317"/>
      <c r="D5" s="172"/>
      <c r="E5" s="172"/>
      <c r="F5" s="173"/>
      <c r="G5" s="173"/>
    </row>
    <row r="6" spans="1:7" s="66" customFormat="1" ht="15.6" x14ac:dyDescent="0.3">
      <c r="A6" s="174" t="s">
        <v>131</v>
      </c>
      <c r="B6" s="175"/>
      <c r="C6" s="176" t="s">
        <v>132</v>
      </c>
      <c r="D6" s="177"/>
      <c r="E6" s="177"/>
      <c r="F6" s="178"/>
      <c r="G6" s="179" t="s">
        <v>133</v>
      </c>
    </row>
    <row r="7" spans="1:7" s="66" customFormat="1" ht="27.6" x14ac:dyDescent="0.3">
      <c r="A7" s="180" t="s">
        <v>134</v>
      </c>
      <c r="B7" s="175"/>
      <c r="C7" s="176" t="s">
        <v>135</v>
      </c>
      <c r="D7" s="177"/>
      <c r="E7" s="181"/>
      <c r="F7" s="182"/>
      <c r="G7" s="183"/>
    </row>
    <row r="8" spans="1:7" s="66" customFormat="1" ht="27.6" x14ac:dyDescent="0.3">
      <c r="A8" s="180" t="s">
        <v>136</v>
      </c>
      <c r="B8" s="175"/>
      <c r="C8" s="176" t="s">
        <v>137</v>
      </c>
      <c r="D8" s="177"/>
      <c r="E8" s="181"/>
      <c r="F8" s="178"/>
      <c r="G8" s="184"/>
    </row>
    <row r="9" spans="1:7" s="66" customFormat="1" ht="27.6" x14ac:dyDescent="0.3">
      <c r="A9" s="180" t="s">
        <v>138</v>
      </c>
      <c r="B9" s="175"/>
      <c r="C9" s="176" t="s">
        <v>139</v>
      </c>
      <c r="D9" s="177"/>
      <c r="E9" s="181"/>
      <c r="F9" s="178"/>
      <c r="G9" s="184"/>
    </row>
    <row r="10" spans="1:7" s="66" customFormat="1" ht="41.4" x14ac:dyDescent="0.3">
      <c r="A10" s="180" t="s">
        <v>140</v>
      </c>
      <c r="B10" s="175"/>
      <c r="C10" s="176" t="s">
        <v>141</v>
      </c>
      <c r="D10" s="177"/>
      <c r="E10" s="181"/>
      <c r="F10" s="185"/>
      <c r="G10" s="184"/>
    </row>
    <row r="11" spans="1:7" s="66" customFormat="1" ht="27.6" x14ac:dyDescent="0.3">
      <c r="A11" s="180" t="s">
        <v>142</v>
      </c>
      <c r="B11" s="175"/>
      <c r="C11" s="176" t="s">
        <v>143</v>
      </c>
      <c r="D11" s="177"/>
      <c r="E11" s="181"/>
      <c r="F11" s="178"/>
      <c r="G11" s="186" t="s">
        <v>144</v>
      </c>
    </row>
    <row r="12" spans="1:7" s="66" customFormat="1" x14ac:dyDescent="0.3">
      <c r="A12" s="180" t="s">
        <v>145</v>
      </c>
      <c r="B12" s="175"/>
      <c r="C12" s="175" t="s">
        <v>146</v>
      </c>
      <c r="D12" s="177"/>
      <c r="E12" s="181"/>
      <c r="F12" s="187"/>
      <c r="G12" s="184"/>
    </row>
    <row r="13" spans="1:7" s="66" customFormat="1" ht="42.6" x14ac:dyDescent="0.3">
      <c r="A13" s="188" t="s">
        <v>147</v>
      </c>
      <c r="B13" s="189"/>
      <c r="C13" s="190" t="s">
        <v>148</v>
      </c>
      <c r="D13" s="177"/>
      <c r="E13" s="181"/>
      <c r="F13" s="191"/>
      <c r="G13" s="184"/>
    </row>
    <row r="14" spans="1:7" s="70" customFormat="1" ht="28.8" x14ac:dyDescent="0.3">
      <c r="A14" s="188" t="s">
        <v>149</v>
      </c>
      <c r="B14" s="189"/>
      <c r="C14" s="192" t="s">
        <v>150</v>
      </c>
      <c r="D14" s="177"/>
      <c r="E14" s="181"/>
      <c r="F14" s="191"/>
      <c r="G14" s="193"/>
    </row>
    <row r="15" spans="1:7" s="66" customFormat="1" x14ac:dyDescent="0.3">
      <c r="A15" s="170" t="s">
        <v>151</v>
      </c>
      <c r="B15" s="171" t="s">
        <v>152</v>
      </c>
      <c r="C15" s="194"/>
      <c r="D15" s="177"/>
      <c r="E15" s="195"/>
      <c r="F15" s="182"/>
      <c r="G15" s="196"/>
    </row>
    <row r="16" spans="1:7" s="66" customFormat="1" ht="41.4" x14ac:dyDescent="0.3">
      <c r="A16" s="174" t="s">
        <v>153</v>
      </c>
      <c r="B16" s="175"/>
      <c r="C16" s="176" t="s">
        <v>154</v>
      </c>
      <c r="D16" s="177"/>
      <c r="E16" s="181"/>
      <c r="F16" s="178"/>
      <c r="G16" s="168"/>
    </row>
    <row r="17" spans="1:7" s="66" customFormat="1" ht="27.6" x14ac:dyDescent="0.3">
      <c r="A17" s="180" t="s">
        <v>155</v>
      </c>
      <c r="B17" s="175"/>
      <c r="C17" s="176" t="s">
        <v>156</v>
      </c>
      <c r="D17" s="177"/>
      <c r="E17" s="181"/>
      <c r="F17" s="178"/>
      <c r="G17" s="193"/>
    </row>
    <row r="18" spans="1:7" s="66" customFormat="1" ht="27.6" x14ac:dyDescent="0.3">
      <c r="A18" s="180" t="s">
        <v>157</v>
      </c>
      <c r="B18" s="175"/>
      <c r="C18" s="176" t="s">
        <v>158</v>
      </c>
      <c r="D18" s="177"/>
      <c r="E18" s="181"/>
      <c r="F18" s="178"/>
      <c r="G18" s="193"/>
    </row>
    <row r="19" spans="1:7" s="66" customFormat="1" ht="27.6" x14ac:dyDescent="0.3">
      <c r="A19" s="180" t="s">
        <v>159</v>
      </c>
      <c r="B19" s="175"/>
      <c r="C19" s="176" t="s">
        <v>160</v>
      </c>
      <c r="D19" s="177"/>
      <c r="E19" s="181"/>
      <c r="F19" s="178"/>
      <c r="G19" s="193"/>
    </row>
    <row r="20" spans="1:7" s="153" customFormat="1" ht="28.2" x14ac:dyDescent="0.3">
      <c r="A20" s="197" t="s">
        <v>161</v>
      </c>
      <c r="B20" s="190"/>
      <c r="C20" s="190" t="s">
        <v>162</v>
      </c>
      <c r="D20" s="198"/>
      <c r="E20" s="195"/>
      <c r="F20" s="182"/>
      <c r="G20" s="196"/>
    </row>
    <row r="21" spans="1:7" s="66" customFormat="1" ht="14.4" x14ac:dyDescent="0.3">
      <c r="A21" s="188" t="s">
        <v>163</v>
      </c>
      <c r="B21" s="189"/>
      <c r="C21" s="192" t="s">
        <v>164</v>
      </c>
      <c r="D21" s="177"/>
      <c r="E21" s="181"/>
      <c r="F21" s="178"/>
      <c r="G21" s="193"/>
    </row>
    <row r="22" spans="1:7" s="66" customFormat="1" ht="14.4" x14ac:dyDescent="0.3">
      <c r="A22" s="188" t="s">
        <v>165</v>
      </c>
      <c r="B22" s="189"/>
      <c r="C22" s="192" t="s">
        <v>166</v>
      </c>
      <c r="D22" s="177"/>
      <c r="E22" s="181"/>
      <c r="F22" s="178"/>
      <c r="G22" s="193"/>
    </row>
    <row r="23" spans="1:7" s="66" customFormat="1" ht="14.4" x14ac:dyDescent="0.3">
      <c r="A23" s="188" t="s">
        <v>167</v>
      </c>
      <c r="B23" s="189"/>
      <c r="C23" s="192" t="s">
        <v>168</v>
      </c>
      <c r="D23" s="177"/>
      <c r="E23" s="181"/>
      <c r="F23" s="178"/>
      <c r="G23" s="193"/>
    </row>
    <row r="24" spans="1:7" s="66" customFormat="1" ht="14.4" x14ac:dyDescent="0.3">
      <c r="A24" s="188" t="s">
        <v>169</v>
      </c>
      <c r="B24" s="189"/>
      <c r="C24" s="192" t="s">
        <v>170</v>
      </c>
      <c r="D24" s="177"/>
      <c r="E24" s="181"/>
      <c r="F24" s="178"/>
      <c r="G24" s="193"/>
    </row>
    <row r="25" spans="1:7" s="66" customFormat="1" ht="14.4" x14ac:dyDescent="0.3">
      <c r="A25" s="188" t="s">
        <v>171</v>
      </c>
      <c r="B25" s="189"/>
      <c r="C25" s="192" t="s">
        <v>172</v>
      </c>
      <c r="D25" s="177"/>
      <c r="E25" s="181"/>
      <c r="F25" s="178"/>
      <c r="G25" s="193"/>
    </row>
    <row r="26" spans="1:7" s="66" customFormat="1" ht="14.4" x14ac:dyDescent="0.3">
      <c r="A26" s="188" t="s">
        <v>173</v>
      </c>
      <c r="B26" s="189"/>
      <c r="C26" s="192" t="s">
        <v>174</v>
      </c>
      <c r="D26" s="177"/>
      <c r="E26" s="181"/>
      <c r="F26" s="178"/>
      <c r="G26" s="193"/>
    </row>
    <row r="27" spans="1:7" s="66" customFormat="1" ht="14.4" x14ac:dyDescent="0.3">
      <c r="A27" s="188" t="s">
        <v>175</v>
      </c>
      <c r="B27" s="189"/>
      <c r="C27" s="192" t="s">
        <v>176</v>
      </c>
      <c r="D27" s="177"/>
      <c r="E27" s="181"/>
      <c r="F27" s="178"/>
      <c r="G27" s="193"/>
    </row>
    <row r="28" spans="1:7" s="66" customFormat="1" ht="14.4" x14ac:dyDescent="0.3">
      <c r="A28" s="188" t="s">
        <v>177</v>
      </c>
      <c r="B28" s="189"/>
      <c r="C28" s="192" t="s">
        <v>178</v>
      </c>
      <c r="D28" s="177"/>
      <c r="E28" s="181"/>
      <c r="F28" s="185"/>
      <c r="G28" s="193"/>
    </row>
    <row r="29" spans="1:7" s="66" customFormat="1" x14ac:dyDescent="0.3">
      <c r="A29" s="170" t="s">
        <v>179</v>
      </c>
      <c r="B29" s="171" t="s">
        <v>180</v>
      </c>
      <c r="C29" s="171"/>
      <c r="D29" s="199"/>
      <c r="E29" s="199"/>
      <c r="F29" s="200"/>
      <c r="G29" s="200"/>
    </row>
    <row r="30" spans="1:7" s="66" customFormat="1" ht="42.6" x14ac:dyDescent="0.3">
      <c r="A30" s="201" t="s">
        <v>181</v>
      </c>
      <c r="B30" s="189"/>
      <c r="C30" s="190" t="s">
        <v>182</v>
      </c>
      <c r="D30" s="181"/>
      <c r="E30" s="181"/>
      <c r="F30" s="202"/>
      <c r="G30" s="193"/>
    </row>
    <row r="31" spans="1:7" s="66" customFormat="1" ht="14.4" x14ac:dyDescent="0.3">
      <c r="A31" s="188" t="s">
        <v>183</v>
      </c>
      <c r="B31" s="189"/>
      <c r="C31" s="192" t="s">
        <v>184</v>
      </c>
      <c r="D31" s="181"/>
      <c r="E31" s="181"/>
      <c r="F31" s="178"/>
      <c r="G31" s="193"/>
    </row>
    <row r="32" spans="1:7" s="66" customFormat="1" ht="14.4" x14ac:dyDescent="0.3">
      <c r="A32" s="188" t="s">
        <v>185</v>
      </c>
      <c r="B32" s="189"/>
      <c r="C32" s="192" t="s">
        <v>186</v>
      </c>
      <c r="D32" s="181"/>
      <c r="E32" s="181"/>
      <c r="F32" s="185"/>
      <c r="G32" s="193"/>
    </row>
    <row r="33" spans="1:7" s="66" customFormat="1" ht="42" x14ac:dyDescent="0.3">
      <c r="A33" s="188" t="s">
        <v>187</v>
      </c>
      <c r="B33" s="189"/>
      <c r="C33" s="190" t="s">
        <v>188</v>
      </c>
      <c r="D33" s="181"/>
      <c r="E33" s="181"/>
      <c r="F33" s="178"/>
      <c r="G33" s="193"/>
    </row>
    <row r="34" spans="1:7" s="66" customFormat="1" ht="14.4" x14ac:dyDescent="0.3">
      <c r="A34" s="188" t="s">
        <v>189</v>
      </c>
      <c r="B34" s="189"/>
      <c r="C34" s="192" t="s">
        <v>190</v>
      </c>
      <c r="D34" s="181"/>
      <c r="E34" s="181"/>
      <c r="F34" s="178"/>
      <c r="G34" s="193"/>
    </row>
    <row r="35" spans="1:7" s="66" customFormat="1" ht="14.4" x14ac:dyDescent="0.3">
      <c r="A35" s="188" t="s">
        <v>191</v>
      </c>
      <c r="B35" s="189"/>
      <c r="C35" s="192" t="s">
        <v>192</v>
      </c>
      <c r="D35" s="181"/>
      <c r="E35" s="181"/>
      <c r="F35" s="202"/>
      <c r="G35" s="193"/>
    </row>
    <row r="36" spans="1:7" s="66" customFormat="1" ht="14.4" x14ac:dyDescent="0.3">
      <c r="A36" s="188" t="s">
        <v>193</v>
      </c>
      <c r="B36" s="189"/>
      <c r="C36" s="192" t="s">
        <v>194</v>
      </c>
      <c r="D36" s="181"/>
      <c r="E36" s="181"/>
      <c r="F36" s="178"/>
      <c r="G36" s="193"/>
    </row>
    <row r="37" spans="1:7" s="66" customFormat="1" ht="14.4" x14ac:dyDescent="0.3">
      <c r="A37" s="188" t="s">
        <v>195</v>
      </c>
      <c r="B37" s="189"/>
      <c r="C37" s="192" t="s">
        <v>196</v>
      </c>
      <c r="D37" s="181"/>
      <c r="E37" s="181"/>
      <c r="F37" s="178"/>
      <c r="G37" s="193"/>
    </row>
    <row r="38" spans="1:7" s="66" customFormat="1" ht="14.4" x14ac:dyDescent="0.3">
      <c r="A38" s="188" t="s">
        <v>197</v>
      </c>
      <c r="B38" s="189"/>
      <c r="C38" s="192" t="s">
        <v>198</v>
      </c>
      <c r="D38" s="181"/>
      <c r="E38" s="181"/>
      <c r="F38" s="178"/>
      <c r="G38" s="193"/>
    </row>
    <row r="39" spans="1:7" s="66" customFormat="1" ht="14.4" x14ac:dyDescent="0.3">
      <c r="A39" s="188" t="s">
        <v>199</v>
      </c>
      <c r="B39" s="189"/>
      <c r="C39" s="192" t="s">
        <v>176</v>
      </c>
      <c r="D39" s="181"/>
      <c r="E39" s="181"/>
      <c r="F39" s="178"/>
      <c r="G39" s="193"/>
    </row>
    <row r="40" spans="1:7" s="66" customFormat="1" ht="14.4" x14ac:dyDescent="0.3">
      <c r="A40" s="188" t="s">
        <v>200</v>
      </c>
      <c r="B40" s="189"/>
      <c r="C40" s="192" t="s">
        <v>201</v>
      </c>
      <c r="D40" s="181"/>
      <c r="E40" s="181"/>
      <c r="F40" s="185"/>
      <c r="G40" s="193"/>
    </row>
    <row r="41" spans="1:7" s="66" customFormat="1" ht="41.4" x14ac:dyDescent="0.3">
      <c r="A41" s="203" t="s">
        <v>202</v>
      </c>
      <c r="B41" s="175"/>
      <c r="C41" s="176" t="s">
        <v>203</v>
      </c>
      <c r="D41" s="181"/>
      <c r="E41" s="181"/>
      <c r="F41" s="178"/>
      <c r="G41" s="193"/>
    </row>
    <row r="42" spans="1:7" s="66" customFormat="1" x14ac:dyDescent="0.3">
      <c r="A42" s="170" t="s">
        <v>204</v>
      </c>
      <c r="B42" s="316" t="s">
        <v>205</v>
      </c>
      <c r="C42" s="316"/>
      <c r="D42" s="204"/>
      <c r="E42" s="204"/>
      <c r="F42" s="193"/>
      <c r="G42" s="205"/>
    </row>
    <row r="43" spans="1:7" s="66" customFormat="1" ht="85.2" x14ac:dyDescent="0.3">
      <c r="A43" s="206" t="s">
        <v>206</v>
      </c>
      <c r="B43" s="189"/>
      <c r="C43" s="190" t="s">
        <v>207</v>
      </c>
      <c r="D43" s="181"/>
      <c r="E43" s="181"/>
      <c r="F43" s="207"/>
      <c r="G43" s="186" t="s">
        <v>208</v>
      </c>
    </row>
    <row r="44" spans="1:7" s="66" customFormat="1" ht="17.399999999999999" x14ac:dyDescent="0.3">
      <c r="A44" s="201" t="s">
        <v>209</v>
      </c>
      <c r="B44" s="189"/>
      <c r="C44" s="192" t="s">
        <v>210</v>
      </c>
      <c r="D44" s="181"/>
      <c r="E44" s="181"/>
      <c r="F44" s="207"/>
      <c r="G44" s="168"/>
    </row>
    <row r="45" spans="1:7" s="66" customFormat="1" ht="17.399999999999999" x14ac:dyDescent="0.3">
      <c r="A45" s="201" t="s">
        <v>211</v>
      </c>
      <c r="B45" s="189"/>
      <c r="C45" s="192" t="s">
        <v>212</v>
      </c>
      <c r="D45" s="181"/>
      <c r="E45" s="181"/>
      <c r="F45" s="207"/>
      <c r="G45" s="168"/>
    </row>
    <row r="46" spans="1:7" s="66" customFormat="1" ht="17.399999999999999" x14ac:dyDescent="0.3">
      <c r="A46" s="201" t="s">
        <v>213</v>
      </c>
      <c r="B46" s="189"/>
      <c r="C46" s="192" t="s">
        <v>214</v>
      </c>
      <c r="D46" s="181"/>
      <c r="E46" s="181"/>
      <c r="F46" s="207"/>
      <c r="G46" s="168"/>
    </row>
    <row r="47" spans="1:7" s="66" customFormat="1" ht="17.399999999999999" x14ac:dyDescent="0.3">
      <c r="A47" s="201" t="s">
        <v>215</v>
      </c>
      <c r="B47" s="189"/>
      <c r="C47" s="192" t="s">
        <v>216</v>
      </c>
      <c r="D47" s="181"/>
      <c r="E47" s="181"/>
      <c r="F47" s="207"/>
      <c r="G47" s="168"/>
    </row>
    <row r="48" spans="1:7" s="66" customFormat="1" ht="17.399999999999999" x14ac:dyDescent="0.3">
      <c r="A48" s="201" t="s">
        <v>217</v>
      </c>
      <c r="B48" s="189"/>
      <c r="C48" s="192" t="s">
        <v>218</v>
      </c>
      <c r="D48" s="181"/>
      <c r="E48" s="181"/>
      <c r="F48" s="208"/>
      <c r="G48" s="168"/>
    </row>
    <row r="49" spans="1:7" s="66" customFormat="1" ht="42" x14ac:dyDescent="0.3">
      <c r="A49" s="206" t="s">
        <v>219</v>
      </c>
      <c r="B49" s="189"/>
      <c r="C49" s="190" t="s">
        <v>220</v>
      </c>
      <c r="D49" s="181"/>
      <c r="E49" s="181"/>
      <c r="F49" s="209"/>
      <c r="G49" s="168"/>
    </row>
    <row r="50" spans="1:7" s="66" customFormat="1" ht="17.399999999999999" x14ac:dyDescent="0.3">
      <c r="A50" s="201" t="s">
        <v>221</v>
      </c>
      <c r="B50" s="189"/>
      <c r="C50" s="192" t="s">
        <v>222</v>
      </c>
      <c r="D50" s="181"/>
      <c r="E50" s="181"/>
      <c r="F50" s="207"/>
      <c r="G50" s="168"/>
    </row>
    <row r="51" spans="1:7" s="66" customFormat="1" ht="17.399999999999999" x14ac:dyDescent="0.3">
      <c r="A51" s="201" t="s">
        <v>223</v>
      </c>
      <c r="B51" s="189"/>
      <c r="C51" s="192" t="s">
        <v>224</v>
      </c>
      <c r="D51" s="181"/>
      <c r="E51" s="181"/>
      <c r="F51" s="207"/>
      <c r="G51" s="168"/>
    </row>
    <row r="52" spans="1:7" s="66" customFormat="1" ht="17.399999999999999" x14ac:dyDescent="0.3">
      <c r="A52" s="201" t="s">
        <v>225</v>
      </c>
      <c r="B52" s="189"/>
      <c r="C52" s="192" t="s">
        <v>226</v>
      </c>
      <c r="D52" s="181"/>
      <c r="E52" s="181"/>
      <c r="F52" s="208"/>
      <c r="G52" s="168"/>
    </row>
    <row r="53" spans="1:7" s="66" customFormat="1" ht="27.6" x14ac:dyDescent="0.3">
      <c r="A53" s="203" t="s">
        <v>227</v>
      </c>
      <c r="B53" s="175"/>
      <c r="C53" s="176" t="s">
        <v>228</v>
      </c>
      <c r="D53" s="181"/>
      <c r="E53" s="181"/>
      <c r="F53" s="178"/>
      <c r="G53" s="210"/>
    </row>
    <row r="54" spans="1:7" s="66" customFormat="1" ht="27.6" x14ac:dyDescent="0.3">
      <c r="A54" s="174" t="s">
        <v>229</v>
      </c>
      <c r="B54" s="175"/>
      <c r="C54" s="176" t="s">
        <v>230</v>
      </c>
      <c r="D54" s="181"/>
      <c r="E54" s="181"/>
      <c r="F54" s="178"/>
      <c r="G54" s="193"/>
    </row>
    <row r="55" spans="1:7" s="66" customFormat="1" ht="27.6" x14ac:dyDescent="0.3">
      <c r="A55" s="203" t="s">
        <v>231</v>
      </c>
      <c r="B55" s="175"/>
      <c r="C55" s="176" t="s">
        <v>232</v>
      </c>
      <c r="D55" s="181"/>
      <c r="E55" s="181"/>
      <c r="F55" s="185"/>
      <c r="G55" s="193"/>
    </row>
    <row r="56" spans="1:7" s="66" customFormat="1" ht="18.75" customHeight="1" x14ac:dyDescent="0.3">
      <c r="A56" s="203" t="s">
        <v>233</v>
      </c>
      <c r="B56" s="316" t="s">
        <v>234</v>
      </c>
      <c r="C56" s="317"/>
      <c r="D56" s="204"/>
      <c r="E56" s="204"/>
      <c r="F56" s="193"/>
      <c r="G56" s="193"/>
    </row>
    <row r="57" spans="1:7" s="66" customFormat="1" ht="17.399999999999999" x14ac:dyDescent="0.3">
      <c r="A57" s="203" t="s">
        <v>235</v>
      </c>
      <c r="B57" s="175"/>
      <c r="C57" s="176" t="s">
        <v>236</v>
      </c>
      <c r="D57" s="181"/>
      <c r="E57" s="181"/>
      <c r="F57" s="178"/>
      <c r="G57" s="168"/>
    </row>
    <row r="58" spans="1:7" s="66" customFormat="1" ht="27.6" x14ac:dyDescent="0.3">
      <c r="A58" s="180" t="s">
        <v>237</v>
      </c>
      <c r="B58" s="175"/>
      <c r="C58" s="176" t="s">
        <v>238</v>
      </c>
      <c r="D58" s="181"/>
      <c r="E58" s="181"/>
      <c r="F58" s="178"/>
      <c r="G58" s="193"/>
    </row>
    <row r="59" spans="1:7" s="66" customFormat="1" ht="27.6" x14ac:dyDescent="0.3">
      <c r="A59" s="180" t="s">
        <v>239</v>
      </c>
      <c r="B59" s="175"/>
      <c r="C59" s="176" t="s">
        <v>240</v>
      </c>
      <c r="D59" s="181"/>
      <c r="E59" s="181"/>
      <c r="F59" s="178"/>
      <c r="G59" s="193"/>
    </row>
    <row r="60" spans="1:7" s="66" customFormat="1" ht="56.4" x14ac:dyDescent="0.3">
      <c r="A60" s="203" t="s">
        <v>241</v>
      </c>
      <c r="B60" s="175"/>
      <c r="C60" s="176" t="s">
        <v>242</v>
      </c>
      <c r="D60" s="181"/>
      <c r="E60" s="181"/>
      <c r="F60" s="202"/>
      <c r="G60" s="193"/>
    </row>
    <row r="61" spans="1:7" s="66" customFormat="1" ht="56.4" x14ac:dyDescent="0.3">
      <c r="A61" s="174" t="s">
        <v>243</v>
      </c>
      <c r="B61" s="175"/>
      <c r="C61" s="176" t="s">
        <v>244</v>
      </c>
      <c r="D61" s="181"/>
      <c r="E61" s="181"/>
      <c r="F61" s="178"/>
      <c r="G61" s="193"/>
    </row>
    <row r="62" spans="1:7" s="66" customFormat="1" ht="41.4" x14ac:dyDescent="0.3">
      <c r="A62" s="203" t="s">
        <v>245</v>
      </c>
      <c r="B62" s="175"/>
      <c r="C62" s="176" t="s">
        <v>246</v>
      </c>
      <c r="D62" s="181"/>
      <c r="E62" s="181"/>
      <c r="F62" s="185"/>
      <c r="G62" s="193"/>
    </row>
    <row r="63" spans="1:7" s="66" customFormat="1" ht="55.2" x14ac:dyDescent="0.3">
      <c r="A63" s="180" t="s">
        <v>247</v>
      </c>
      <c r="B63" s="175"/>
      <c r="C63" s="211" t="s">
        <v>248</v>
      </c>
      <c r="D63" s="181"/>
      <c r="E63" s="181"/>
      <c r="F63" s="185"/>
      <c r="G63" s="168"/>
    </row>
    <row r="64" spans="1:7" s="66" customFormat="1" ht="14.4" thickBot="1" x14ac:dyDescent="0.35">
      <c r="A64" s="212"/>
      <c r="B64" s="213"/>
      <c r="C64" s="214"/>
      <c r="D64" s="215"/>
      <c r="E64" s="215"/>
      <c r="F64" s="216"/>
      <c r="G64" s="213"/>
    </row>
    <row r="65" spans="1:7" s="66" customFormat="1" ht="17.399999999999999" x14ac:dyDescent="0.3">
      <c r="A65" s="217" t="s">
        <v>249</v>
      </c>
      <c r="B65" s="218" t="s">
        <v>250</v>
      </c>
      <c r="C65" s="219"/>
      <c r="D65" s="220"/>
      <c r="E65" s="220"/>
      <c r="F65" s="221"/>
      <c r="G65" s="222"/>
    </row>
    <row r="66" spans="1:7" s="66" customFormat="1" ht="17.399999999999999" x14ac:dyDescent="0.3">
      <c r="A66" s="166"/>
      <c r="B66" s="169" t="s">
        <v>251</v>
      </c>
      <c r="C66" s="169"/>
      <c r="D66" s="323"/>
      <c r="E66" s="323"/>
      <c r="F66" s="323"/>
      <c r="G66" s="82"/>
    </row>
    <row r="67" spans="1:7" s="66" customFormat="1" x14ac:dyDescent="0.3">
      <c r="A67" s="170" t="s">
        <v>252</v>
      </c>
      <c r="B67" s="171" t="s">
        <v>253</v>
      </c>
      <c r="C67" s="171"/>
      <c r="D67" s="172"/>
      <c r="E67" s="172"/>
      <c r="F67" s="223"/>
      <c r="G67" s="171"/>
    </row>
    <row r="68" spans="1:7" s="66" customFormat="1" x14ac:dyDescent="0.3">
      <c r="A68" s="174" t="s">
        <v>254</v>
      </c>
      <c r="B68" s="171"/>
      <c r="C68" s="171" t="s">
        <v>255</v>
      </c>
      <c r="D68" s="172"/>
      <c r="E68" s="172"/>
      <c r="F68" s="223"/>
      <c r="G68" s="171"/>
    </row>
    <row r="69" spans="1:7" s="66" customFormat="1" ht="28.8" x14ac:dyDescent="0.3">
      <c r="A69" s="201" t="s">
        <v>256</v>
      </c>
      <c r="B69" s="224"/>
      <c r="C69" s="192" t="s">
        <v>257</v>
      </c>
      <c r="D69" s="225"/>
      <c r="E69" s="225"/>
      <c r="F69" s="226"/>
      <c r="G69" s="169" t="s">
        <v>258</v>
      </c>
    </row>
    <row r="70" spans="1:7" s="66" customFormat="1" ht="14.4" x14ac:dyDescent="0.3">
      <c r="A70" s="201" t="s">
        <v>259</v>
      </c>
      <c r="B70" s="224"/>
      <c r="C70" s="192" t="s">
        <v>260</v>
      </c>
      <c r="D70" s="225"/>
      <c r="E70" s="225"/>
      <c r="F70" s="226"/>
      <c r="G70" s="171"/>
    </row>
    <row r="71" spans="1:7" s="66" customFormat="1" ht="14.4" x14ac:dyDescent="0.3">
      <c r="A71" s="201" t="s">
        <v>261</v>
      </c>
      <c r="B71" s="224"/>
      <c r="C71" s="192" t="s">
        <v>262</v>
      </c>
      <c r="D71" s="225"/>
      <c r="E71" s="225"/>
      <c r="F71" s="226"/>
      <c r="G71" s="171"/>
    </row>
    <row r="72" spans="1:7" s="66" customFormat="1" ht="14.4" x14ac:dyDescent="0.3">
      <c r="A72" s="201" t="s">
        <v>263</v>
      </c>
      <c r="B72" s="224"/>
      <c r="C72" s="192" t="s">
        <v>264</v>
      </c>
      <c r="D72" s="225"/>
      <c r="E72" s="225"/>
      <c r="F72" s="226"/>
      <c r="G72" s="171"/>
    </row>
    <row r="73" spans="1:7" s="66" customFormat="1" ht="14.4" x14ac:dyDescent="0.3">
      <c r="A73" s="201" t="s">
        <v>265</v>
      </c>
      <c r="B73" s="224"/>
      <c r="C73" s="192" t="s">
        <v>266</v>
      </c>
      <c r="D73" s="225"/>
      <c r="E73" s="225"/>
      <c r="F73" s="226"/>
      <c r="G73" s="171"/>
    </row>
    <row r="74" spans="1:7" s="66" customFormat="1" ht="14.4" x14ac:dyDescent="0.3">
      <c r="A74" s="201" t="s">
        <v>267</v>
      </c>
      <c r="B74" s="224"/>
      <c r="C74" s="192" t="s">
        <v>268</v>
      </c>
      <c r="D74" s="225"/>
      <c r="E74" s="225"/>
      <c r="F74" s="227"/>
      <c r="G74" s="171"/>
    </row>
    <row r="75" spans="1:7" s="66" customFormat="1" x14ac:dyDescent="0.3">
      <c r="A75" s="174" t="s">
        <v>269</v>
      </c>
      <c r="B75" s="175"/>
      <c r="C75" s="171" t="s">
        <v>270</v>
      </c>
      <c r="D75" s="204"/>
      <c r="E75" s="204"/>
      <c r="F75" s="228"/>
      <c r="G75" s="229"/>
    </row>
    <row r="76" spans="1:7" s="66" customFormat="1" ht="27.6" x14ac:dyDescent="0.3">
      <c r="A76" s="174" t="s">
        <v>271</v>
      </c>
      <c r="B76" s="175"/>
      <c r="C76" s="176" t="s">
        <v>272</v>
      </c>
      <c r="D76" s="181"/>
      <c r="E76" s="181"/>
      <c r="F76" s="178"/>
      <c r="G76" s="175"/>
    </row>
    <row r="77" spans="1:7" s="66" customFormat="1" ht="31.2" x14ac:dyDescent="0.3">
      <c r="A77" s="201" t="s">
        <v>273</v>
      </c>
      <c r="B77" s="189"/>
      <c r="C77" s="190" t="s">
        <v>274</v>
      </c>
      <c r="D77" s="181"/>
      <c r="E77" s="181"/>
      <c r="F77" s="178"/>
      <c r="G77" s="230" t="s">
        <v>275</v>
      </c>
    </row>
    <row r="78" spans="1:7" s="66" customFormat="1" ht="14.4" x14ac:dyDescent="0.3">
      <c r="A78" s="201" t="s">
        <v>276</v>
      </c>
      <c r="B78" s="189"/>
      <c r="C78" s="192" t="s">
        <v>277</v>
      </c>
      <c r="D78" s="181"/>
      <c r="E78" s="181"/>
      <c r="F78" s="178"/>
      <c r="G78" s="229"/>
    </row>
    <row r="79" spans="1:7" s="66" customFormat="1" ht="14.4" x14ac:dyDescent="0.3">
      <c r="A79" s="201" t="s">
        <v>278</v>
      </c>
      <c r="B79" s="189"/>
      <c r="C79" s="192" t="s">
        <v>279</v>
      </c>
      <c r="D79" s="181"/>
      <c r="E79" s="181"/>
      <c r="F79" s="178"/>
      <c r="G79" s="229"/>
    </row>
    <row r="80" spans="1:7" s="66" customFormat="1" ht="15.6" x14ac:dyDescent="0.3">
      <c r="A80" s="201" t="s">
        <v>280</v>
      </c>
      <c r="B80" s="189"/>
      <c r="C80" s="192" t="s">
        <v>281</v>
      </c>
      <c r="D80" s="181"/>
      <c r="E80" s="181"/>
      <c r="F80" s="178"/>
      <c r="G80" s="230" t="s">
        <v>282</v>
      </c>
    </row>
    <row r="81" spans="1:7" s="66" customFormat="1" ht="14.4" x14ac:dyDescent="0.3">
      <c r="A81" s="201" t="s">
        <v>283</v>
      </c>
      <c r="B81" s="189"/>
      <c r="C81" s="192" t="s">
        <v>284</v>
      </c>
      <c r="D81" s="181"/>
      <c r="E81" s="181"/>
      <c r="F81" s="178"/>
      <c r="G81" s="229"/>
    </row>
    <row r="82" spans="1:7" s="66" customFormat="1" ht="14.4" x14ac:dyDescent="0.3">
      <c r="A82" s="201" t="s">
        <v>285</v>
      </c>
      <c r="B82" s="189"/>
      <c r="C82" s="192" t="s">
        <v>286</v>
      </c>
      <c r="D82" s="181"/>
      <c r="E82" s="181"/>
      <c r="F82" s="178"/>
      <c r="G82" s="229"/>
    </row>
    <row r="83" spans="1:7" s="66" customFormat="1" ht="14.4" x14ac:dyDescent="0.3">
      <c r="A83" s="201" t="s">
        <v>287</v>
      </c>
      <c r="B83" s="189"/>
      <c r="C83" s="192" t="s">
        <v>288</v>
      </c>
      <c r="D83" s="181"/>
      <c r="E83" s="181"/>
      <c r="F83" s="178"/>
      <c r="G83" s="229"/>
    </row>
    <row r="84" spans="1:7" s="66" customFormat="1" ht="14.4" x14ac:dyDescent="0.3">
      <c r="A84" s="201" t="s">
        <v>289</v>
      </c>
      <c r="B84" s="189"/>
      <c r="C84" s="192" t="s">
        <v>290</v>
      </c>
      <c r="D84" s="181"/>
      <c r="E84" s="181"/>
      <c r="F84" s="185"/>
      <c r="G84" s="175"/>
    </row>
    <row r="85" spans="1:7" s="66" customFormat="1" ht="55.8" x14ac:dyDescent="0.3">
      <c r="A85" s="206" t="s">
        <v>291</v>
      </c>
      <c r="B85" s="189"/>
      <c r="C85" s="190" t="s">
        <v>292</v>
      </c>
      <c r="D85" s="181"/>
      <c r="E85" s="181"/>
      <c r="F85" s="178"/>
      <c r="G85" s="175"/>
    </row>
    <row r="86" spans="1:7" s="66" customFormat="1" ht="15.6" x14ac:dyDescent="0.3">
      <c r="A86" s="206" t="s">
        <v>293</v>
      </c>
      <c r="B86" s="189"/>
      <c r="C86" s="192" t="s">
        <v>277</v>
      </c>
      <c r="D86" s="181"/>
      <c r="E86" s="181"/>
      <c r="F86" s="178"/>
      <c r="G86" s="231" t="s">
        <v>294</v>
      </c>
    </row>
    <row r="87" spans="1:7" s="66" customFormat="1" ht="17.399999999999999" x14ac:dyDescent="0.3">
      <c r="A87" s="206" t="s">
        <v>295</v>
      </c>
      <c r="B87" s="189"/>
      <c r="C87" s="192" t="s">
        <v>279</v>
      </c>
      <c r="D87" s="181"/>
      <c r="E87" s="181"/>
      <c r="F87" s="178"/>
      <c r="G87" s="232"/>
    </row>
    <row r="88" spans="1:7" s="66" customFormat="1" ht="17.399999999999999" x14ac:dyDescent="0.3">
      <c r="A88" s="206" t="s">
        <v>296</v>
      </c>
      <c r="B88" s="189"/>
      <c r="C88" s="192" t="s">
        <v>281</v>
      </c>
      <c r="D88" s="181"/>
      <c r="E88" s="181"/>
      <c r="F88" s="178"/>
      <c r="G88" s="232"/>
    </row>
    <row r="89" spans="1:7" s="66" customFormat="1" ht="17.399999999999999" x14ac:dyDescent="0.3">
      <c r="A89" s="206" t="s">
        <v>297</v>
      </c>
      <c r="B89" s="189"/>
      <c r="C89" s="192" t="s">
        <v>284</v>
      </c>
      <c r="D89" s="181"/>
      <c r="E89" s="181"/>
      <c r="F89" s="178"/>
      <c r="G89" s="232"/>
    </row>
    <row r="90" spans="1:7" s="66" customFormat="1" ht="17.399999999999999" x14ac:dyDescent="0.3">
      <c r="A90" s="206" t="s">
        <v>298</v>
      </c>
      <c r="B90" s="189"/>
      <c r="C90" s="192" t="s">
        <v>286</v>
      </c>
      <c r="D90" s="181"/>
      <c r="E90" s="181"/>
      <c r="F90" s="178"/>
      <c r="G90" s="232"/>
    </row>
    <row r="91" spans="1:7" s="66" customFormat="1" ht="17.399999999999999" x14ac:dyDescent="0.3">
      <c r="A91" s="206" t="s">
        <v>299</v>
      </c>
      <c r="B91" s="189"/>
      <c r="C91" s="192" t="s">
        <v>288</v>
      </c>
      <c r="D91" s="181"/>
      <c r="E91" s="181"/>
      <c r="F91" s="178"/>
      <c r="G91" s="232"/>
    </row>
    <row r="92" spans="1:7" s="66" customFormat="1" ht="17.399999999999999" x14ac:dyDescent="0.3">
      <c r="A92" s="206" t="s">
        <v>300</v>
      </c>
      <c r="B92" s="189"/>
      <c r="C92" s="192" t="s">
        <v>290</v>
      </c>
      <c r="D92" s="181"/>
      <c r="E92" s="181"/>
      <c r="F92" s="185"/>
      <c r="G92" s="232"/>
    </row>
    <row r="93" spans="1:7" s="66" customFormat="1" x14ac:dyDescent="0.3">
      <c r="A93" s="203" t="s">
        <v>301</v>
      </c>
      <c r="B93" s="175"/>
      <c r="C93" s="171" t="s">
        <v>302</v>
      </c>
      <c r="D93" s="204"/>
      <c r="E93" s="204"/>
      <c r="F93" s="233"/>
      <c r="G93" s="175"/>
    </row>
    <row r="94" spans="1:7" s="66" customFormat="1" ht="42" x14ac:dyDescent="0.3">
      <c r="A94" s="206" t="s">
        <v>303</v>
      </c>
      <c r="B94" s="189"/>
      <c r="C94" s="190" t="s">
        <v>304</v>
      </c>
      <c r="D94" s="181"/>
      <c r="E94" s="181"/>
      <c r="F94" s="178"/>
      <c r="G94" s="175"/>
    </row>
    <row r="95" spans="1:7" s="66" customFormat="1" ht="14.4" x14ac:dyDescent="0.3">
      <c r="A95" s="206" t="s">
        <v>305</v>
      </c>
      <c r="B95" s="189"/>
      <c r="C95" s="192" t="s">
        <v>306</v>
      </c>
      <c r="D95" s="181"/>
      <c r="E95" s="181"/>
      <c r="F95" s="178"/>
      <c r="G95" s="175"/>
    </row>
    <row r="96" spans="1:7" s="66" customFormat="1" ht="28.8" x14ac:dyDescent="0.3">
      <c r="A96" s="206" t="s">
        <v>307</v>
      </c>
      <c r="B96" s="189"/>
      <c r="C96" s="192" t="s">
        <v>1655</v>
      </c>
      <c r="D96" s="181"/>
      <c r="E96" s="181"/>
      <c r="F96" s="178"/>
      <c r="G96" s="175"/>
    </row>
    <row r="97" spans="1:7" s="66" customFormat="1" ht="14.4" x14ac:dyDescent="0.3">
      <c r="A97" s="206" t="s">
        <v>308</v>
      </c>
      <c r="B97" s="189"/>
      <c r="C97" s="192" t="s">
        <v>309</v>
      </c>
      <c r="D97" s="181"/>
      <c r="E97" s="181"/>
      <c r="F97" s="185"/>
      <c r="G97" s="175"/>
    </row>
    <row r="98" spans="1:7" s="66" customFormat="1" ht="41.4" x14ac:dyDescent="0.3">
      <c r="A98" s="203" t="s">
        <v>310</v>
      </c>
      <c r="B98" s="175"/>
      <c r="C98" s="176" t="s">
        <v>311</v>
      </c>
      <c r="D98" s="181"/>
      <c r="E98" s="181"/>
      <c r="F98" s="178"/>
      <c r="G98" s="175"/>
    </row>
    <row r="99" spans="1:7" s="66" customFormat="1" ht="27.6" x14ac:dyDescent="0.3">
      <c r="A99" s="203" t="s">
        <v>312</v>
      </c>
      <c r="B99" s="175"/>
      <c r="C99" s="176" t="s">
        <v>313</v>
      </c>
      <c r="D99" s="181"/>
      <c r="E99" s="181"/>
      <c r="F99" s="178"/>
      <c r="G99" s="175"/>
    </row>
    <row r="100" spans="1:7" s="66" customFormat="1" x14ac:dyDescent="0.3">
      <c r="A100" s="203" t="s">
        <v>314</v>
      </c>
      <c r="B100" s="175"/>
      <c r="C100" s="176" t="s">
        <v>315</v>
      </c>
      <c r="D100" s="181"/>
      <c r="E100" s="181"/>
      <c r="F100" s="178"/>
      <c r="G100" s="175"/>
    </row>
    <row r="101" spans="1:7" s="66" customFormat="1" x14ac:dyDescent="0.3">
      <c r="A101" s="203" t="s">
        <v>316</v>
      </c>
      <c r="B101" s="175"/>
      <c r="C101" s="176" t="s">
        <v>317</v>
      </c>
      <c r="D101" s="181"/>
      <c r="E101" s="181"/>
      <c r="F101" s="178"/>
      <c r="G101" s="175"/>
    </row>
    <row r="102" spans="1:7" s="66" customFormat="1" ht="27.6" x14ac:dyDescent="0.3">
      <c r="A102" s="203" t="s">
        <v>318</v>
      </c>
      <c r="B102" s="175"/>
      <c r="C102" s="176" t="s">
        <v>319</v>
      </c>
      <c r="D102" s="181"/>
      <c r="E102" s="181"/>
      <c r="F102" s="178"/>
      <c r="G102" s="175"/>
    </row>
    <row r="103" spans="1:7" s="66" customFormat="1" ht="27.6" x14ac:dyDescent="0.3">
      <c r="A103" s="203" t="s">
        <v>320</v>
      </c>
      <c r="B103" s="175"/>
      <c r="C103" s="176" t="s">
        <v>321</v>
      </c>
      <c r="D103" s="181"/>
      <c r="E103" s="181"/>
      <c r="F103" s="178"/>
      <c r="G103" s="175"/>
    </row>
    <row r="104" spans="1:7" s="66" customFormat="1" ht="27.6" x14ac:dyDescent="0.3">
      <c r="A104" s="203" t="s">
        <v>322</v>
      </c>
      <c r="B104" s="175"/>
      <c r="C104" s="176" t="s">
        <v>323</v>
      </c>
      <c r="D104" s="181"/>
      <c r="E104" s="181"/>
      <c r="F104" s="178"/>
      <c r="G104" s="234" t="s">
        <v>324</v>
      </c>
    </row>
    <row r="105" spans="1:7" s="66" customFormat="1" x14ac:dyDescent="0.3">
      <c r="A105" s="203" t="s">
        <v>325</v>
      </c>
      <c r="B105" s="175"/>
      <c r="C105" s="194" t="s">
        <v>326</v>
      </c>
      <c r="D105" s="204"/>
      <c r="E105" s="204"/>
      <c r="F105" s="233"/>
      <c r="G105" s="175"/>
    </row>
    <row r="106" spans="1:7" s="66" customFormat="1" ht="27.6" x14ac:dyDescent="0.3">
      <c r="A106" s="203" t="s">
        <v>327</v>
      </c>
      <c r="B106" s="175"/>
      <c r="C106" s="176" t="s">
        <v>328</v>
      </c>
      <c r="D106" s="181"/>
      <c r="E106" s="181"/>
      <c r="F106" s="178"/>
      <c r="G106" s="327" t="s">
        <v>329</v>
      </c>
    </row>
    <row r="107" spans="1:7" s="66" customFormat="1" ht="41.4" x14ac:dyDescent="0.3">
      <c r="A107" s="203" t="s">
        <v>330</v>
      </c>
      <c r="B107" s="175"/>
      <c r="C107" s="176" t="s">
        <v>331</v>
      </c>
      <c r="D107" s="181"/>
      <c r="E107" s="181"/>
      <c r="F107" s="185"/>
      <c r="G107" s="328"/>
    </row>
    <row r="108" spans="1:7" s="66" customFormat="1" x14ac:dyDescent="0.3">
      <c r="A108" s="235" t="s">
        <v>332</v>
      </c>
      <c r="B108" s="171" t="s">
        <v>50</v>
      </c>
      <c r="C108" s="176"/>
      <c r="D108" s="204"/>
      <c r="E108" s="204"/>
      <c r="F108" s="233"/>
      <c r="G108" s="175"/>
    </row>
    <row r="109" spans="1:7" s="66" customFormat="1" x14ac:dyDescent="0.3">
      <c r="A109" s="203" t="s">
        <v>333</v>
      </c>
      <c r="B109" s="175"/>
      <c r="C109" s="194" t="s">
        <v>334</v>
      </c>
      <c r="D109" s="204"/>
      <c r="E109" s="204"/>
      <c r="F109" s="233"/>
      <c r="G109" s="175"/>
    </row>
    <row r="110" spans="1:7" s="66" customFormat="1" ht="27.6" x14ac:dyDescent="0.3">
      <c r="A110" s="203" t="s">
        <v>335</v>
      </c>
      <c r="B110" s="175"/>
      <c r="C110" s="176" t="s">
        <v>336</v>
      </c>
      <c r="D110" s="181"/>
      <c r="E110" s="181"/>
      <c r="F110" s="178"/>
      <c r="G110" s="175"/>
    </row>
    <row r="111" spans="1:7" s="66" customFormat="1" ht="27.6" x14ac:dyDescent="0.3">
      <c r="A111" s="203" t="s">
        <v>337</v>
      </c>
      <c r="B111" s="175"/>
      <c r="C111" s="176" t="s">
        <v>338</v>
      </c>
      <c r="D111" s="181"/>
      <c r="E111" s="181"/>
      <c r="F111" s="178"/>
      <c r="G111" s="175"/>
    </row>
    <row r="112" spans="1:7" s="66" customFormat="1" ht="15.6" x14ac:dyDescent="0.3">
      <c r="A112" s="203" t="s">
        <v>339</v>
      </c>
      <c r="B112" s="175"/>
      <c r="C112" s="176" t="s">
        <v>340</v>
      </c>
      <c r="D112" s="181"/>
      <c r="E112" s="181"/>
      <c r="F112" s="178"/>
      <c r="G112" s="169" t="s">
        <v>341</v>
      </c>
    </row>
    <row r="113" spans="1:7" s="66" customFormat="1" ht="28.2" x14ac:dyDescent="0.3">
      <c r="A113" s="206" t="s">
        <v>342</v>
      </c>
      <c r="B113" s="189"/>
      <c r="C113" s="190" t="s">
        <v>343</v>
      </c>
      <c r="D113" s="181"/>
      <c r="E113" s="181"/>
      <c r="F113" s="178"/>
      <c r="G113" s="175"/>
    </row>
    <row r="114" spans="1:7" s="66" customFormat="1" ht="14.4" x14ac:dyDescent="0.3">
      <c r="A114" s="206" t="s">
        <v>344</v>
      </c>
      <c r="B114" s="189"/>
      <c r="C114" s="192" t="s">
        <v>345</v>
      </c>
      <c r="D114" s="181"/>
      <c r="E114" s="181"/>
      <c r="F114" s="178"/>
      <c r="G114" s="175"/>
    </row>
    <row r="115" spans="1:7" s="66" customFormat="1" ht="14.4" x14ac:dyDescent="0.3">
      <c r="A115" s="206" t="s">
        <v>346</v>
      </c>
      <c r="B115" s="189"/>
      <c r="C115" s="192" t="s">
        <v>347</v>
      </c>
      <c r="D115" s="181"/>
      <c r="E115" s="181"/>
      <c r="F115" s="178"/>
      <c r="G115" s="175"/>
    </row>
    <row r="116" spans="1:7" s="66" customFormat="1" ht="14.4" x14ac:dyDescent="0.3">
      <c r="A116" s="206" t="s">
        <v>348</v>
      </c>
      <c r="B116" s="189"/>
      <c r="C116" s="192" t="s">
        <v>349</v>
      </c>
      <c r="D116" s="181"/>
      <c r="E116" s="181"/>
      <c r="F116" s="178"/>
      <c r="G116" s="175"/>
    </row>
    <row r="117" spans="1:7" s="66" customFormat="1" ht="14.4" x14ac:dyDescent="0.3">
      <c r="A117" s="206" t="s">
        <v>350</v>
      </c>
      <c r="B117" s="189"/>
      <c r="C117" s="192" t="s">
        <v>351</v>
      </c>
      <c r="D117" s="181"/>
      <c r="E117" s="181"/>
      <c r="F117" s="185"/>
      <c r="G117" s="175"/>
    </row>
    <row r="118" spans="1:7" s="66" customFormat="1" ht="27.6" x14ac:dyDescent="0.3">
      <c r="A118" s="203" t="s">
        <v>352</v>
      </c>
      <c r="B118" s="175"/>
      <c r="C118" s="176" t="s">
        <v>353</v>
      </c>
      <c r="D118" s="181"/>
      <c r="E118" s="181"/>
      <c r="F118" s="178"/>
      <c r="G118" s="175"/>
    </row>
    <row r="119" spans="1:7" s="66" customFormat="1" ht="27.6" x14ac:dyDescent="0.3">
      <c r="A119" s="203" t="s">
        <v>354</v>
      </c>
      <c r="B119" s="175"/>
      <c r="C119" s="176" t="s">
        <v>355</v>
      </c>
      <c r="D119" s="181"/>
      <c r="E119" s="181"/>
      <c r="F119" s="178"/>
      <c r="G119" s="175"/>
    </row>
    <row r="120" spans="1:7" s="66" customFormat="1" ht="27.6" x14ac:dyDescent="0.3">
      <c r="A120" s="203" t="s">
        <v>356</v>
      </c>
      <c r="B120" s="175"/>
      <c r="C120" s="236" t="s">
        <v>357</v>
      </c>
      <c r="D120" s="181"/>
      <c r="E120" s="181"/>
      <c r="F120" s="178"/>
      <c r="G120" s="175"/>
    </row>
    <row r="121" spans="1:7" s="66" customFormat="1" x14ac:dyDescent="0.3">
      <c r="A121" s="203" t="s">
        <v>358</v>
      </c>
      <c r="B121" s="175"/>
      <c r="C121" s="194" t="s">
        <v>359</v>
      </c>
      <c r="D121" s="204"/>
      <c r="E121" s="204"/>
      <c r="F121" s="233"/>
      <c r="G121" s="175"/>
    </row>
    <row r="122" spans="1:7" s="66" customFormat="1" ht="27.6" x14ac:dyDescent="0.3">
      <c r="A122" s="203" t="s">
        <v>360</v>
      </c>
      <c r="B122" s="175"/>
      <c r="C122" s="176" t="s">
        <v>361</v>
      </c>
      <c r="D122" s="181"/>
      <c r="E122" s="181"/>
      <c r="F122" s="185"/>
      <c r="G122" s="169" t="s">
        <v>362</v>
      </c>
    </row>
    <row r="123" spans="1:7" s="66" customFormat="1" ht="27.6" x14ac:dyDescent="0.3">
      <c r="A123" s="203" t="s">
        <v>363</v>
      </c>
      <c r="B123" s="175"/>
      <c r="C123" s="211" t="s">
        <v>364</v>
      </c>
      <c r="D123" s="181"/>
      <c r="E123" s="181"/>
      <c r="F123" s="178"/>
      <c r="G123" s="175"/>
    </row>
    <row r="124" spans="1:7" s="66" customFormat="1" ht="41.4" x14ac:dyDescent="0.3">
      <c r="A124" s="203" t="s">
        <v>365</v>
      </c>
      <c r="B124" s="175"/>
      <c r="C124" s="176" t="s">
        <v>366</v>
      </c>
      <c r="D124" s="181"/>
      <c r="E124" s="181"/>
      <c r="F124" s="178"/>
      <c r="G124" s="175"/>
    </row>
    <row r="125" spans="1:7" s="66" customFormat="1" x14ac:dyDescent="0.3">
      <c r="A125" s="203" t="s">
        <v>367</v>
      </c>
      <c r="B125" s="175"/>
      <c r="C125" s="171" t="s">
        <v>368</v>
      </c>
      <c r="D125" s="204"/>
      <c r="E125" s="204"/>
      <c r="F125" s="233"/>
      <c r="G125" s="175"/>
    </row>
    <row r="126" spans="1:7" s="66" customFormat="1" ht="41.4" x14ac:dyDescent="0.3">
      <c r="A126" s="203" t="s">
        <v>369</v>
      </c>
      <c r="B126" s="175"/>
      <c r="C126" s="176" t="s">
        <v>370</v>
      </c>
      <c r="D126" s="181"/>
      <c r="E126" s="181"/>
      <c r="F126" s="178"/>
      <c r="G126" s="186" t="s">
        <v>371</v>
      </c>
    </row>
    <row r="127" spans="1:7" s="66" customFormat="1" ht="41.4" x14ac:dyDescent="0.3">
      <c r="A127" s="203" t="s">
        <v>372</v>
      </c>
      <c r="B127" s="175"/>
      <c r="C127" s="176" t="s">
        <v>373</v>
      </c>
      <c r="D127" s="181"/>
      <c r="E127" s="181"/>
      <c r="F127" s="185"/>
      <c r="G127" s="237"/>
    </row>
    <row r="128" spans="1:7" s="66" customFormat="1" ht="27.6" x14ac:dyDescent="0.3">
      <c r="A128" s="203" t="s">
        <v>374</v>
      </c>
      <c r="B128" s="175"/>
      <c r="C128" s="176" t="s">
        <v>375</v>
      </c>
      <c r="D128" s="181"/>
      <c r="E128" s="181"/>
      <c r="F128" s="185"/>
      <c r="G128" s="237"/>
    </row>
    <row r="129" spans="1:7" s="66" customFormat="1" x14ac:dyDescent="0.3">
      <c r="A129" s="235" t="s">
        <v>376</v>
      </c>
      <c r="B129" s="171" t="s">
        <v>377</v>
      </c>
      <c r="C129" s="176"/>
      <c r="D129" s="204"/>
      <c r="E129" s="204"/>
      <c r="F129" s="233"/>
      <c r="G129" s="175"/>
    </row>
    <row r="130" spans="1:7" s="66" customFormat="1" x14ac:dyDescent="0.3">
      <c r="A130" s="203" t="s">
        <v>378</v>
      </c>
      <c r="B130" s="175"/>
      <c r="C130" s="194" t="s">
        <v>379</v>
      </c>
      <c r="D130" s="204"/>
      <c r="E130" s="204"/>
      <c r="F130" s="233"/>
      <c r="G130" s="175"/>
    </row>
    <row r="131" spans="1:7" s="66" customFormat="1" ht="27.6" x14ac:dyDescent="0.3">
      <c r="A131" s="203" t="s">
        <v>380</v>
      </c>
      <c r="B131" s="175"/>
      <c r="C131" s="176" t="s">
        <v>381</v>
      </c>
      <c r="D131" s="181"/>
      <c r="E131" s="181"/>
      <c r="F131" s="178"/>
      <c r="G131" s="175"/>
    </row>
    <row r="132" spans="1:7" s="66" customFormat="1" ht="27.6" x14ac:dyDescent="0.3">
      <c r="A132" s="203" t="s">
        <v>382</v>
      </c>
      <c r="B132" s="175"/>
      <c r="C132" s="176" t="s">
        <v>383</v>
      </c>
      <c r="D132" s="181"/>
      <c r="E132" s="181"/>
      <c r="F132" s="178"/>
      <c r="G132" s="175"/>
    </row>
    <row r="133" spans="1:7" s="66" customFormat="1" ht="27.6" x14ac:dyDescent="0.3">
      <c r="A133" s="203" t="s">
        <v>384</v>
      </c>
      <c r="B133" s="175"/>
      <c r="C133" s="176" t="s">
        <v>385</v>
      </c>
      <c r="D133" s="181"/>
      <c r="E133" s="181"/>
      <c r="F133" s="178"/>
      <c r="G133" s="175"/>
    </row>
    <row r="134" spans="1:7" s="66" customFormat="1" ht="41.4" x14ac:dyDescent="0.3">
      <c r="A134" s="203" t="s">
        <v>386</v>
      </c>
      <c r="B134" s="175"/>
      <c r="C134" s="176" t="s">
        <v>387</v>
      </c>
      <c r="D134" s="181"/>
      <c r="E134" s="181"/>
      <c r="F134" s="185"/>
      <c r="G134" s="175"/>
    </row>
    <row r="135" spans="1:7" s="66" customFormat="1" x14ac:dyDescent="0.3">
      <c r="A135" s="203" t="s">
        <v>388</v>
      </c>
      <c r="B135" s="175"/>
      <c r="C135" s="194" t="s">
        <v>389</v>
      </c>
      <c r="D135" s="204"/>
      <c r="E135" s="204"/>
      <c r="F135" s="233"/>
      <c r="G135" s="175"/>
    </row>
    <row r="136" spans="1:7" s="66" customFormat="1" ht="27.6" x14ac:dyDescent="0.3">
      <c r="A136" s="203" t="s">
        <v>390</v>
      </c>
      <c r="B136" s="171"/>
      <c r="C136" s="176" t="s">
        <v>391</v>
      </c>
      <c r="D136" s="181"/>
      <c r="E136" s="181"/>
      <c r="F136" s="178"/>
      <c r="G136" s="175"/>
    </row>
    <row r="137" spans="1:7" s="66" customFormat="1" ht="41.4" x14ac:dyDescent="0.3">
      <c r="A137" s="203" t="s">
        <v>392</v>
      </c>
      <c r="B137" s="175"/>
      <c r="C137" s="176" t="s">
        <v>393</v>
      </c>
      <c r="D137" s="181"/>
      <c r="E137" s="181"/>
      <c r="F137" s="178"/>
      <c r="G137" s="175"/>
    </row>
    <row r="138" spans="1:7" s="66" customFormat="1" ht="27.6" x14ac:dyDescent="0.3">
      <c r="A138" s="203" t="s">
        <v>394</v>
      </c>
      <c r="B138" s="175"/>
      <c r="C138" s="176" t="s">
        <v>395</v>
      </c>
      <c r="D138" s="181"/>
      <c r="E138" s="181"/>
      <c r="F138" s="178"/>
      <c r="G138" s="175"/>
    </row>
    <row r="139" spans="1:7" s="66" customFormat="1" ht="27.6" x14ac:dyDescent="0.3">
      <c r="A139" s="203" t="s">
        <v>396</v>
      </c>
      <c r="B139" s="175"/>
      <c r="C139" s="176" t="s">
        <v>397</v>
      </c>
      <c r="D139" s="181"/>
      <c r="E139" s="181"/>
      <c r="F139" s="178"/>
      <c r="G139" s="175"/>
    </row>
    <row r="140" spans="1:7" s="66" customFormat="1" ht="69" x14ac:dyDescent="0.3">
      <c r="A140" s="203" t="s">
        <v>398</v>
      </c>
      <c r="B140" s="175"/>
      <c r="C140" s="176" t="s">
        <v>399</v>
      </c>
      <c r="D140" s="181"/>
      <c r="E140" s="181"/>
      <c r="F140" s="185"/>
      <c r="G140" s="175"/>
    </row>
    <row r="141" spans="1:7" s="66" customFormat="1" x14ac:dyDescent="0.3">
      <c r="A141" s="203" t="s">
        <v>400</v>
      </c>
      <c r="B141" s="175"/>
      <c r="C141" s="194" t="s">
        <v>401</v>
      </c>
      <c r="D141" s="204"/>
      <c r="E141" s="204"/>
      <c r="F141" s="233"/>
      <c r="G141" s="175"/>
    </row>
    <row r="142" spans="1:7" s="66" customFormat="1" ht="27.6" x14ac:dyDescent="0.3">
      <c r="A142" s="203" t="s">
        <v>402</v>
      </c>
      <c r="B142" s="175"/>
      <c r="C142" s="176" t="s">
        <v>403</v>
      </c>
      <c r="D142" s="181"/>
      <c r="E142" s="181"/>
      <c r="F142" s="178"/>
      <c r="G142" s="175"/>
    </row>
    <row r="143" spans="1:7" s="66" customFormat="1" ht="27.6" x14ac:dyDescent="0.3">
      <c r="A143" s="203" t="s">
        <v>404</v>
      </c>
      <c r="B143" s="175"/>
      <c r="C143" s="176" t="s">
        <v>405</v>
      </c>
      <c r="D143" s="181"/>
      <c r="E143" s="181"/>
      <c r="F143" s="178"/>
      <c r="G143" s="169" t="s">
        <v>406</v>
      </c>
    </row>
    <row r="144" spans="1:7" s="66" customFormat="1" ht="41.4" x14ac:dyDescent="0.3">
      <c r="A144" s="203" t="s">
        <v>407</v>
      </c>
      <c r="B144" s="175"/>
      <c r="C144" s="176" t="s">
        <v>408</v>
      </c>
      <c r="D144" s="181"/>
      <c r="E144" s="181"/>
      <c r="F144" s="178"/>
      <c r="G144" s="175"/>
    </row>
    <row r="145" spans="1:7" s="66" customFormat="1" ht="41.4" x14ac:dyDescent="0.3">
      <c r="A145" s="203" t="s">
        <v>409</v>
      </c>
      <c r="B145" s="175"/>
      <c r="C145" s="176" t="s">
        <v>410</v>
      </c>
      <c r="D145" s="181"/>
      <c r="E145" s="181"/>
      <c r="F145" s="185"/>
      <c r="G145" s="175"/>
    </row>
    <row r="146" spans="1:7" s="66" customFormat="1" ht="14.4" thickBot="1" x14ac:dyDescent="0.35">
      <c r="A146" s="212"/>
      <c r="B146" s="213"/>
      <c r="C146" s="214"/>
      <c r="D146" s="215"/>
      <c r="E146" s="215"/>
      <c r="F146" s="216"/>
      <c r="G146" s="213"/>
    </row>
    <row r="147" spans="1:7" s="66" customFormat="1" ht="17.399999999999999" x14ac:dyDescent="0.3">
      <c r="A147" s="238" t="s">
        <v>411</v>
      </c>
      <c r="B147" s="239" t="s">
        <v>412</v>
      </c>
      <c r="C147" s="240"/>
      <c r="D147" s="241"/>
      <c r="E147" s="241"/>
      <c r="F147" s="242"/>
      <c r="G147" s="243"/>
    </row>
    <row r="148" spans="1:7" s="66" customFormat="1" ht="17.399999999999999" x14ac:dyDescent="0.3">
      <c r="A148" s="166"/>
      <c r="B148" s="169" t="s">
        <v>413</v>
      </c>
      <c r="C148" s="169"/>
      <c r="D148" s="329"/>
      <c r="E148" s="330"/>
      <c r="F148" s="331"/>
      <c r="G148" s="82"/>
    </row>
    <row r="149" spans="1:7" s="66" customFormat="1" x14ac:dyDescent="0.3">
      <c r="A149" s="170" t="s">
        <v>414</v>
      </c>
      <c r="B149" s="171" t="s">
        <v>415</v>
      </c>
      <c r="C149" s="171"/>
      <c r="D149" s="172"/>
      <c r="E149" s="172"/>
      <c r="F149" s="172"/>
      <c r="G149" s="171"/>
    </row>
    <row r="150" spans="1:7" s="66" customFormat="1" ht="27.6" x14ac:dyDescent="0.3">
      <c r="A150" s="174" t="s">
        <v>416</v>
      </c>
      <c r="B150" s="175"/>
      <c r="C150" s="176" t="s">
        <v>417</v>
      </c>
      <c r="D150" s="181"/>
      <c r="E150" s="181"/>
      <c r="F150" s="178"/>
      <c r="G150" s="229"/>
    </row>
    <row r="151" spans="1:7" s="66" customFormat="1" ht="27.6" x14ac:dyDescent="0.3">
      <c r="A151" s="174" t="s">
        <v>418</v>
      </c>
      <c r="B151" s="175"/>
      <c r="C151" s="176" t="s">
        <v>419</v>
      </c>
      <c r="D151" s="181"/>
      <c r="E151" s="181"/>
      <c r="F151" s="178"/>
      <c r="G151" s="244"/>
    </row>
    <row r="152" spans="1:7" s="66" customFormat="1" ht="27.6" x14ac:dyDescent="0.3">
      <c r="A152" s="174" t="s">
        <v>420</v>
      </c>
      <c r="B152" s="175"/>
      <c r="C152" s="176" t="s">
        <v>421</v>
      </c>
      <c r="D152" s="181"/>
      <c r="E152" s="181"/>
      <c r="F152" s="185"/>
      <c r="G152" s="229"/>
    </row>
    <row r="153" spans="1:7" s="66" customFormat="1" ht="27.6" x14ac:dyDescent="0.3">
      <c r="A153" s="174" t="s">
        <v>422</v>
      </c>
      <c r="B153" s="175"/>
      <c r="C153" s="176" t="s">
        <v>423</v>
      </c>
      <c r="D153" s="181"/>
      <c r="E153" s="181"/>
      <c r="F153" s="178"/>
      <c r="G153" s="175"/>
    </row>
    <row r="154" spans="1:7" s="66" customFormat="1" ht="41.4" x14ac:dyDescent="0.3">
      <c r="A154" s="174" t="s">
        <v>424</v>
      </c>
      <c r="B154" s="175"/>
      <c r="C154" s="176" t="s">
        <v>425</v>
      </c>
      <c r="D154" s="181"/>
      <c r="E154" s="181"/>
      <c r="F154" s="178"/>
      <c r="G154" s="82"/>
    </row>
    <row r="155" spans="1:7" s="66" customFormat="1" ht="41.4" x14ac:dyDescent="0.3">
      <c r="A155" s="174" t="s">
        <v>426</v>
      </c>
      <c r="B155" s="175"/>
      <c r="C155" s="176" t="s">
        <v>427</v>
      </c>
      <c r="D155" s="181"/>
      <c r="E155" s="181"/>
      <c r="F155" s="178"/>
      <c r="G155" s="175"/>
    </row>
    <row r="156" spans="1:7" s="66" customFormat="1" x14ac:dyDescent="0.3">
      <c r="A156" s="170" t="s">
        <v>428</v>
      </c>
      <c r="B156" s="171" t="s">
        <v>429</v>
      </c>
      <c r="C156" s="176"/>
      <c r="D156" s="204"/>
      <c r="E156" s="204"/>
      <c r="F156" s="233"/>
      <c r="G156" s="175"/>
    </row>
    <row r="157" spans="1:7" s="66" customFormat="1" ht="28.2" x14ac:dyDescent="0.3">
      <c r="A157" s="201" t="s">
        <v>430</v>
      </c>
      <c r="B157" s="189"/>
      <c r="C157" s="190" t="s">
        <v>431</v>
      </c>
      <c r="D157" s="181"/>
      <c r="E157" s="181"/>
      <c r="F157" s="178"/>
      <c r="G157" s="175"/>
    </row>
    <row r="158" spans="1:7" s="66" customFormat="1" ht="14.4" x14ac:dyDescent="0.3">
      <c r="A158" s="201" t="s">
        <v>432</v>
      </c>
      <c r="B158" s="189"/>
      <c r="C158" s="192" t="s">
        <v>433</v>
      </c>
      <c r="D158" s="181"/>
      <c r="E158" s="181"/>
      <c r="F158" s="178"/>
      <c r="G158" s="175"/>
    </row>
    <row r="159" spans="1:7" s="66" customFormat="1" ht="14.4" x14ac:dyDescent="0.3">
      <c r="A159" s="201" t="s">
        <v>434</v>
      </c>
      <c r="B159" s="189"/>
      <c r="C159" s="192" t="s">
        <v>435</v>
      </c>
      <c r="D159" s="181"/>
      <c r="E159" s="181"/>
      <c r="F159" s="178"/>
      <c r="G159" s="175"/>
    </row>
    <row r="160" spans="1:7" s="66" customFormat="1" ht="27.6" x14ac:dyDescent="0.3">
      <c r="A160" s="203" t="s">
        <v>436</v>
      </c>
      <c r="B160" s="175"/>
      <c r="C160" s="176" t="s">
        <v>437</v>
      </c>
      <c r="D160" s="181"/>
      <c r="E160" s="181"/>
      <c r="F160" s="178"/>
      <c r="G160" s="169" t="s">
        <v>438</v>
      </c>
    </row>
    <row r="161" spans="1:7" s="66" customFormat="1" ht="42" x14ac:dyDescent="0.3">
      <c r="A161" s="206" t="s">
        <v>439</v>
      </c>
      <c r="B161" s="189"/>
      <c r="C161" s="190" t="s">
        <v>440</v>
      </c>
      <c r="D161" s="181"/>
      <c r="E161" s="181"/>
      <c r="F161" s="178"/>
      <c r="G161" s="175"/>
    </row>
    <row r="162" spans="1:7" s="66" customFormat="1" ht="14.4" x14ac:dyDescent="0.3">
      <c r="A162" s="206" t="s">
        <v>441</v>
      </c>
      <c r="B162" s="189"/>
      <c r="C162" s="192" t="s">
        <v>442</v>
      </c>
      <c r="D162" s="181"/>
      <c r="E162" s="181"/>
      <c r="F162" s="178"/>
      <c r="G162" s="175"/>
    </row>
    <row r="163" spans="1:7" s="66" customFormat="1" ht="14.4" x14ac:dyDescent="0.3">
      <c r="A163" s="206" t="s">
        <v>443</v>
      </c>
      <c r="B163" s="189"/>
      <c r="C163" s="192" t="s">
        <v>444</v>
      </c>
      <c r="D163" s="181"/>
      <c r="E163" s="181"/>
      <c r="F163" s="178"/>
      <c r="G163" s="175"/>
    </row>
    <row r="164" spans="1:7" s="66" customFormat="1" ht="42" x14ac:dyDescent="0.3">
      <c r="A164" s="206" t="s">
        <v>445</v>
      </c>
      <c r="B164" s="189"/>
      <c r="C164" s="190" t="s">
        <v>446</v>
      </c>
      <c r="D164" s="181"/>
      <c r="E164" s="181"/>
      <c r="F164" s="178"/>
      <c r="G164" s="82"/>
    </row>
    <row r="165" spans="1:7" s="66" customFormat="1" ht="14.4" x14ac:dyDescent="0.3">
      <c r="A165" s="206" t="s">
        <v>447</v>
      </c>
      <c r="B165" s="189"/>
      <c r="C165" s="192" t="s">
        <v>448</v>
      </c>
      <c r="D165" s="181"/>
      <c r="E165" s="181"/>
      <c r="F165" s="178"/>
      <c r="G165" s="175"/>
    </row>
    <row r="166" spans="1:7" s="66" customFormat="1" ht="14.4" x14ac:dyDescent="0.3">
      <c r="A166" s="206" t="s">
        <v>449</v>
      </c>
      <c r="B166" s="189"/>
      <c r="C166" s="192" t="s">
        <v>450</v>
      </c>
      <c r="D166" s="181"/>
      <c r="E166" s="181"/>
      <c r="F166" s="178"/>
      <c r="G166" s="175"/>
    </row>
    <row r="167" spans="1:7" s="66" customFormat="1" ht="41.4" x14ac:dyDescent="0.3">
      <c r="A167" s="203" t="s">
        <v>451</v>
      </c>
      <c r="B167" s="175"/>
      <c r="C167" s="176" t="s">
        <v>452</v>
      </c>
      <c r="D167" s="181"/>
      <c r="E167" s="181"/>
      <c r="F167" s="178"/>
      <c r="G167" s="169" t="s">
        <v>453</v>
      </c>
    </row>
    <row r="168" spans="1:7" s="66" customFormat="1" x14ac:dyDescent="0.3">
      <c r="A168" s="235" t="s">
        <v>454</v>
      </c>
      <c r="B168" s="171" t="s">
        <v>455</v>
      </c>
      <c r="C168" s="213"/>
      <c r="D168" s="204"/>
      <c r="E168" s="204"/>
      <c r="F168" s="233"/>
      <c r="G168" s="175"/>
    </row>
    <row r="169" spans="1:7" s="66" customFormat="1" ht="27.6" x14ac:dyDescent="0.3">
      <c r="A169" s="203" t="s">
        <v>456</v>
      </c>
      <c r="B169" s="175"/>
      <c r="C169" s="176" t="s">
        <v>457</v>
      </c>
      <c r="D169" s="181"/>
      <c r="E169" s="181"/>
      <c r="F169" s="178"/>
      <c r="G169" s="175"/>
    </row>
    <row r="170" spans="1:7" s="66" customFormat="1" ht="27.6" x14ac:dyDescent="0.3">
      <c r="A170" s="203" t="s">
        <v>458</v>
      </c>
      <c r="B170" s="175"/>
      <c r="C170" s="176" t="s">
        <v>1652</v>
      </c>
      <c r="D170" s="181"/>
      <c r="E170" s="181"/>
      <c r="F170" s="178"/>
      <c r="G170" s="175"/>
    </row>
    <row r="171" spans="1:7" s="66" customFormat="1" ht="27.6" x14ac:dyDescent="0.3">
      <c r="A171" s="203" t="s">
        <v>459</v>
      </c>
      <c r="B171" s="175"/>
      <c r="C171" s="176" t="s">
        <v>460</v>
      </c>
      <c r="D171" s="181"/>
      <c r="E171" s="181"/>
      <c r="F171" s="178"/>
      <c r="G171" s="213"/>
    </row>
    <row r="172" spans="1:7" s="153" customFormat="1" ht="44.25" customHeight="1" x14ac:dyDescent="0.3">
      <c r="A172" s="203" t="s">
        <v>461</v>
      </c>
      <c r="B172" s="176"/>
      <c r="C172" s="176" t="s">
        <v>462</v>
      </c>
      <c r="D172" s="195"/>
      <c r="E172" s="195"/>
      <c r="F172" s="178"/>
      <c r="G172" s="245" t="s">
        <v>463</v>
      </c>
    </row>
    <row r="173" spans="1:7" s="66" customFormat="1" ht="27.6" x14ac:dyDescent="0.3">
      <c r="A173" s="203" t="s">
        <v>464</v>
      </c>
      <c r="B173" s="175"/>
      <c r="C173" s="176" t="s">
        <v>465</v>
      </c>
      <c r="D173" s="181"/>
      <c r="E173" s="181"/>
      <c r="F173" s="178"/>
      <c r="G173" s="175"/>
    </row>
    <row r="174" spans="1:7" s="66" customFormat="1" x14ac:dyDescent="0.3">
      <c r="A174" s="235" t="s">
        <v>466</v>
      </c>
      <c r="B174" s="171" t="s">
        <v>64</v>
      </c>
      <c r="C174" s="213"/>
      <c r="D174" s="204"/>
      <c r="E174" s="204"/>
      <c r="F174" s="233"/>
      <c r="G174" s="175"/>
    </row>
    <row r="175" spans="1:7" s="66" customFormat="1" x14ac:dyDescent="0.3">
      <c r="A175" s="203" t="s">
        <v>467</v>
      </c>
      <c r="B175" s="175"/>
      <c r="C175" s="176" t="s">
        <v>468</v>
      </c>
      <c r="D175" s="181"/>
      <c r="E175" s="181"/>
      <c r="F175" s="178"/>
      <c r="G175" s="175"/>
    </row>
    <row r="176" spans="1:7" s="66" customFormat="1" ht="27.6" x14ac:dyDescent="0.3">
      <c r="A176" s="203" t="s">
        <v>469</v>
      </c>
      <c r="B176" s="175"/>
      <c r="C176" s="176" t="s">
        <v>470</v>
      </c>
      <c r="D176" s="181"/>
      <c r="E176" s="181"/>
      <c r="F176" s="178"/>
      <c r="G176" s="175"/>
    </row>
    <row r="177" spans="1:7" s="66" customFormat="1" ht="27.6" x14ac:dyDescent="0.3">
      <c r="A177" s="203" t="s">
        <v>471</v>
      </c>
      <c r="B177" s="175"/>
      <c r="C177" s="176" t="s">
        <v>472</v>
      </c>
      <c r="D177" s="181"/>
      <c r="E177" s="181"/>
      <c r="F177" s="178"/>
      <c r="G177" s="175"/>
    </row>
    <row r="178" spans="1:7" s="153" customFormat="1" ht="41.4" x14ac:dyDescent="0.3">
      <c r="A178" s="203" t="s">
        <v>473</v>
      </c>
      <c r="B178" s="176"/>
      <c r="C178" s="176" t="s">
        <v>474</v>
      </c>
      <c r="D178" s="195"/>
      <c r="E178" s="195"/>
      <c r="F178" s="185"/>
      <c r="G178" s="176"/>
    </row>
    <row r="179" spans="1:7" s="66" customFormat="1" x14ac:dyDescent="0.3">
      <c r="A179" s="235" t="s">
        <v>475</v>
      </c>
      <c r="B179" s="171" t="s">
        <v>476</v>
      </c>
      <c r="C179" s="176"/>
      <c r="D179" s="204"/>
      <c r="E179" s="204"/>
      <c r="F179" s="233"/>
      <c r="G179" s="175"/>
    </row>
    <row r="180" spans="1:7" s="66" customFormat="1" ht="27.6" x14ac:dyDescent="0.3">
      <c r="A180" s="203" t="s">
        <v>477</v>
      </c>
      <c r="B180" s="175"/>
      <c r="C180" s="176" t="s">
        <v>478</v>
      </c>
      <c r="D180" s="181"/>
      <c r="E180" s="181"/>
      <c r="F180" s="178"/>
      <c r="G180" s="175"/>
    </row>
    <row r="181" spans="1:7" s="66" customFormat="1" ht="41.4" x14ac:dyDescent="0.3">
      <c r="A181" s="203" t="s">
        <v>479</v>
      </c>
      <c r="B181" s="175"/>
      <c r="C181" s="176" t="s">
        <v>480</v>
      </c>
      <c r="D181" s="181"/>
      <c r="E181" s="181"/>
      <c r="F181" s="178"/>
      <c r="G181" s="175"/>
    </row>
    <row r="182" spans="1:7" s="66" customFormat="1" ht="27.6" x14ac:dyDescent="0.3">
      <c r="A182" s="203" t="s">
        <v>481</v>
      </c>
      <c r="B182" s="175"/>
      <c r="C182" s="176" t="s">
        <v>482</v>
      </c>
      <c r="D182" s="181"/>
      <c r="E182" s="181"/>
      <c r="F182" s="178"/>
      <c r="G182" s="175"/>
    </row>
    <row r="183" spans="1:7" s="66" customFormat="1" ht="39" x14ac:dyDescent="0.3">
      <c r="A183" s="203" t="s">
        <v>483</v>
      </c>
      <c r="B183" s="175"/>
      <c r="C183" s="176" t="s">
        <v>484</v>
      </c>
      <c r="D183" s="181"/>
      <c r="E183" s="181"/>
      <c r="F183" s="178"/>
      <c r="G183" s="175"/>
    </row>
    <row r="184" spans="1:7" s="66" customFormat="1" ht="27.6" x14ac:dyDescent="0.3">
      <c r="A184" s="203" t="s">
        <v>485</v>
      </c>
      <c r="B184" s="175"/>
      <c r="C184" s="176" t="s">
        <v>486</v>
      </c>
      <c r="D184" s="181"/>
      <c r="E184" s="181"/>
      <c r="F184" s="178"/>
      <c r="G184" s="175"/>
    </row>
    <row r="185" spans="1:7" s="66" customFormat="1" ht="50.4" x14ac:dyDescent="0.3">
      <c r="A185" s="203" t="s">
        <v>487</v>
      </c>
      <c r="B185" s="175"/>
      <c r="C185" s="176" t="s">
        <v>488</v>
      </c>
      <c r="D185" s="181"/>
      <c r="E185" s="181"/>
      <c r="F185" s="178"/>
      <c r="G185" s="175"/>
    </row>
    <row r="186" spans="1:7" s="66" customFormat="1" x14ac:dyDescent="0.3">
      <c r="A186" s="235" t="s">
        <v>489</v>
      </c>
      <c r="B186" s="171" t="s">
        <v>490</v>
      </c>
      <c r="C186" s="176"/>
      <c r="D186" s="204"/>
      <c r="E186" s="204"/>
      <c r="F186" s="233"/>
      <c r="G186" s="175"/>
    </row>
    <row r="187" spans="1:7" s="66" customFormat="1" ht="27.6" x14ac:dyDescent="0.3">
      <c r="A187" s="203" t="s">
        <v>491</v>
      </c>
      <c r="B187" s="175"/>
      <c r="C187" s="176" t="s">
        <v>492</v>
      </c>
      <c r="D187" s="181"/>
      <c r="E187" s="181"/>
      <c r="F187" s="178"/>
      <c r="G187" s="169" t="s">
        <v>493</v>
      </c>
    </row>
    <row r="188" spans="1:7" s="66" customFormat="1" ht="27.6" x14ac:dyDescent="0.3">
      <c r="A188" s="203" t="s">
        <v>494</v>
      </c>
      <c r="B188" s="175"/>
      <c r="C188" s="176" t="s">
        <v>495</v>
      </c>
      <c r="D188" s="181"/>
      <c r="E188" s="181"/>
      <c r="F188" s="178"/>
      <c r="G188" s="175"/>
    </row>
    <row r="189" spans="1:7" s="66" customFormat="1" ht="41.4" x14ac:dyDescent="0.3">
      <c r="A189" s="203" t="s">
        <v>496</v>
      </c>
      <c r="B189" s="175"/>
      <c r="C189" s="176" t="s">
        <v>497</v>
      </c>
      <c r="D189" s="181"/>
      <c r="E189" s="181"/>
      <c r="F189" s="185"/>
      <c r="G189" s="175"/>
    </row>
    <row r="190" spans="1:7" s="66" customFormat="1" ht="27.6" x14ac:dyDescent="0.3">
      <c r="A190" s="203" t="s">
        <v>498</v>
      </c>
      <c r="B190" s="175"/>
      <c r="C190" s="176" t="s">
        <v>499</v>
      </c>
      <c r="D190" s="181"/>
      <c r="E190" s="181"/>
      <c r="F190" s="178"/>
      <c r="G190" s="175"/>
    </row>
    <row r="191" spans="1:7" s="66" customFormat="1" ht="18" customHeight="1" x14ac:dyDescent="0.3">
      <c r="A191" s="203" t="s">
        <v>500</v>
      </c>
      <c r="B191" s="175"/>
      <c r="C191" s="176" t="s">
        <v>501</v>
      </c>
      <c r="D191" s="181"/>
      <c r="E191" s="181"/>
      <c r="F191" s="178"/>
      <c r="G191" s="175"/>
    </row>
    <row r="192" spans="1:7" s="66" customFormat="1" ht="27.6" x14ac:dyDescent="0.3">
      <c r="A192" s="203" t="s">
        <v>502</v>
      </c>
      <c r="B192" s="175"/>
      <c r="C192" s="176" t="s">
        <v>503</v>
      </c>
      <c r="D192" s="181"/>
      <c r="E192" s="181"/>
      <c r="F192" s="185"/>
      <c r="G192" s="175"/>
    </row>
    <row r="193" spans="1:7" s="66" customFormat="1" x14ac:dyDescent="0.3">
      <c r="A193" s="235" t="s">
        <v>504</v>
      </c>
      <c r="B193" s="171" t="s">
        <v>505</v>
      </c>
      <c r="C193" s="194"/>
      <c r="D193" s="204"/>
      <c r="E193" s="204"/>
      <c r="F193" s="233"/>
      <c r="G193" s="175"/>
    </row>
    <row r="194" spans="1:7" s="66" customFormat="1" ht="27.6" x14ac:dyDescent="0.3">
      <c r="A194" s="203" t="s">
        <v>506</v>
      </c>
      <c r="B194" s="175"/>
      <c r="C194" s="176" t="s">
        <v>507</v>
      </c>
      <c r="D194" s="181"/>
      <c r="E194" s="181"/>
      <c r="F194" s="178"/>
      <c r="G194" s="82"/>
    </row>
    <row r="195" spans="1:7" s="66" customFormat="1" ht="41.4" x14ac:dyDescent="0.3">
      <c r="A195" s="203" t="s">
        <v>508</v>
      </c>
      <c r="B195" s="175"/>
      <c r="C195" s="176" t="s">
        <v>509</v>
      </c>
      <c r="D195" s="181"/>
      <c r="E195" s="181"/>
      <c r="F195" s="185"/>
      <c r="G195" s="175"/>
    </row>
    <row r="196" spans="1:7" s="66" customFormat="1" ht="41.4" x14ac:dyDescent="0.3">
      <c r="A196" s="203" t="s">
        <v>510</v>
      </c>
      <c r="B196" s="175"/>
      <c r="C196" s="176" t="s">
        <v>511</v>
      </c>
      <c r="D196" s="181"/>
      <c r="E196" s="181"/>
      <c r="F196" s="185"/>
      <c r="G196" s="175"/>
    </row>
    <row r="197" spans="1:7" s="66" customFormat="1" x14ac:dyDescent="0.3">
      <c r="A197" s="235" t="s">
        <v>512</v>
      </c>
      <c r="B197" s="171" t="s">
        <v>513</v>
      </c>
      <c r="C197" s="246"/>
      <c r="D197" s="204"/>
      <c r="E197" s="204"/>
      <c r="F197" s="233"/>
      <c r="G197" s="175"/>
    </row>
    <row r="198" spans="1:7" s="66" customFormat="1" ht="56.4" x14ac:dyDescent="0.3">
      <c r="A198" s="206" t="s">
        <v>514</v>
      </c>
      <c r="B198" s="189"/>
      <c r="C198" s="190" t="s">
        <v>515</v>
      </c>
      <c r="D198" s="181"/>
      <c r="E198" s="181"/>
      <c r="F198" s="178"/>
      <c r="G198" s="175"/>
    </row>
    <row r="199" spans="1:7" s="66" customFormat="1" ht="14.4" x14ac:dyDescent="0.3">
      <c r="A199" s="197" t="s">
        <v>516</v>
      </c>
      <c r="B199" s="189"/>
      <c r="C199" s="192" t="s">
        <v>517</v>
      </c>
      <c r="D199" s="181"/>
      <c r="E199" s="181"/>
      <c r="F199" s="178"/>
      <c r="G199" s="175"/>
    </row>
    <row r="200" spans="1:7" s="66" customFormat="1" ht="14.4" x14ac:dyDescent="0.3">
      <c r="A200" s="197" t="s">
        <v>518</v>
      </c>
      <c r="B200" s="189"/>
      <c r="C200" s="192" t="s">
        <v>519</v>
      </c>
      <c r="D200" s="181"/>
      <c r="E200" s="181"/>
      <c r="F200" s="178"/>
      <c r="G200" s="175"/>
    </row>
    <row r="201" spans="1:7" s="66" customFormat="1" ht="14.4" x14ac:dyDescent="0.3">
      <c r="A201" s="197" t="s">
        <v>520</v>
      </c>
      <c r="B201" s="189"/>
      <c r="C201" s="192" t="s">
        <v>521</v>
      </c>
      <c r="D201" s="181"/>
      <c r="E201" s="181"/>
      <c r="F201" s="178"/>
      <c r="G201" s="175"/>
    </row>
    <row r="202" spans="1:7" s="66" customFormat="1" ht="14.4" x14ac:dyDescent="0.3">
      <c r="A202" s="197" t="s">
        <v>522</v>
      </c>
      <c r="B202" s="189"/>
      <c r="C202" s="192" t="s">
        <v>523</v>
      </c>
      <c r="D202" s="181"/>
      <c r="E202" s="181"/>
      <c r="F202" s="178"/>
      <c r="G202" s="175"/>
    </row>
    <row r="203" spans="1:7" s="66" customFormat="1" ht="14.4" x14ac:dyDescent="0.3">
      <c r="A203" s="197" t="s">
        <v>524</v>
      </c>
      <c r="B203" s="189"/>
      <c r="C203" s="192" t="s">
        <v>525</v>
      </c>
      <c r="D203" s="181"/>
      <c r="E203" s="181"/>
      <c r="F203" s="178"/>
      <c r="G203" s="175"/>
    </row>
    <row r="204" spans="1:7" s="66" customFormat="1" ht="14.4" x14ac:dyDescent="0.3">
      <c r="A204" s="197" t="s">
        <v>526</v>
      </c>
      <c r="B204" s="189"/>
      <c r="C204" s="192" t="s">
        <v>527</v>
      </c>
      <c r="D204" s="181"/>
      <c r="E204" s="181"/>
      <c r="F204" s="178"/>
      <c r="G204" s="175"/>
    </row>
    <row r="205" spans="1:7" s="66" customFormat="1" ht="14.4" x14ac:dyDescent="0.3">
      <c r="A205" s="197" t="s">
        <v>528</v>
      </c>
      <c r="B205" s="189"/>
      <c r="C205" s="192" t="s">
        <v>1654</v>
      </c>
      <c r="D205" s="181"/>
      <c r="E205" s="181"/>
      <c r="F205" s="178"/>
      <c r="G205" s="175"/>
    </row>
    <row r="206" spans="1:7" s="66" customFormat="1" ht="14.4" x14ac:dyDescent="0.3">
      <c r="A206" s="197" t="s">
        <v>529</v>
      </c>
      <c r="B206" s="189"/>
      <c r="C206" s="192" t="s">
        <v>530</v>
      </c>
      <c r="D206" s="181"/>
      <c r="E206" s="181"/>
      <c r="F206" s="178"/>
      <c r="G206" s="175"/>
    </row>
    <row r="207" spans="1:7" s="66" customFormat="1" ht="14.4" x14ac:dyDescent="0.3">
      <c r="A207" s="197" t="s">
        <v>531</v>
      </c>
      <c r="B207" s="189"/>
      <c r="C207" s="192" t="s">
        <v>532</v>
      </c>
      <c r="D207" s="181"/>
      <c r="E207" s="181"/>
      <c r="F207" s="178"/>
      <c r="G207" s="175"/>
    </row>
    <row r="208" spans="1:7" s="66" customFormat="1" ht="14.4" x14ac:dyDescent="0.3">
      <c r="A208" s="197" t="s">
        <v>533</v>
      </c>
      <c r="B208" s="189"/>
      <c r="C208" s="192" t="s">
        <v>534</v>
      </c>
      <c r="D208" s="181"/>
      <c r="E208" s="181"/>
      <c r="F208" s="178"/>
      <c r="G208" s="175"/>
    </row>
    <row r="209" spans="1:7" s="66" customFormat="1" ht="14.4" x14ac:dyDescent="0.3">
      <c r="A209" s="197" t="s">
        <v>535</v>
      </c>
      <c r="B209" s="189"/>
      <c r="C209" s="192" t="s">
        <v>536</v>
      </c>
      <c r="D209" s="181"/>
      <c r="E209" s="181"/>
      <c r="F209" s="178"/>
      <c r="G209" s="175"/>
    </row>
    <row r="210" spans="1:7" s="66" customFormat="1" ht="14.4" x14ac:dyDescent="0.3">
      <c r="A210" s="197" t="s">
        <v>537</v>
      </c>
      <c r="B210" s="189"/>
      <c r="C210" s="192" t="s">
        <v>538</v>
      </c>
      <c r="D210" s="181"/>
      <c r="E210" s="181"/>
      <c r="F210" s="178"/>
      <c r="G210" s="175"/>
    </row>
    <row r="211" spans="1:7" s="66" customFormat="1" ht="14.4" x14ac:dyDescent="0.3">
      <c r="A211" s="197" t="s">
        <v>539</v>
      </c>
      <c r="B211" s="189"/>
      <c r="C211" s="192" t="s">
        <v>540</v>
      </c>
      <c r="D211" s="181"/>
      <c r="E211" s="181"/>
      <c r="F211" s="178"/>
      <c r="G211" s="175"/>
    </row>
    <row r="212" spans="1:7" s="66" customFormat="1" ht="14.4" x14ac:dyDescent="0.3">
      <c r="A212" s="197" t="s">
        <v>541</v>
      </c>
      <c r="B212" s="189"/>
      <c r="C212" s="192" t="s">
        <v>542</v>
      </c>
      <c r="D212" s="181"/>
      <c r="E212" s="181"/>
      <c r="F212" s="178"/>
      <c r="G212" s="175"/>
    </row>
    <row r="213" spans="1:7" s="66" customFormat="1" ht="14.4" x14ac:dyDescent="0.3">
      <c r="A213" s="197" t="s">
        <v>543</v>
      </c>
      <c r="B213" s="189"/>
      <c r="C213" s="192" t="s">
        <v>544</v>
      </c>
      <c r="D213" s="181"/>
      <c r="E213" s="181"/>
      <c r="F213" s="178"/>
      <c r="G213" s="175"/>
    </row>
    <row r="214" spans="1:7" s="66" customFormat="1" ht="15.6" x14ac:dyDescent="0.3">
      <c r="A214" s="197" t="s">
        <v>545</v>
      </c>
      <c r="B214" s="189"/>
      <c r="C214" s="192" t="s">
        <v>546</v>
      </c>
      <c r="D214" s="181"/>
      <c r="E214" s="181"/>
      <c r="F214" s="178"/>
      <c r="G214" s="169" t="s">
        <v>547</v>
      </c>
    </row>
    <row r="215" spans="1:7" s="66" customFormat="1" ht="14.4" x14ac:dyDescent="0.3">
      <c r="A215" s="197" t="s">
        <v>548</v>
      </c>
      <c r="B215" s="189"/>
      <c r="C215" s="192" t="s">
        <v>549</v>
      </c>
      <c r="D215" s="181"/>
      <c r="E215" s="181"/>
      <c r="F215" s="178"/>
      <c r="G215" s="175"/>
    </row>
    <row r="216" spans="1:7" s="66" customFormat="1" ht="14.4" x14ac:dyDescent="0.3">
      <c r="A216" s="197" t="s">
        <v>550</v>
      </c>
      <c r="B216" s="189"/>
      <c r="C216" s="192" t="s">
        <v>551</v>
      </c>
      <c r="D216" s="181"/>
      <c r="E216" s="181"/>
      <c r="F216" s="178"/>
      <c r="G216" s="175"/>
    </row>
    <row r="217" spans="1:7" s="66" customFormat="1" ht="14.4" x14ac:dyDescent="0.3">
      <c r="A217" s="197" t="s">
        <v>552</v>
      </c>
      <c r="B217" s="189"/>
      <c r="C217" s="192" t="s">
        <v>553</v>
      </c>
      <c r="D217" s="181"/>
      <c r="E217" s="181"/>
      <c r="F217" s="178"/>
      <c r="G217" s="175"/>
    </row>
    <row r="218" spans="1:7" s="66" customFormat="1" ht="14.4" x14ac:dyDescent="0.3">
      <c r="A218" s="197" t="s">
        <v>554</v>
      </c>
      <c r="B218" s="189"/>
      <c r="C218" s="192" t="s">
        <v>555</v>
      </c>
      <c r="D218" s="181"/>
      <c r="E218" s="181"/>
      <c r="F218" s="178"/>
      <c r="G218" s="175"/>
    </row>
    <row r="219" spans="1:7" s="66" customFormat="1" ht="14.4" x14ac:dyDescent="0.3">
      <c r="A219" s="197" t="s">
        <v>556</v>
      </c>
      <c r="B219" s="189"/>
      <c r="C219" s="192" t="s">
        <v>1651</v>
      </c>
      <c r="D219" s="181"/>
      <c r="E219" s="181"/>
      <c r="F219" s="178"/>
      <c r="G219" s="175"/>
    </row>
    <row r="220" spans="1:7" s="66" customFormat="1" ht="14.4" x14ac:dyDescent="0.3">
      <c r="A220" s="197" t="s">
        <v>557</v>
      </c>
      <c r="B220" s="189"/>
      <c r="C220" s="192" t="s">
        <v>558</v>
      </c>
      <c r="D220" s="181"/>
      <c r="E220" s="181"/>
      <c r="F220" s="178"/>
      <c r="G220" s="175"/>
    </row>
    <row r="221" spans="1:7" s="66" customFormat="1" ht="14.4" x14ac:dyDescent="0.3">
      <c r="A221" s="197" t="s">
        <v>559</v>
      </c>
      <c r="B221" s="189"/>
      <c r="C221" s="192" t="s">
        <v>560</v>
      </c>
      <c r="D221" s="181"/>
      <c r="E221" s="181"/>
      <c r="F221" s="178"/>
      <c r="G221" s="175"/>
    </row>
    <row r="222" spans="1:7" s="66" customFormat="1" ht="14.4" x14ac:dyDescent="0.3">
      <c r="A222" s="197" t="s">
        <v>561</v>
      </c>
      <c r="B222" s="189"/>
      <c r="C222" s="192" t="s">
        <v>562</v>
      </c>
      <c r="D222" s="181"/>
      <c r="E222" s="181"/>
      <c r="F222" s="178"/>
      <c r="G222" s="175"/>
    </row>
    <row r="223" spans="1:7" s="66" customFormat="1" ht="14.4" x14ac:dyDescent="0.3">
      <c r="A223" s="197" t="s">
        <v>563</v>
      </c>
      <c r="B223" s="189"/>
      <c r="C223" s="192" t="s">
        <v>564</v>
      </c>
      <c r="D223" s="181"/>
      <c r="E223" s="181"/>
      <c r="F223" s="178"/>
      <c r="G223" s="175"/>
    </row>
    <row r="224" spans="1:7" s="66" customFormat="1" ht="14.4" x14ac:dyDescent="0.3">
      <c r="A224" s="197" t="s">
        <v>565</v>
      </c>
      <c r="B224" s="189"/>
      <c r="C224" s="192" t="s">
        <v>566</v>
      </c>
      <c r="D224" s="181"/>
      <c r="E224" s="181"/>
      <c r="F224" s="178"/>
      <c r="G224" s="175"/>
    </row>
    <row r="225" spans="1:7" s="66" customFormat="1" ht="14.4" x14ac:dyDescent="0.3">
      <c r="A225" s="197" t="s">
        <v>567</v>
      </c>
      <c r="B225" s="189"/>
      <c r="C225" s="192" t="s">
        <v>568</v>
      </c>
      <c r="D225" s="181"/>
      <c r="E225" s="181"/>
      <c r="F225" s="178"/>
      <c r="G225" s="175"/>
    </row>
    <row r="226" spans="1:7" s="66" customFormat="1" ht="14.4" x14ac:dyDescent="0.3">
      <c r="A226" s="197" t="s">
        <v>569</v>
      </c>
      <c r="B226" s="189"/>
      <c r="C226" s="192" t="s">
        <v>570</v>
      </c>
      <c r="D226" s="181"/>
      <c r="E226" s="181"/>
      <c r="F226" s="178"/>
      <c r="G226" s="175"/>
    </row>
    <row r="227" spans="1:7" s="66" customFormat="1" x14ac:dyDescent="0.3">
      <c r="A227" s="235" t="s">
        <v>571</v>
      </c>
      <c r="B227" s="171" t="s">
        <v>572</v>
      </c>
      <c r="C227" s="194"/>
      <c r="D227" s="204"/>
      <c r="E227" s="204"/>
      <c r="F227" s="233"/>
      <c r="G227" s="175"/>
    </row>
    <row r="228" spans="1:7" s="66" customFormat="1" ht="42" x14ac:dyDescent="0.3">
      <c r="A228" s="206" t="s">
        <v>573</v>
      </c>
      <c r="B228" s="189"/>
      <c r="C228" s="190" t="s">
        <v>574</v>
      </c>
      <c r="D228" s="181"/>
      <c r="E228" s="181"/>
      <c r="F228" s="178"/>
      <c r="G228" s="175"/>
    </row>
    <row r="229" spans="1:7" s="66" customFormat="1" ht="27.6" x14ac:dyDescent="0.3">
      <c r="A229" s="206" t="s">
        <v>575</v>
      </c>
      <c r="B229" s="189"/>
      <c r="C229" s="190" t="s">
        <v>576</v>
      </c>
      <c r="D229" s="181"/>
      <c r="E229" s="181"/>
      <c r="F229" s="178"/>
      <c r="G229" s="175"/>
    </row>
    <row r="230" spans="1:7" s="66" customFormat="1" ht="81.75" customHeight="1" x14ac:dyDescent="0.3">
      <c r="A230" s="203" t="s">
        <v>577</v>
      </c>
      <c r="B230" s="175"/>
      <c r="C230" s="176" t="s">
        <v>578</v>
      </c>
      <c r="D230" s="181"/>
      <c r="E230" s="181"/>
      <c r="F230" s="178"/>
      <c r="G230" s="175"/>
    </row>
    <row r="231" spans="1:7" s="66" customFormat="1" x14ac:dyDescent="0.3">
      <c r="A231" s="235" t="s">
        <v>579</v>
      </c>
      <c r="B231" s="171" t="s">
        <v>580</v>
      </c>
      <c r="C231" s="176"/>
      <c r="D231" s="247"/>
      <c r="E231" s="247"/>
      <c r="F231" s="248"/>
      <c r="G231" s="249"/>
    </row>
    <row r="232" spans="1:7" s="66" customFormat="1" ht="42" x14ac:dyDescent="0.3">
      <c r="A232" s="206" t="s">
        <v>581</v>
      </c>
      <c r="B232" s="250"/>
      <c r="C232" s="190" t="s">
        <v>582</v>
      </c>
      <c r="D232" s="181"/>
      <c r="E232" s="181"/>
      <c r="F232" s="178"/>
      <c r="G232" s="175"/>
    </row>
    <row r="233" spans="1:7" s="66" customFormat="1" ht="14.4" x14ac:dyDescent="0.3">
      <c r="A233" s="197" t="str">
        <f>IF(RIGHT(A232,1)=".",IF(MID(A232,6,1)=".",CONCATENATE(LEFT(A232,4),MID(A232,5,1)+1,"."),CONCATENATE(LEFT(A232,4),MID(A232,5,2)+1,".")),CONCATENATE(LEFT(A232,7),CHAR(CODE(MID(A232,8,1))+1)))</f>
        <v>3.10.1.b</v>
      </c>
      <c r="B233" s="189"/>
      <c r="C233" s="192" t="s">
        <v>583</v>
      </c>
      <c r="D233" s="181"/>
      <c r="E233" s="181" t="str">
        <f>IF(NOT(E232=""),"x","")</f>
        <v/>
      </c>
      <c r="F233" s="178"/>
      <c r="G233" s="175"/>
    </row>
    <row r="234" spans="1:7" s="66" customFormat="1" ht="14.4" x14ac:dyDescent="0.3">
      <c r="A234" s="197" t="str">
        <f>IF(RIGHT(A233,1)=".",IF(MID(A233,6,1)=".",CONCATENATE(LEFT(A233,4),MID(A233,5,1)+1,"."),CONCATENATE(LEFT(A233,4),MID(A233,5,2)+1,".")),CONCATENATE(LEFT(A233,7),CHAR(CODE(MID(A233,8,1))+1)))</f>
        <v>3.10.1.c</v>
      </c>
      <c r="B234" s="189"/>
      <c r="C234" s="192" t="s">
        <v>584</v>
      </c>
      <c r="D234" s="181"/>
      <c r="E234" s="181" t="str">
        <f>IF(NOT(E233=""),"x","")</f>
        <v/>
      </c>
      <c r="F234" s="178"/>
      <c r="G234" s="175"/>
    </row>
    <row r="235" spans="1:7" s="66" customFormat="1" ht="14.4" x14ac:dyDescent="0.3">
      <c r="A235" s="197" t="str">
        <f>IF(RIGHT(A234,1)=".",IF(MID(A234,6,1)=".",CONCATENATE(LEFT(A234,4),MID(A234,5,1)+1,"."),CONCATENATE(LEFT(A234,4),MID(A234,5,2)+1,".")),CONCATENATE(LEFT(A234,7),CHAR(CODE(MID(A234,8,1))+1)))</f>
        <v>3.10.1.d</v>
      </c>
      <c r="B235" s="189"/>
      <c r="C235" s="192" t="s">
        <v>585</v>
      </c>
      <c r="D235" s="181"/>
      <c r="E235" s="181" t="str">
        <f>IF(NOT(E234=""),"x","")</f>
        <v/>
      </c>
      <c r="F235" s="178"/>
      <c r="G235" s="175"/>
    </row>
    <row r="236" spans="1:7" s="66" customFormat="1" ht="14.4" x14ac:dyDescent="0.3">
      <c r="A236" s="197" t="str">
        <f>IF(RIGHT(A235,1)=".",IF(MID(A235,6,1)=".",CONCATENATE(LEFT(A235,4),MID(A235,5,1)+1,"."),CONCATENATE(LEFT(A235,4),MID(A235,5,2)+1,".")),CONCATENATE(LEFT(A235,7),CHAR(CODE(MID(A235,8,1))+1)))</f>
        <v>3.10.1.e</v>
      </c>
      <c r="B236" s="189"/>
      <c r="C236" s="192" t="s">
        <v>586</v>
      </c>
      <c r="D236" s="181"/>
      <c r="E236" s="181" t="str">
        <f>IF(NOT(E235=""),"x","")</f>
        <v/>
      </c>
      <c r="F236" s="178"/>
      <c r="G236" s="175"/>
    </row>
    <row r="237" spans="1:7" s="66" customFormat="1" ht="27.6" x14ac:dyDescent="0.3">
      <c r="A237" s="203" t="s">
        <v>587</v>
      </c>
      <c r="B237" s="175"/>
      <c r="C237" s="176" t="s">
        <v>588</v>
      </c>
      <c r="D237" s="181"/>
      <c r="E237" s="181"/>
      <c r="F237" s="178"/>
      <c r="G237" s="175"/>
    </row>
    <row r="238" spans="1:7" s="66" customFormat="1" ht="27.6" x14ac:dyDescent="0.3">
      <c r="A238" s="251" t="str">
        <f>IF(RIGHT(A237,1)=".",IF(MID(A237,6,1)=".",CONCATENATE(LEFT(A237,5),MID(A237,6,1)+1,"."),CONCATENATE(LEFT(A237,5),MID(A237,6,1)+1,".")),CONCATENATE(LEFT(A237,7),CHAR(CODE(MID(A237,8,1))+1)))</f>
        <v>3.10.3.</v>
      </c>
      <c r="B238" s="175"/>
      <c r="C238" s="176" t="s">
        <v>589</v>
      </c>
      <c r="D238" s="181"/>
      <c r="E238" s="181"/>
      <c r="F238" s="178"/>
      <c r="G238" s="82"/>
    </row>
    <row r="239" spans="1:7" s="66" customFormat="1" ht="27.6" x14ac:dyDescent="0.3">
      <c r="A239" s="251" t="str">
        <f t="shared" ref="A239:A243" si="0">IF(RIGHT(A238,1)=".",IF(MID(A238,6,1)=".",CONCATENATE(LEFT(A238,5),MID(A238,6,1)+1,"."),CONCATENATE(LEFT(A238,5),MID(A238,6,1)+1,".")),CONCATENATE(LEFT(A238,7),CHAR(CODE(MID(A238,8,1))+1)))</f>
        <v>3.10.4.</v>
      </c>
      <c r="B239" s="175"/>
      <c r="C239" s="176" t="s">
        <v>590</v>
      </c>
      <c r="D239" s="181"/>
      <c r="E239" s="181"/>
      <c r="F239" s="178"/>
      <c r="G239" s="175"/>
    </row>
    <row r="240" spans="1:7" s="66" customFormat="1" ht="27.6" x14ac:dyDescent="0.3">
      <c r="A240" s="251" t="str">
        <f t="shared" si="0"/>
        <v>3.10.5.</v>
      </c>
      <c r="B240" s="175"/>
      <c r="C240" s="176" t="s">
        <v>591</v>
      </c>
      <c r="D240" s="181"/>
      <c r="E240" s="181"/>
      <c r="F240" s="178"/>
      <c r="G240" s="175"/>
    </row>
    <row r="241" spans="1:7" s="66" customFormat="1" ht="41.4" x14ac:dyDescent="0.3">
      <c r="A241" s="251" t="str">
        <f t="shared" si="0"/>
        <v>3.10.6.</v>
      </c>
      <c r="B241" s="175"/>
      <c r="C241" s="176" t="s">
        <v>592</v>
      </c>
      <c r="D241" s="181"/>
      <c r="E241" s="181"/>
      <c r="F241" s="178"/>
      <c r="G241" s="175"/>
    </row>
    <row r="242" spans="1:7" s="66" customFormat="1" ht="41.4" x14ac:dyDescent="0.3">
      <c r="A242" s="251" t="str">
        <f t="shared" si="0"/>
        <v>3.10.7.</v>
      </c>
      <c r="B242" s="175"/>
      <c r="C242" s="176" t="s">
        <v>593</v>
      </c>
      <c r="D242" s="181"/>
      <c r="E242" s="181"/>
      <c r="F242" s="178"/>
      <c r="G242" s="169" t="s">
        <v>594</v>
      </c>
    </row>
    <row r="243" spans="1:7" s="66" customFormat="1" ht="27.6" x14ac:dyDescent="0.3">
      <c r="A243" s="251" t="str">
        <f t="shared" si="0"/>
        <v>3.10.8.</v>
      </c>
      <c r="B243" s="175"/>
      <c r="C243" s="176" t="s">
        <v>595</v>
      </c>
      <c r="D243" s="181"/>
      <c r="E243" s="181"/>
      <c r="F243" s="178"/>
      <c r="G243" s="175"/>
    </row>
    <row r="244" spans="1:7" s="66" customFormat="1" ht="14.4" thickBot="1" x14ac:dyDescent="0.35">
      <c r="A244" s="212"/>
      <c r="B244" s="213"/>
      <c r="C244" s="214"/>
      <c r="D244" s="252"/>
      <c r="E244" s="252"/>
      <c r="F244" s="253"/>
      <c r="G244" s="254"/>
    </row>
    <row r="245" spans="1:7" ht="17.399999999999999" x14ac:dyDescent="0.25">
      <c r="A245" s="238" t="s">
        <v>596</v>
      </c>
      <c r="B245" s="239" t="s">
        <v>597</v>
      </c>
      <c r="C245" s="240"/>
      <c r="D245" s="241"/>
      <c r="E245" s="241"/>
      <c r="F245" s="242"/>
      <c r="G245" s="243"/>
    </row>
    <row r="246" spans="1:7" ht="17.399999999999999" x14ac:dyDescent="0.25">
      <c r="A246" s="166"/>
      <c r="B246" s="169" t="s">
        <v>598</v>
      </c>
      <c r="C246" s="169"/>
      <c r="D246" s="323"/>
      <c r="E246" s="323"/>
      <c r="F246" s="323"/>
      <c r="G246" s="82"/>
    </row>
    <row r="247" spans="1:7" x14ac:dyDescent="0.25">
      <c r="A247" s="235" t="s">
        <v>599</v>
      </c>
      <c r="B247" s="171" t="s">
        <v>600</v>
      </c>
      <c r="C247" s="176"/>
      <c r="D247" s="204"/>
      <c r="E247" s="204"/>
      <c r="F247" s="233"/>
      <c r="G247" s="175"/>
    </row>
    <row r="248" spans="1:7" ht="27.6" x14ac:dyDescent="0.25">
      <c r="A248" s="203" t="s">
        <v>601</v>
      </c>
      <c r="B248" s="175"/>
      <c r="C248" s="176" t="s">
        <v>602</v>
      </c>
      <c r="D248" s="181"/>
      <c r="E248" s="181"/>
      <c r="F248" s="178"/>
      <c r="G248" s="175"/>
    </row>
    <row r="249" spans="1:7" ht="27.6" x14ac:dyDescent="0.25">
      <c r="A249" s="180" t="s">
        <v>603</v>
      </c>
      <c r="B249" s="175"/>
      <c r="C249" s="176" t="s">
        <v>604</v>
      </c>
      <c r="D249" s="181"/>
      <c r="E249" s="181"/>
      <c r="F249" s="178"/>
      <c r="G249" s="175"/>
    </row>
    <row r="250" spans="1:7" ht="27.6" x14ac:dyDescent="0.25">
      <c r="A250" s="180" t="s">
        <v>605</v>
      </c>
      <c r="B250" s="175"/>
      <c r="C250" s="176" t="s">
        <v>606</v>
      </c>
      <c r="D250" s="181"/>
      <c r="E250" s="181"/>
      <c r="F250" s="178"/>
      <c r="G250" s="175"/>
    </row>
    <row r="251" spans="1:7" ht="41.4" x14ac:dyDescent="0.25">
      <c r="A251" s="180" t="s">
        <v>607</v>
      </c>
      <c r="B251" s="175"/>
      <c r="C251" s="176" t="s">
        <v>608</v>
      </c>
      <c r="D251" s="181"/>
      <c r="E251" s="181"/>
      <c r="F251" s="178"/>
      <c r="G251" s="175"/>
    </row>
    <row r="252" spans="1:7" ht="55.2" x14ac:dyDescent="0.25">
      <c r="A252" s="180" t="s">
        <v>609</v>
      </c>
      <c r="B252" s="175"/>
      <c r="C252" s="176" t="s">
        <v>610</v>
      </c>
      <c r="D252" s="181"/>
      <c r="E252" s="181"/>
      <c r="F252" s="185"/>
      <c r="G252" s="169" t="s">
        <v>611</v>
      </c>
    </row>
    <row r="253" spans="1:7" ht="27.6" x14ac:dyDescent="0.25">
      <c r="A253" s="180" t="s">
        <v>612</v>
      </c>
      <c r="B253" s="175"/>
      <c r="C253" s="176" t="s">
        <v>613</v>
      </c>
      <c r="D253" s="181"/>
      <c r="E253" s="181"/>
      <c r="F253" s="178"/>
      <c r="G253" s="175"/>
    </row>
    <row r="254" spans="1:7" ht="41.4" x14ac:dyDescent="0.25">
      <c r="A254" s="180" t="s">
        <v>614</v>
      </c>
      <c r="B254" s="175"/>
      <c r="C254" s="176" t="s">
        <v>615</v>
      </c>
      <c r="D254" s="181"/>
      <c r="E254" s="181"/>
      <c r="F254" s="185"/>
      <c r="G254" s="175"/>
    </row>
    <row r="255" spans="1:7" x14ac:dyDescent="0.25">
      <c r="A255" s="235" t="s">
        <v>616</v>
      </c>
      <c r="B255" s="171" t="s">
        <v>617</v>
      </c>
      <c r="C255" s="176"/>
      <c r="D255" s="204"/>
      <c r="E255" s="204"/>
      <c r="F255" s="233"/>
      <c r="G255" s="175"/>
    </row>
    <row r="256" spans="1:7" ht="42" x14ac:dyDescent="0.25">
      <c r="A256" s="206" t="s">
        <v>618</v>
      </c>
      <c r="B256" s="189"/>
      <c r="C256" s="190" t="s">
        <v>619</v>
      </c>
      <c r="D256" s="181"/>
      <c r="E256" s="181"/>
      <c r="F256" s="178"/>
      <c r="G256" s="175"/>
    </row>
    <row r="257" spans="1:7" ht="14.4" x14ac:dyDescent="0.25">
      <c r="A257" s="201" t="s">
        <v>620</v>
      </c>
      <c r="B257" s="189"/>
      <c r="C257" s="192" t="s">
        <v>621</v>
      </c>
      <c r="D257" s="181"/>
      <c r="E257" s="181"/>
      <c r="F257" s="178"/>
      <c r="G257" s="175"/>
    </row>
    <row r="258" spans="1:7" ht="14.4" x14ac:dyDescent="0.25">
      <c r="A258" s="201" t="s">
        <v>622</v>
      </c>
      <c r="B258" s="189"/>
      <c r="C258" s="192" t="s">
        <v>623</v>
      </c>
      <c r="D258" s="181"/>
      <c r="E258" s="181"/>
      <c r="F258" s="178"/>
      <c r="G258" s="175"/>
    </row>
    <row r="259" spans="1:7" ht="14.4" x14ac:dyDescent="0.25">
      <c r="A259" s="201" t="s">
        <v>624</v>
      </c>
      <c r="B259" s="189"/>
      <c r="C259" s="192" t="s">
        <v>625</v>
      </c>
      <c r="D259" s="181"/>
      <c r="E259" s="181"/>
      <c r="F259" s="178"/>
      <c r="G259" s="175"/>
    </row>
    <row r="260" spans="1:7" ht="14.4" x14ac:dyDescent="0.25">
      <c r="A260" s="201" t="s">
        <v>626</v>
      </c>
      <c r="B260" s="189"/>
      <c r="C260" s="192" t="s">
        <v>627</v>
      </c>
      <c r="D260" s="181"/>
      <c r="E260" s="181"/>
      <c r="F260" s="178"/>
      <c r="G260" s="175"/>
    </row>
    <row r="261" spans="1:7" ht="14.4" x14ac:dyDescent="0.25">
      <c r="A261" s="201" t="s">
        <v>628</v>
      </c>
      <c r="B261" s="189"/>
      <c r="C261" s="192" t="s">
        <v>629</v>
      </c>
      <c r="D261" s="181"/>
      <c r="E261" s="181"/>
      <c r="F261" s="178"/>
      <c r="G261" s="175"/>
    </row>
    <row r="262" spans="1:7" ht="14.4" x14ac:dyDescent="0.25">
      <c r="A262" s="201" t="s">
        <v>630</v>
      </c>
      <c r="B262" s="189"/>
      <c r="C262" s="192" t="s">
        <v>631</v>
      </c>
      <c r="D262" s="181"/>
      <c r="E262" s="181"/>
      <c r="F262" s="178"/>
      <c r="G262" s="175"/>
    </row>
    <row r="263" spans="1:7" ht="14.4" x14ac:dyDescent="0.25">
      <c r="A263" s="201" t="s">
        <v>632</v>
      </c>
      <c r="B263" s="189"/>
      <c r="C263" s="192" t="s">
        <v>633</v>
      </c>
      <c r="D263" s="181"/>
      <c r="E263" s="181"/>
      <c r="F263" s="178"/>
      <c r="G263" s="175"/>
    </row>
    <row r="264" spans="1:7" ht="14.4" x14ac:dyDescent="0.25">
      <c r="A264" s="201" t="s">
        <v>634</v>
      </c>
      <c r="B264" s="189"/>
      <c r="C264" s="192" t="s">
        <v>635</v>
      </c>
      <c r="D264" s="181"/>
      <c r="E264" s="181"/>
      <c r="F264" s="178"/>
      <c r="G264" s="175"/>
    </row>
    <row r="265" spans="1:7" ht="14.4" x14ac:dyDescent="0.25">
      <c r="A265" s="201" t="s">
        <v>636</v>
      </c>
      <c r="B265" s="189"/>
      <c r="C265" s="192" t="s">
        <v>637</v>
      </c>
      <c r="D265" s="181"/>
      <c r="E265" s="181"/>
      <c r="F265" s="178"/>
      <c r="G265" s="175"/>
    </row>
    <row r="266" spans="1:7" ht="14.4" x14ac:dyDescent="0.25">
      <c r="A266" s="201" t="s">
        <v>638</v>
      </c>
      <c r="B266" s="189"/>
      <c r="C266" s="192" t="s">
        <v>639</v>
      </c>
      <c r="D266" s="181"/>
      <c r="E266" s="181"/>
      <c r="F266" s="178"/>
      <c r="G266" s="175"/>
    </row>
    <row r="267" spans="1:7" ht="14.4" x14ac:dyDescent="0.25">
      <c r="A267" s="201" t="s">
        <v>640</v>
      </c>
      <c r="B267" s="189"/>
      <c r="C267" s="192" t="s">
        <v>641</v>
      </c>
      <c r="D267" s="181"/>
      <c r="E267" s="181"/>
      <c r="F267" s="178"/>
      <c r="G267" s="175"/>
    </row>
    <row r="268" spans="1:7" ht="14.4" x14ac:dyDescent="0.25">
      <c r="A268" s="201" t="s">
        <v>642</v>
      </c>
      <c r="B268" s="189"/>
      <c r="C268" s="192" t="s">
        <v>643</v>
      </c>
      <c r="D268" s="181"/>
      <c r="E268" s="181"/>
      <c r="F268" s="178"/>
      <c r="G268" s="175"/>
    </row>
    <row r="269" spans="1:7" ht="14.4" x14ac:dyDescent="0.25">
      <c r="A269" s="201" t="s">
        <v>644</v>
      </c>
      <c r="B269" s="189"/>
      <c r="C269" s="192" t="s">
        <v>645</v>
      </c>
      <c r="D269" s="181"/>
      <c r="E269" s="181"/>
      <c r="F269" s="178"/>
      <c r="G269" s="175"/>
    </row>
    <row r="270" spans="1:7" ht="14.4" x14ac:dyDescent="0.25">
      <c r="A270" s="201" t="s">
        <v>646</v>
      </c>
      <c r="B270" s="189"/>
      <c r="C270" s="192" t="s">
        <v>647</v>
      </c>
      <c r="D270" s="181"/>
      <c r="E270" s="181"/>
      <c r="F270" s="178"/>
      <c r="G270" s="175"/>
    </row>
    <row r="271" spans="1:7" ht="14.4" x14ac:dyDescent="0.25">
      <c r="A271" s="201" t="s">
        <v>648</v>
      </c>
      <c r="B271" s="189"/>
      <c r="C271" s="192" t="s">
        <v>649</v>
      </c>
      <c r="D271" s="255"/>
      <c r="E271" s="255"/>
      <c r="F271" s="256"/>
      <c r="G271" s="257"/>
    </row>
    <row r="272" spans="1:7" ht="14.4" x14ac:dyDescent="0.25">
      <c r="A272" s="201" t="s">
        <v>650</v>
      </c>
      <c r="B272" s="189"/>
      <c r="C272" s="192" t="s">
        <v>651</v>
      </c>
      <c r="D272" s="255"/>
      <c r="E272" s="255"/>
      <c r="F272" s="256"/>
      <c r="G272" s="257"/>
    </row>
    <row r="273" spans="1:7" ht="14.4" x14ac:dyDescent="0.25">
      <c r="A273" s="201" t="s">
        <v>652</v>
      </c>
      <c r="B273" s="189"/>
      <c r="C273" s="192" t="s">
        <v>653</v>
      </c>
      <c r="D273" s="255"/>
      <c r="E273" s="255"/>
      <c r="F273" s="256"/>
      <c r="G273" s="257"/>
    </row>
    <row r="274" spans="1:7" ht="14.4" x14ac:dyDescent="0.25">
      <c r="A274" s="201" t="s">
        <v>654</v>
      </c>
      <c r="B274" s="189"/>
      <c r="C274" s="192" t="s">
        <v>655</v>
      </c>
      <c r="D274" s="255"/>
      <c r="E274" s="255"/>
      <c r="F274" s="256"/>
      <c r="G274" s="257"/>
    </row>
    <row r="275" spans="1:7" ht="14.4" x14ac:dyDescent="0.25">
      <c r="A275" s="201" t="s">
        <v>656</v>
      </c>
      <c r="B275" s="189"/>
      <c r="C275" s="192" t="s">
        <v>657</v>
      </c>
      <c r="D275" s="255"/>
      <c r="E275" s="255"/>
      <c r="F275" s="256"/>
      <c r="G275" s="257"/>
    </row>
    <row r="276" spans="1:7" ht="14.4" x14ac:dyDescent="0.25">
      <c r="A276" s="201" t="s">
        <v>658</v>
      </c>
      <c r="B276" s="189"/>
      <c r="C276" s="192" t="s">
        <v>659</v>
      </c>
      <c r="D276" s="255"/>
      <c r="E276" s="255"/>
      <c r="F276" s="256"/>
      <c r="G276" s="257"/>
    </row>
    <row r="277" spans="1:7" ht="14.4" x14ac:dyDescent="0.25">
      <c r="A277" s="201" t="s">
        <v>660</v>
      </c>
      <c r="B277" s="189"/>
      <c r="C277" s="192" t="s">
        <v>661</v>
      </c>
      <c r="D277" s="255"/>
      <c r="E277" s="255"/>
      <c r="F277" s="256"/>
      <c r="G277" s="257"/>
    </row>
    <row r="278" spans="1:7" ht="14.4" x14ac:dyDescent="0.25">
      <c r="A278" s="201" t="s">
        <v>662</v>
      </c>
      <c r="B278" s="189"/>
      <c r="C278" s="192" t="s">
        <v>663</v>
      </c>
      <c r="D278" s="255"/>
      <c r="E278" s="255"/>
      <c r="F278" s="256"/>
      <c r="G278" s="257"/>
    </row>
    <row r="279" spans="1:7" ht="14.4" x14ac:dyDescent="0.25">
      <c r="A279" s="201" t="s">
        <v>664</v>
      </c>
      <c r="B279" s="189"/>
      <c r="C279" s="192" t="s">
        <v>665</v>
      </c>
      <c r="D279" s="255"/>
      <c r="E279" s="255"/>
      <c r="F279" s="256"/>
      <c r="G279" s="257"/>
    </row>
    <row r="280" spans="1:7" ht="28.8" x14ac:dyDescent="0.25">
      <c r="A280" s="201" t="s">
        <v>666</v>
      </c>
      <c r="B280" s="189"/>
      <c r="C280" s="192" t="s">
        <v>667</v>
      </c>
      <c r="D280" s="255"/>
      <c r="E280" s="255"/>
      <c r="F280" s="256"/>
      <c r="G280" s="257"/>
    </row>
    <row r="281" spans="1:7" ht="14.4" x14ac:dyDescent="0.25">
      <c r="A281" s="201" t="s">
        <v>668</v>
      </c>
      <c r="B281" s="189"/>
      <c r="C281" s="192" t="s">
        <v>669</v>
      </c>
      <c r="D281" s="255"/>
      <c r="E281" s="255"/>
      <c r="F281" s="256"/>
      <c r="G281" s="257"/>
    </row>
    <row r="282" spans="1:7" ht="14.4" x14ac:dyDescent="0.25">
      <c r="A282" s="201" t="s">
        <v>670</v>
      </c>
      <c r="B282" s="189"/>
      <c r="C282" s="192" t="s">
        <v>671</v>
      </c>
      <c r="D282" s="255"/>
      <c r="E282" s="255"/>
      <c r="F282" s="256"/>
      <c r="G282" s="257"/>
    </row>
    <row r="283" spans="1:7" ht="14.4" x14ac:dyDescent="0.25">
      <c r="A283" s="188" t="s">
        <v>672</v>
      </c>
      <c r="B283" s="189"/>
      <c r="C283" s="192" t="s">
        <v>673</v>
      </c>
      <c r="D283" s="255"/>
      <c r="E283" s="255"/>
      <c r="F283" s="256"/>
      <c r="G283" s="257"/>
    </row>
    <row r="284" spans="1:7" ht="14.4" x14ac:dyDescent="0.25">
      <c r="A284" s="188" t="s">
        <v>674</v>
      </c>
      <c r="B284" s="189"/>
      <c r="C284" s="192" t="s">
        <v>675</v>
      </c>
      <c r="D284" s="255"/>
      <c r="E284" s="255"/>
      <c r="F284" s="256"/>
      <c r="G284" s="257"/>
    </row>
    <row r="285" spans="1:7" ht="14.4" x14ac:dyDescent="0.25">
      <c r="A285" s="188" t="s">
        <v>676</v>
      </c>
      <c r="B285" s="189"/>
      <c r="C285" s="192" t="s">
        <v>677</v>
      </c>
      <c r="D285" s="255"/>
      <c r="E285" s="255"/>
      <c r="F285" s="256"/>
      <c r="G285" s="257"/>
    </row>
    <row r="286" spans="1:7" ht="14.4" x14ac:dyDescent="0.25">
      <c r="A286" s="188" t="s">
        <v>678</v>
      </c>
      <c r="B286" s="189"/>
      <c r="C286" s="192" t="s">
        <v>679</v>
      </c>
      <c r="D286" s="255"/>
      <c r="E286" s="255"/>
      <c r="F286" s="256"/>
      <c r="G286" s="257"/>
    </row>
    <row r="287" spans="1:7" ht="14.4" x14ac:dyDescent="0.25">
      <c r="A287" s="188" t="s">
        <v>680</v>
      </c>
      <c r="B287" s="189"/>
      <c r="C287" s="192" t="s">
        <v>681</v>
      </c>
      <c r="D287" s="255"/>
      <c r="E287" s="255"/>
      <c r="F287" s="256"/>
      <c r="G287" s="257"/>
    </row>
    <row r="288" spans="1:7" ht="14.4" x14ac:dyDescent="0.25">
      <c r="A288" s="188" t="s">
        <v>682</v>
      </c>
      <c r="B288" s="189"/>
      <c r="C288" s="192" t="s">
        <v>683</v>
      </c>
      <c r="D288" s="255"/>
      <c r="E288" s="255"/>
      <c r="F288" s="256"/>
      <c r="G288" s="257"/>
    </row>
    <row r="289" spans="1:7" ht="14.4" x14ac:dyDescent="0.25">
      <c r="A289" s="188" t="s">
        <v>684</v>
      </c>
      <c r="B289" s="189"/>
      <c r="C289" s="192" t="s">
        <v>685</v>
      </c>
      <c r="D289" s="255"/>
      <c r="E289" s="255"/>
      <c r="F289" s="256"/>
      <c r="G289" s="257"/>
    </row>
    <row r="290" spans="1:7" ht="14.4" x14ac:dyDescent="0.25">
      <c r="A290" s="188" t="s">
        <v>686</v>
      </c>
      <c r="B290" s="189"/>
      <c r="C290" s="192" t="s">
        <v>687</v>
      </c>
      <c r="D290" s="255"/>
      <c r="E290" s="255"/>
      <c r="F290" s="258"/>
      <c r="G290" s="257"/>
    </row>
    <row r="291" spans="1:7" x14ac:dyDescent="0.25">
      <c r="A291" s="235" t="s">
        <v>688</v>
      </c>
      <c r="B291" s="171" t="s">
        <v>689</v>
      </c>
      <c r="C291" s="176"/>
      <c r="D291" s="259"/>
      <c r="E291" s="259"/>
      <c r="F291" s="260"/>
      <c r="G291" s="257"/>
    </row>
    <row r="292" spans="1:7" ht="27.6" x14ac:dyDescent="0.25">
      <c r="A292" s="203" t="s">
        <v>690</v>
      </c>
      <c r="B292" s="175"/>
      <c r="C292" s="176" t="s">
        <v>691</v>
      </c>
      <c r="D292" s="255"/>
      <c r="E292" s="255"/>
      <c r="F292" s="256"/>
      <c r="G292" s="257"/>
    </row>
    <row r="293" spans="1:7" ht="27.6" x14ac:dyDescent="0.25">
      <c r="A293" s="203" t="s">
        <v>692</v>
      </c>
      <c r="B293" s="175"/>
      <c r="C293" s="176" t="s">
        <v>693</v>
      </c>
      <c r="D293" s="255"/>
      <c r="E293" s="255"/>
      <c r="F293" s="256"/>
      <c r="G293" s="257"/>
    </row>
    <row r="294" spans="1:7" ht="27.6" x14ac:dyDescent="0.25">
      <c r="A294" s="203" t="s">
        <v>694</v>
      </c>
      <c r="B294" s="175"/>
      <c r="C294" s="176" t="s">
        <v>695</v>
      </c>
      <c r="D294" s="255"/>
      <c r="E294" s="255"/>
      <c r="F294" s="256"/>
      <c r="G294" s="257"/>
    </row>
    <row r="295" spans="1:7" ht="27.6" x14ac:dyDescent="0.25">
      <c r="A295" s="203" t="s">
        <v>696</v>
      </c>
      <c r="B295" s="175"/>
      <c r="C295" s="176" t="s">
        <v>697</v>
      </c>
      <c r="D295" s="255"/>
      <c r="E295" s="255"/>
      <c r="F295" s="256"/>
      <c r="G295" s="257"/>
    </row>
    <row r="296" spans="1:7" ht="27.6" x14ac:dyDescent="0.25">
      <c r="A296" s="203" t="s">
        <v>698</v>
      </c>
      <c r="B296" s="175"/>
      <c r="C296" s="176" t="s">
        <v>699</v>
      </c>
      <c r="D296" s="255"/>
      <c r="E296" s="255"/>
      <c r="F296" s="256"/>
      <c r="G296" s="257"/>
    </row>
    <row r="297" spans="1:7" ht="27.6" x14ac:dyDescent="0.25">
      <c r="A297" s="203" t="s">
        <v>700</v>
      </c>
      <c r="B297" s="175"/>
      <c r="C297" s="176" t="s">
        <v>701</v>
      </c>
      <c r="D297" s="255"/>
      <c r="E297" s="255"/>
      <c r="F297" s="256"/>
      <c r="G297" s="257"/>
    </row>
    <row r="298" spans="1:7" ht="55.2" x14ac:dyDescent="0.25">
      <c r="A298" s="203" t="s">
        <v>702</v>
      </c>
      <c r="B298" s="261"/>
      <c r="C298" s="262" t="s">
        <v>703</v>
      </c>
      <c r="D298" s="255"/>
      <c r="E298" s="255"/>
      <c r="F298" s="258"/>
      <c r="G298" s="257"/>
    </row>
    <row r="299" spans="1:7" x14ac:dyDescent="0.25">
      <c r="A299" s="235" t="s">
        <v>704</v>
      </c>
      <c r="B299" s="171" t="s">
        <v>705</v>
      </c>
      <c r="C299" s="176"/>
      <c r="D299" s="259"/>
      <c r="E299" s="259"/>
      <c r="F299" s="263"/>
      <c r="G299" s="264"/>
    </row>
    <row r="300" spans="1:7" s="152" customFormat="1" ht="90" customHeight="1" x14ac:dyDescent="0.25">
      <c r="A300" s="203" t="s">
        <v>706</v>
      </c>
      <c r="B300" s="176"/>
      <c r="C300" s="176" t="s">
        <v>707</v>
      </c>
      <c r="D300" s="265"/>
      <c r="E300" s="265"/>
      <c r="F300" s="256"/>
      <c r="G300" s="266"/>
    </row>
    <row r="301" spans="1:7" ht="27.6" x14ac:dyDescent="0.25">
      <c r="A301" s="203" t="s">
        <v>708</v>
      </c>
      <c r="B301" s="175"/>
      <c r="C301" s="176" t="s">
        <v>709</v>
      </c>
      <c r="D301" s="255"/>
      <c r="E301" s="255"/>
      <c r="F301" s="256"/>
      <c r="G301" s="169" t="s">
        <v>710</v>
      </c>
    </row>
    <row r="302" spans="1:7" ht="41.4" x14ac:dyDescent="0.25">
      <c r="A302" s="203" t="s">
        <v>711</v>
      </c>
      <c r="B302" s="171"/>
      <c r="C302" s="176" t="s">
        <v>712</v>
      </c>
      <c r="D302" s="255"/>
      <c r="E302" s="255"/>
      <c r="F302" s="256"/>
      <c r="G302" s="257"/>
    </row>
    <row r="303" spans="1:7" x14ac:dyDescent="0.25">
      <c r="A303" s="235" t="s">
        <v>713</v>
      </c>
      <c r="B303" s="171" t="s">
        <v>714</v>
      </c>
      <c r="C303" s="194"/>
      <c r="D303" s="259"/>
      <c r="E303" s="259"/>
      <c r="F303" s="260"/>
      <c r="G303" s="257"/>
    </row>
    <row r="304" spans="1:7" ht="73.2" x14ac:dyDescent="0.25">
      <c r="A304" s="203" t="s">
        <v>715</v>
      </c>
      <c r="B304" s="175"/>
      <c r="C304" s="176" t="s">
        <v>716</v>
      </c>
      <c r="D304" s="255"/>
      <c r="E304" s="255"/>
      <c r="F304" s="256"/>
      <c r="G304" s="257"/>
    </row>
    <row r="305" spans="1:7" ht="41.4" x14ac:dyDescent="0.25">
      <c r="A305" s="203" t="s">
        <v>717</v>
      </c>
      <c r="B305" s="175"/>
      <c r="C305" s="176" t="s">
        <v>718</v>
      </c>
      <c r="D305" s="255"/>
      <c r="E305" s="255"/>
      <c r="F305" s="256"/>
      <c r="G305" s="257"/>
    </row>
    <row r="306" spans="1:7" ht="27.6" x14ac:dyDescent="0.25">
      <c r="A306" s="203" t="s">
        <v>719</v>
      </c>
      <c r="B306" s="175"/>
      <c r="C306" s="176" t="s">
        <v>720</v>
      </c>
      <c r="D306" s="255"/>
      <c r="E306" s="255"/>
      <c r="F306" s="256"/>
      <c r="G306" s="169" t="s">
        <v>721</v>
      </c>
    </row>
    <row r="307" spans="1:7" s="152" customFormat="1" ht="41.4" x14ac:dyDescent="0.25">
      <c r="A307" s="203" t="s">
        <v>722</v>
      </c>
      <c r="B307" s="176"/>
      <c r="C307" s="176" t="s">
        <v>723</v>
      </c>
      <c r="D307" s="265"/>
      <c r="E307" s="265"/>
      <c r="F307" s="256"/>
      <c r="G307" s="266"/>
    </row>
    <row r="308" spans="1:7" ht="27.6" x14ac:dyDescent="0.25">
      <c r="A308" s="203" t="s">
        <v>724</v>
      </c>
      <c r="B308" s="175"/>
      <c r="C308" s="176" t="s">
        <v>725</v>
      </c>
      <c r="D308" s="255"/>
      <c r="E308" s="255"/>
      <c r="F308" s="256"/>
      <c r="G308" s="257"/>
    </row>
    <row r="309" spans="1:7" ht="41.4" x14ac:dyDescent="0.25">
      <c r="A309" s="203" t="s">
        <v>726</v>
      </c>
      <c r="B309" s="175"/>
      <c r="C309" s="176" t="s">
        <v>727</v>
      </c>
      <c r="D309" s="255"/>
      <c r="E309" s="255"/>
      <c r="F309" s="256"/>
      <c r="G309" s="82"/>
    </row>
    <row r="310" spans="1:7" x14ac:dyDescent="0.25">
      <c r="A310" s="235" t="s">
        <v>728</v>
      </c>
      <c r="B310" s="171" t="s">
        <v>729</v>
      </c>
      <c r="C310" s="176"/>
      <c r="D310" s="259"/>
      <c r="E310" s="259"/>
      <c r="F310" s="260"/>
      <c r="G310" s="257"/>
    </row>
    <row r="311" spans="1:7" ht="27.6" x14ac:dyDescent="0.25">
      <c r="A311" s="203" t="s">
        <v>730</v>
      </c>
      <c r="B311" s="175"/>
      <c r="C311" s="176" t="s">
        <v>731</v>
      </c>
      <c r="D311" s="255"/>
      <c r="E311" s="255"/>
      <c r="F311" s="256"/>
      <c r="G311" s="257"/>
    </row>
    <row r="312" spans="1:7" ht="27.6" x14ac:dyDescent="0.25">
      <c r="A312" s="203" t="s">
        <v>732</v>
      </c>
      <c r="B312" s="175"/>
      <c r="C312" s="176" t="s">
        <v>733</v>
      </c>
      <c r="D312" s="255"/>
      <c r="E312" s="255"/>
      <c r="F312" s="256"/>
      <c r="G312" s="257"/>
    </row>
    <row r="313" spans="1:7" ht="41.4" x14ac:dyDescent="0.25">
      <c r="A313" s="203" t="s">
        <v>734</v>
      </c>
      <c r="B313" s="175"/>
      <c r="C313" s="176" t="s">
        <v>735</v>
      </c>
      <c r="D313" s="255"/>
      <c r="E313" s="255"/>
      <c r="F313" s="256"/>
      <c r="G313" s="169" t="s">
        <v>736</v>
      </c>
    </row>
    <row r="314" spans="1:7" ht="41.4" x14ac:dyDescent="0.25">
      <c r="A314" s="203" t="s">
        <v>737</v>
      </c>
      <c r="B314" s="175"/>
      <c r="C314" s="176" t="s">
        <v>738</v>
      </c>
      <c r="D314" s="255"/>
      <c r="E314" s="255"/>
      <c r="F314" s="256"/>
      <c r="G314" s="257"/>
    </row>
    <row r="315" spans="1:7" x14ac:dyDescent="0.25">
      <c r="A315" s="235" t="s">
        <v>739</v>
      </c>
      <c r="B315" s="171" t="s">
        <v>740</v>
      </c>
      <c r="C315" s="176"/>
      <c r="D315" s="259"/>
      <c r="E315" s="259"/>
      <c r="F315" s="260"/>
      <c r="G315" s="257"/>
    </row>
    <row r="316" spans="1:7" ht="21.75" customHeight="1" x14ac:dyDescent="0.25">
      <c r="A316" s="203" t="s">
        <v>741</v>
      </c>
      <c r="B316" s="171"/>
      <c r="C316" s="176" t="s">
        <v>742</v>
      </c>
      <c r="D316" s="255"/>
      <c r="E316" s="255"/>
      <c r="F316" s="256"/>
      <c r="G316" s="257"/>
    </row>
    <row r="317" spans="1:7" ht="41.4" x14ac:dyDescent="0.25">
      <c r="A317" s="203" t="s">
        <v>743</v>
      </c>
      <c r="B317" s="175"/>
      <c r="C317" s="176" t="s">
        <v>744</v>
      </c>
      <c r="D317" s="255"/>
      <c r="E317" s="255"/>
      <c r="F317" s="256"/>
      <c r="G317" s="169" t="s">
        <v>745</v>
      </c>
    </row>
    <row r="318" spans="1:7" ht="27.6" x14ac:dyDescent="0.25">
      <c r="A318" s="203" t="s">
        <v>746</v>
      </c>
      <c r="B318" s="175"/>
      <c r="C318" s="211" t="s">
        <v>747</v>
      </c>
      <c r="D318" s="255"/>
      <c r="E318" s="255" t="s">
        <v>748</v>
      </c>
      <c r="F318" s="256"/>
      <c r="G318" s="169"/>
    </row>
    <row r="319" spans="1:7" ht="27.6" x14ac:dyDescent="0.25">
      <c r="A319" s="203" t="s">
        <v>749</v>
      </c>
      <c r="B319" s="175"/>
      <c r="C319" s="211" t="s">
        <v>750</v>
      </c>
      <c r="D319" s="255"/>
      <c r="E319" s="255" t="s">
        <v>748</v>
      </c>
      <c r="F319" s="256"/>
      <c r="G319" s="169"/>
    </row>
    <row r="320" spans="1:7" ht="41.4" x14ac:dyDescent="0.25">
      <c r="A320" s="203" t="s">
        <v>751</v>
      </c>
      <c r="B320" s="175"/>
      <c r="C320" s="176" t="s">
        <v>752</v>
      </c>
      <c r="D320" s="255"/>
      <c r="E320" s="255"/>
      <c r="F320" s="256"/>
      <c r="G320" s="257"/>
    </row>
    <row r="321" spans="1:7" ht="54.6" x14ac:dyDescent="0.25">
      <c r="A321" s="203" t="s">
        <v>753</v>
      </c>
      <c r="B321" s="175"/>
      <c r="C321" s="176" t="s">
        <v>754</v>
      </c>
      <c r="D321" s="255"/>
      <c r="E321" s="255"/>
      <c r="F321" s="256"/>
      <c r="G321" s="257"/>
    </row>
    <row r="322" spans="1:7" ht="27.6" x14ac:dyDescent="0.25">
      <c r="A322" s="203" t="s">
        <v>755</v>
      </c>
      <c r="B322" s="175"/>
      <c r="C322" s="176" t="s">
        <v>756</v>
      </c>
      <c r="D322" s="255"/>
      <c r="E322" s="255"/>
      <c r="F322" s="256"/>
      <c r="G322" s="257"/>
    </row>
    <row r="323" spans="1:7" ht="14.4" thickBot="1" x14ac:dyDescent="0.3">
      <c r="A323" s="212"/>
      <c r="B323" s="213"/>
      <c r="C323" s="214"/>
      <c r="D323" s="267"/>
      <c r="E323" s="267"/>
      <c r="F323" s="268"/>
      <c r="G323" s="269"/>
    </row>
    <row r="324" spans="1:7" ht="17.399999999999999" x14ac:dyDescent="0.25">
      <c r="A324" s="270" t="s">
        <v>757</v>
      </c>
      <c r="B324" s="271" t="s">
        <v>758</v>
      </c>
      <c r="C324" s="272"/>
      <c r="D324" s="273"/>
      <c r="E324" s="274"/>
      <c r="F324" s="275"/>
      <c r="G324" s="276"/>
    </row>
    <row r="325" spans="1:7" ht="17.399999999999999" x14ac:dyDescent="0.25">
      <c r="A325" s="166"/>
      <c r="B325" s="169" t="s">
        <v>759</v>
      </c>
      <c r="C325" s="169"/>
      <c r="D325" s="323"/>
      <c r="E325" s="323"/>
      <c r="F325" s="323"/>
      <c r="G325" s="82"/>
    </row>
    <row r="326" spans="1:7" x14ac:dyDescent="0.25">
      <c r="A326" s="235" t="s">
        <v>760</v>
      </c>
      <c r="B326" s="171" t="s">
        <v>761</v>
      </c>
      <c r="C326" s="176"/>
      <c r="D326" s="204"/>
      <c r="E326" s="204"/>
      <c r="F326" s="233"/>
      <c r="G326" s="175"/>
    </row>
    <row r="327" spans="1:7" ht="97.2" x14ac:dyDescent="0.25">
      <c r="A327" s="206" t="s">
        <v>762</v>
      </c>
      <c r="B327" s="189"/>
      <c r="C327" s="190" t="s">
        <v>763</v>
      </c>
      <c r="D327" s="181"/>
      <c r="E327" s="181"/>
      <c r="F327" s="178"/>
      <c r="G327" s="175"/>
    </row>
    <row r="328" spans="1:7" ht="28.8" x14ac:dyDescent="0.25">
      <c r="A328" s="201" t="s">
        <v>764</v>
      </c>
      <c r="B328" s="189"/>
      <c r="C328" s="192" t="s">
        <v>765</v>
      </c>
      <c r="D328" s="255"/>
      <c r="E328" s="255"/>
      <c r="F328" s="258"/>
      <c r="G328" s="257"/>
    </row>
    <row r="329" spans="1:7" ht="28.8" x14ac:dyDescent="0.25">
      <c r="A329" s="201" t="s">
        <v>766</v>
      </c>
      <c r="B329" s="189"/>
      <c r="C329" s="192" t="s">
        <v>767</v>
      </c>
      <c r="D329" s="181"/>
      <c r="E329" s="181"/>
      <c r="F329" s="185"/>
      <c r="G329" s="175"/>
    </row>
    <row r="330" spans="1:7" ht="14.4" x14ac:dyDescent="0.25">
      <c r="A330" s="201" t="s">
        <v>768</v>
      </c>
      <c r="B330" s="189"/>
      <c r="C330" s="192" t="s">
        <v>769</v>
      </c>
      <c r="D330" s="181"/>
      <c r="E330" s="181"/>
      <c r="F330" s="185"/>
      <c r="G330" s="175"/>
    </row>
    <row r="331" spans="1:7" ht="14.4" x14ac:dyDescent="0.25">
      <c r="A331" s="201" t="s">
        <v>770</v>
      </c>
      <c r="B331" s="189"/>
      <c r="C331" s="192" t="s">
        <v>771</v>
      </c>
      <c r="D331" s="181"/>
      <c r="E331" s="181"/>
      <c r="F331" s="185"/>
      <c r="G331" s="175"/>
    </row>
    <row r="332" spans="1:7" x14ac:dyDescent="0.25">
      <c r="A332" s="170" t="s">
        <v>772</v>
      </c>
      <c r="B332" s="171" t="s">
        <v>773</v>
      </c>
      <c r="C332" s="214"/>
      <c r="D332" s="204"/>
      <c r="E332" s="204"/>
      <c r="F332" s="233"/>
      <c r="G332" s="175"/>
    </row>
    <row r="333" spans="1:7" ht="41.4" x14ac:dyDescent="0.25">
      <c r="A333" s="174" t="s">
        <v>774</v>
      </c>
      <c r="B333" s="175"/>
      <c r="C333" s="176" t="s">
        <v>775</v>
      </c>
      <c r="D333" s="181"/>
      <c r="E333" s="181"/>
      <c r="F333" s="185"/>
      <c r="G333" s="169" t="s">
        <v>776</v>
      </c>
    </row>
    <row r="334" spans="1:7" ht="42" x14ac:dyDescent="0.25">
      <c r="A334" s="201" t="s">
        <v>777</v>
      </c>
      <c r="B334" s="189"/>
      <c r="C334" s="190" t="s">
        <v>778</v>
      </c>
      <c r="D334" s="181"/>
      <c r="E334" s="181"/>
      <c r="F334" s="178"/>
      <c r="G334" s="175"/>
    </row>
    <row r="335" spans="1:7" ht="14.4" x14ac:dyDescent="0.25">
      <c r="A335" s="201" t="s">
        <v>779</v>
      </c>
      <c r="B335" s="189"/>
      <c r="C335" s="192" t="s">
        <v>780</v>
      </c>
      <c r="D335" s="181"/>
      <c r="E335" s="181"/>
      <c r="F335" s="178"/>
      <c r="G335" s="175"/>
    </row>
    <row r="336" spans="1:7" ht="14.4" x14ac:dyDescent="0.25">
      <c r="A336" s="201" t="s">
        <v>781</v>
      </c>
      <c r="B336" s="189"/>
      <c r="C336" s="192" t="s">
        <v>782</v>
      </c>
      <c r="D336" s="181"/>
      <c r="E336" s="181"/>
      <c r="F336" s="178"/>
      <c r="G336" s="175"/>
    </row>
    <row r="337" spans="1:7" ht="14.4" x14ac:dyDescent="0.25">
      <c r="A337" s="201" t="s">
        <v>783</v>
      </c>
      <c r="B337" s="189"/>
      <c r="C337" s="192" t="s">
        <v>784</v>
      </c>
      <c r="D337" s="181"/>
      <c r="E337" s="181"/>
      <c r="F337" s="178"/>
      <c r="G337" s="175"/>
    </row>
    <row r="338" spans="1:7" ht="28.8" x14ac:dyDescent="0.25">
      <c r="A338" s="201" t="s">
        <v>785</v>
      </c>
      <c r="B338" s="189"/>
      <c r="C338" s="277" t="s">
        <v>786</v>
      </c>
      <c r="D338" s="181"/>
      <c r="E338" s="181"/>
      <c r="F338" s="178"/>
      <c r="G338" s="175"/>
    </row>
    <row r="339" spans="1:7" ht="14.4" x14ac:dyDescent="0.25">
      <c r="A339" s="201" t="s">
        <v>787</v>
      </c>
      <c r="B339" s="189"/>
      <c r="C339" s="192" t="s">
        <v>788</v>
      </c>
      <c r="D339" s="181"/>
      <c r="E339" s="181"/>
      <c r="F339" s="178"/>
      <c r="G339" s="175"/>
    </row>
    <row r="340" spans="1:7" ht="14.4" x14ac:dyDescent="0.25">
      <c r="A340" s="201" t="s">
        <v>789</v>
      </c>
      <c r="B340" s="189"/>
      <c r="C340" s="192" t="s">
        <v>790</v>
      </c>
      <c r="D340" s="181"/>
      <c r="E340" s="181"/>
      <c r="F340" s="178"/>
      <c r="G340" s="175"/>
    </row>
    <row r="341" spans="1:7" ht="14.4" x14ac:dyDescent="0.25">
      <c r="A341" s="201" t="s">
        <v>791</v>
      </c>
      <c r="B341" s="189"/>
      <c r="C341" s="192" t="s">
        <v>792</v>
      </c>
      <c r="D341" s="181"/>
      <c r="E341" s="181"/>
      <c r="F341" s="185"/>
      <c r="G341" s="175"/>
    </row>
    <row r="342" spans="1:7" ht="27.6" x14ac:dyDescent="0.25">
      <c r="A342" s="174" t="s">
        <v>793</v>
      </c>
      <c r="B342" s="175"/>
      <c r="C342" s="176" t="s">
        <v>794</v>
      </c>
      <c r="D342" s="181"/>
      <c r="E342" s="181"/>
      <c r="F342" s="178"/>
      <c r="G342" s="175"/>
    </row>
    <row r="343" spans="1:7" ht="41.4" x14ac:dyDescent="0.25">
      <c r="A343" s="174" t="s">
        <v>795</v>
      </c>
      <c r="B343" s="175"/>
      <c r="C343" s="176" t="s">
        <v>796</v>
      </c>
      <c r="D343" s="181"/>
      <c r="E343" s="181"/>
      <c r="F343" s="185"/>
      <c r="G343" s="175"/>
    </row>
    <row r="344" spans="1:7" ht="31.5" customHeight="1" x14ac:dyDescent="0.25">
      <c r="A344" s="174" t="s">
        <v>797</v>
      </c>
      <c r="B344" s="175"/>
      <c r="C344" s="176" t="s">
        <v>798</v>
      </c>
      <c r="D344" s="181"/>
      <c r="E344" s="181"/>
      <c r="F344" s="178"/>
      <c r="G344" s="175"/>
    </row>
    <row r="345" spans="1:7" ht="48" customHeight="1" x14ac:dyDescent="0.25">
      <c r="A345" s="174" t="s">
        <v>799</v>
      </c>
      <c r="B345" s="175"/>
      <c r="C345" s="176" t="s">
        <v>800</v>
      </c>
      <c r="D345" s="181"/>
      <c r="E345" s="181"/>
      <c r="F345" s="178"/>
      <c r="G345" s="175"/>
    </row>
    <row r="346" spans="1:7" x14ac:dyDescent="0.25">
      <c r="A346" s="170" t="s">
        <v>801</v>
      </c>
      <c r="B346" s="171" t="s">
        <v>802</v>
      </c>
      <c r="C346" s="176"/>
      <c r="D346" s="204"/>
      <c r="E346" s="204"/>
      <c r="F346" s="233"/>
      <c r="G346" s="175"/>
    </row>
    <row r="347" spans="1:7" ht="27.6" x14ac:dyDescent="0.25">
      <c r="A347" s="174" t="s">
        <v>803</v>
      </c>
      <c r="B347" s="175"/>
      <c r="C347" s="176" t="s">
        <v>804</v>
      </c>
      <c r="D347" s="181"/>
      <c r="E347" s="181"/>
      <c r="F347" s="185"/>
      <c r="G347" s="169" t="s">
        <v>805</v>
      </c>
    </row>
    <row r="348" spans="1:7" ht="42.6" x14ac:dyDescent="0.25">
      <c r="A348" s="201" t="s">
        <v>806</v>
      </c>
      <c r="B348" s="189"/>
      <c r="C348" s="190" t="s">
        <v>807</v>
      </c>
      <c r="D348" s="181"/>
      <c r="E348" s="181"/>
      <c r="F348" s="178"/>
      <c r="G348" s="175"/>
    </row>
    <row r="349" spans="1:7" ht="28.8" x14ac:dyDescent="0.25">
      <c r="A349" s="201" t="s">
        <v>808</v>
      </c>
      <c r="B349" s="189"/>
      <c r="C349" s="192" t="s">
        <v>809</v>
      </c>
      <c r="D349" s="181"/>
      <c r="E349" s="181"/>
      <c r="F349" s="178"/>
      <c r="G349" s="175"/>
    </row>
    <row r="350" spans="1:7" ht="14.4" x14ac:dyDescent="0.25">
      <c r="A350" s="201" t="s">
        <v>810</v>
      </c>
      <c r="B350" s="189"/>
      <c r="C350" s="192" t="s">
        <v>811</v>
      </c>
      <c r="D350" s="181"/>
      <c r="E350" s="181"/>
      <c r="F350" s="178"/>
      <c r="G350" s="175"/>
    </row>
    <row r="351" spans="1:7" ht="27.6" x14ac:dyDescent="0.25">
      <c r="A351" s="174" t="s">
        <v>812</v>
      </c>
      <c r="B351" s="175"/>
      <c r="C351" s="176" t="s">
        <v>813</v>
      </c>
      <c r="D351" s="181"/>
      <c r="E351" s="181"/>
      <c r="F351" s="178"/>
      <c r="G351" s="175"/>
    </row>
    <row r="352" spans="1:7" ht="41.4" x14ac:dyDescent="0.25">
      <c r="A352" s="174" t="s">
        <v>814</v>
      </c>
      <c r="B352" s="175"/>
      <c r="C352" s="176" t="s">
        <v>815</v>
      </c>
      <c r="D352" s="181"/>
      <c r="E352" s="181"/>
      <c r="F352" s="185"/>
      <c r="G352" s="175"/>
    </row>
    <row r="353" spans="1:7" x14ac:dyDescent="0.25">
      <c r="A353" s="174" t="s">
        <v>816</v>
      </c>
      <c r="B353" s="175"/>
      <c r="C353" s="176" t="s">
        <v>817</v>
      </c>
      <c r="D353" s="181"/>
      <c r="E353" s="181"/>
      <c r="F353" s="178"/>
      <c r="G353" s="175"/>
    </row>
    <row r="354" spans="1:7" ht="27.6" x14ac:dyDescent="0.25">
      <c r="A354" s="174" t="s">
        <v>818</v>
      </c>
      <c r="B354" s="175"/>
      <c r="C354" s="176" t="s">
        <v>819</v>
      </c>
      <c r="D354" s="181"/>
      <c r="E354" s="181"/>
      <c r="F354" s="185"/>
      <c r="G354" s="169" t="s">
        <v>820</v>
      </c>
    </row>
    <row r="355" spans="1:7" s="152" customFormat="1" ht="41.4" x14ac:dyDescent="0.25">
      <c r="A355" s="203" t="s">
        <v>821</v>
      </c>
      <c r="B355" s="176"/>
      <c r="C355" s="176" t="s">
        <v>822</v>
      </c>
      <c r="D355" s="195"/>
      <c r="E355" s="195"/>
      <c r="F355" s="178"/>
      <c r="G355" s="176"/>
    </row>
    <row r="356" spans="1:7" x14ac:dyDescent="0.25">
      <c r="A356" s="170" t="s">
        <v>823</v>
      </c>
      <c r="B356" s="171" t="s">
        <v>824</v>
      </c>
      <c r="C356" s="176"/>
      <c r="D356" s="204"/>
      <c r="E356" s="204"/>
      <c r="F356" s="233"/>
      <c r="G356" s="175"/>
    </row>
    <row r="357" spans="1:7" ht="42" x14ac:dyDescent="0.25">
      <c r="A357" s="201" t="s">
        <v>825</v>
      </c>
      <c r="B357" s="189"/>
      <c r="C357" s="190" t="s">
        <v>826</v>
      </c>
      <c r="D357" s="181"/>
      <c r="E357" s="181"/>
      <c r="F357" s="178"/>
      <c r="G357" s="175"/>
    </row>
    <row r="358" spans="1:7" ht="14.4" x14ac:dyDescent="0.25">
      <c r="A358" s="201" t="s">
        <v>827</v>
      </c>
      <c r="B358" s="189"/>
      <c r="C358" s="192" t="s">
        <v>210</v>
      </c>
      <c r="D358" s="181"/>
      <c r="E358" s="181"/>
      <c r="F358" s="178"/>
      <c r="G358" s="175"/>
    </row>
    <row r="359" spans="1:7" ht="14.4" x14ac:dyDescent="0.25">
      <c r="A359" s="201" t="s">
        <v>828</v>
      </c>
      <c r="B359" s="189"/>
      <c r="C359" s="192" t="s">
        <v>829</v>
      </c>
      <c r="D359" s="181"/>
      <c r="E359" s="181"/>
      <c r="F359" s="178"/>
      <c r="G359" s="175"/>
    </row>
    <row r="360" spans="1:7" ht="14.4" x14ac:dyDescent="0.25">
      <c r="A360" s="201" t="s">
        <v>830</v>
      </c>
      <c r="B360" s="189"/>
      <c r="C360" s="192" t="s">
        <v>214</v>
      </c>
      <c r="D360" s="181"/>
      <c r="E360" s="181"/>
      <c r="F360" s="178"/>
      <c r="G360" s="175"/>
    </row>
    <row r="361" spans="1:7" ht="14.4" x14ac:dyDescent="0.25">
      <c r="A361" s="201" t="s">
        <v>831</v>
      </c>
      <c r="B361" s="189"/>
      <c r="C361" s="192" t="s">
        <v>832</v>
      </c>
      <c r="D361" s="181"/>
      <c r="E361" s="181"/>
      <c r="F361" s="178"/>
      <c r="G361" s="175"/>
    </row>
    <row r="362" spans="1:7" ht="14.4" x14ac:dyDescent="0.25">
      <c r="A362" s="201" t="s">
        <v>833</v>
      </c>
      <c r="B362" s="189"/>
      <c r="C362" s="192" t="s">
        <v>834</v>
      </c>
      <c r="D362" s="181"/>
      <c r="E362" s="181"/>
      <c r="F362" s="178"/>
      <c r="G362" s="175"/>
    </row>
    <row r="363" spans="1:7" ht="28.8" x14ac:dyDescent="0.25">
      <c r="A363" s="201" t="s">
        <v>835</v>
      </c>
      <c r="B363" s="189"/>
      <c r="C363" s="192" t="s">
        <v>836</v>
      </c>
      <c r="D363" s="181"/>
      <c r="E363" s="181"/>
      <c r="F363" s="185"/>
      <c r="G363" s="175"/>
    </row>
    <row r="364" spans="1:7" ht="27.6" x14ac:dyDescent="0.25">
      <c r="A364" s="174" t="s">
        <v>837</v>
      </c>
      <c r="B364" s="175"/>
      <c r="C364" s="176" t="s">
        <v>838</v>
      </c>
      <c r="D364" s="181"/>
      <c r="E364" s="181"/>
      <c r="F364" s="178"/>
      <c r="G364" s="175"/>
    </row>
    <row r="365" spans="1:7" ht="27.6" x14ac:dyDescent="0.25">
      <c r="A365" s="174" t="s">
        <v>839</v>
      </c>
      <c r="B365" s="175"/>
      <c r="C365" s="176" t="s">
        <v>840</v>
      </c>
      <c r="D365" s="181"/>
      <c r="E365" s="181"/>
      <c r="F365" s="178"/>
      <c r="G365" s="169" t="s">
        <v>841</v>
      </c>
    </row>
    <row r="366" spans="1:7" ht="28.2" x14ac:dyDescent="0.25">
      <c r="A366" s="201" t="s">
        <v>842</v>
      </c>
      <c r="B366" s="189"/>
      <c r="C366" s="190" t="s">
        <v>843</v>
      </c>
      <c r="D366" s="181"/>
      <c r="E366" s="181"/>
      <c r="F366" s="178"/>
      <c r="G366" s="175"/>
    </row>
    <row r="367" spans="1:7" ht="14.4" x14ac:dyDescent="0.25">
      <c r="A367" s="201" t="s">
        <v>844</v>
      </c>
      <c r="B367" s="189"/>
      <c r="C367" s="192" t="s">
        <v>210</v>
      </c>
      <c r="D367" s="181"/>
      <c r="E367" s="181"/>
      <c r="F367" s="178"/>
      <c r="G367" s="175"/>
    </row>
    <row r="368" spans="1:7" ht="14.4" x14ac:dyDescent="0.25">
      <c r="A368" s="201" t="s">
        <v>845</v>
      </c>
      <c r="B368" s="189"/>
      <c r="C368" s="192" t="s">
        <v>829</v>
      </c>
      <c r="D368" s="181"/>
      <c r="E368" s="181"/>
      <c r="F368" s="178"/>
      <c r="G368" s="175"/>
    </row>
    <row r="369" spans="1:7" ht="14.4" x14ac:dyDescent="0.25">
      <c r="A369" s="201" t="s">
        <v>846</v>
      </c>
      <c r="B369" s="189"/>
      <c r="C369" s="192" t="s">
        <v>214</v>
      </c>
      <c r="D369" s="181"/>
      <c r="E369" s="181"/>
      <c r="F369" s="178"/>
      <c r="G369" s="175"/>
    </row>
    <row r="370" spans="1:7" ht="14.4" x14ac:dyDescent="0.25">
      <c r="A370" s="201" t="s">
        <v>847</v>
      </c>
      <c r="B370" s="189"/>
      <c r="C370" s="192" t="s">
        <v>832</v>
      </c>
      <c r="D370" s="181"/>
      <c r="E370" s="181"/>
      <c r="F370" s="178"/>
      <c r="G370" s="175"/>
    </row>
    <row r="371" spans="1:7" ht="14.4" x14ac:dyDescent="0.25">
      <c r="A371" s="201" t="s">
        <v>848</v>
      </c>
      <c r="B371" s="189"/>
      <c r="C371" s="192" t="s">
        <v>834</v>
      </c>
      <c r="D371" s="181"/>
      <c r="E371" s="181"/>
      <c r="F371" s="178"/>
      <c r="G371" s="175"/>
    </row>
    <row r="372" spans="1:7" ht="28.8" x14ac:dyDescent="0.25">
      <c r="A372" s="201" t="s">
        <v>849</v>
      </c>
      <c r="B372" s="189"/>
      <c r="C372" s="192" t="s">
        <v>836</v>
      </c>
      <c r="D372" s="181"/>
      <c r="E372" s="181"/>
      <c r="F372" s="185"/>
      <c r="G372" s="175"/>
    </row>
    <row r="373" spans="1:7" ht="27.6" x14ac:dyDescent="0.25">
      <c r="A373" s="174" t="s">
        <v>850</v>
      </c>
      <c r="B373" s="175"/>
      <c r="C373" s="176" t="s">
        <v>851</v>
      </c>
      <c r="D373" s="181"/>
      <c r="E373" s="181"/>
      <c r="F373" s="178"/>
      <c r="G373" s="175"/>
    </row>
    <row r="374" spans="1:7" ht="14.4" thickBot="1" x14ac:dyDescent="0.3">
      <c r="A374" s="278"/>
      <c r="B374" s="213"/>
      <c r="C374" s="214"/>
      <c r="D374" s="215"/>
      <c r="E374" s="215"/>
      <c r="F374" s="216"/>
      <c r="G374" s="213"/>
    </row>
    <row r="375" spans="1:7" ht="17.399999999999999" x14ac:dyDescent="0.25">
      <c r="A375" s="270" t="s">
        <v>852</v>
      </c>
      <c r="B375" s="271" t="s">
        <v>853</v>
      </c>
      <c r="C375" s="272"/>
      <c r="D375" s="273"/>
      <c r="E375" s="274"/>
      <c r="F375" s="275"/>
      <c r="G375" s="276"/>
    </row>
    <row r="376" spans="1:7" ht="17.399999999999999" x14ac:dyDescent="0.25">
      <c r="A376" s="166"/>
      <c r="B376" s="169" t="s">
        <v>854</v>
      </c>
      <c r="C376" s="169"/>
      <c r="D376" s="323"/>
      <c r="E376" s="323"/>
      <c r="F376" s="323"/>
      <c r="G376" s="82"/>
    </row>
    <row r="377" spans="1:7" x14ac:dyDescent="0.25">
      <c r="A377" s="235" t="s">
        <v>855</v>
      </c>
      <c r="B377" s="171" t="s">
        <v>856</v>
      </c>
      <c r="C377" s="176"/>
      <c r="D377" s="204"/>
      <c r="E377" s="204"/>
      <c r="F377" s="233"/>
      <c r="G377" s="175"/>
    </row>
    <row r="378" spans="1:7" ht="27.6" x14ac:dyDescent="0.25">
      <c r="A378" s="174" t="s">
        <v>857</v>
      </c>
      <c r="B378" s="175"/>
      <c r="C378" s="176" t="s">
        <v>858</v>
      </c>
      <c r="D378" s="181"/>
      <c r="E378" s="181"/>
      <c r="F378" s="178"/>
      <c r="G378" s="175"/>
    </row>
    <row r="379" spans="1:7" ht="27.6" x14ac:dyDescent="0.25">
      <c r="A379" s="174" t="s">
        <v>859</v>
      </c>
      <c r="B379" s="175"/>
      <c r="C379" s="176" t="s">
        <v>860</v>
      </c>
      <c r="D379" s="181"/>
      <c r="E379" s="181"/>
      <c r="F379" s="178"/>
      <c r="G379" s="279" t="s">
        <v>861</v>
      </c>
    </row>
    <row r="380" spans="1:7" ht="28.2" x14ac:dyDescent="0.25">
      <c r="A380" s="201" t="s">
        <v>862</v>
      </c>
      <c r="B380" s="189"/>
      <c r="C380" s="190" t="s">
        <v>863</v>
      </c>
      <c r="D380" s="181"/>
      <c r="E380" s="181"/>
      <c r="F380" s="178"/>
      <c r="G380" s="175"/>
    </row>
    <row r="381" spans="1:7" ht="14.4" x14ac:dyDescent="0.25">
      <c r="A381" s="201" t="s">
        <v>864</v>
      </c>
      <c r="B381" s="189"/>
      <c r="C381" s="192" t="s">
        <v>865</v>
      </c>
      <c r="D381" s="181"/>
      <c r="E381" s="181"/>
      <c r="F381" s="178"/>
      <c r="G381" s="175"/>
    </row>
    <row r="382" spans="1:7" ht="14.4" x14ac:dyDescent="0.25">
      <c r="A382" s="201" t="s">
        <v>866</v>
      </c>
      <c r="B382" s="189"/>
      <c r="C382" s="192" t="s">
        <v>867</v>
      </c>
      <c r="D382" s="181"/>
      <c r="E382" s="181"/>
      <c r="F382" s="178"/>
      <c r="G382" s="175"/>
    </row>
    <row r="383" spans="1:7" ht="14.4" x14ac:dyDescent="0.25">
      <c r="A383" s="201" t="s">
        <v>868</v>
      </c>
      <c r="B383" s="189"/>
      <c r="C383" s="192" t="s">
        <v>869</v>
      </c>
      <c r="D383" s="181"/>
      <c r="E383" s="181"/>
      <c r="F383" s="178"/>
      <c r="G383" s="175"/>
    </row>
    <row r="384" spans="1:7" ht="14.4" x14ac:dyDescent="0.25">
      <c r="A384" s="201" t="s">
        <v>870</v>
      </c>
      <c r="B384" s="189"/>
      <c r="C384" s="192" t="s">
        <v>871</v>
      </c>
      <c r="D384" s="181"/>
      <c r="E384" s="181"/>
      <c r="F384" s="185"/>
      <c r="G384" s="175"/>
    </row>
    <row r="385" spans="1:7" ht="27.6" x14ac:dyDescent="0.25">
      <c r="A385" s="174" t="s">
        <v>872</v>
      </c>
      <c r="B385" s="175"/>
      <c r="C385" s="176" t="s">
        <v>873</v>
      </c>
      <c r="D385" s="181"/>
      <c r="E385" s="181"/>
      <c r="F385" s="178"/>
      <c r="G385" s="175"/>
    </row>
    <row r="386" spans="1:7" x14ac:dyDescent="0.25">
      <c r="A386" s="174" t="s">
        <v>874</v>
      </c>
      <c r="B386" s="175"/>
      <c r="C386" s="176" t="s">
        <v>875</v>
      </c>
      <c r="D386" s="181"/>
      <c r="E386" s="181"/>
      <c r="F386" s="178"/>
      <c r="G386" s="175"/>
    </row>
    <row r="387" spans="1:7" ht="41.4" x14ac:dyDescent="0.25">
      <c r="A387" s="174" t="s">
        <v>876</v>
      </c>
      <c r="B387" s="175"/>
      <c r="C387" s="176" t="s">
        <v>877</v>
      </c>
      <c r="D387" s="181"/>
      <c r="E387" s="181"/>
      <c r="F387" s="178"/>
      <c r="G387" s="175"/>
    </row>
    <row r="388" spans="1:7" x14ac:dyDescent="0.25">
      <c r="A388" s="170" t="s">
        <v>878</v>
      </c>
      <c r="B388" s="171" t="s">
        <v>879</v>
      </c>
      <c r="C388" s="176"/>
      <c r="D388" s="204"/>
      <c r="E388" s="204"/>
      <c r="F388" s="233"/>
      <c r="G388" s="175"/>
    </row>
    <row r="389" spans="1:7" ht="42" x14ac:dyDescent="0.25">
      <c r="A389" s="201" t="s">
        <v>880</v>
      </c>
      <c r="B389" s="189"/>
      <c r="C389" s="190" t="s">
        <v>881</v>
      </c>
      <c r="D389" s="181"/>
      <c r="E389" s="181"/>
      <c r="F389" s="178"/>
      <c r="G389" s="175"/>
    </row>
    <row r="390" spans="1:7" ht="14.4" x14ac:dyDescent="0.25">
      <c r="A390" s="201" t="s">
        <v>882</v>
      </c>
      <c r="B390" s="189"/>
      <c r="C390" s="192" t="s">
        <v>883</v>
      </c>
      <c r="D390" s="181"/>
      <c r="E390" s="181"/>
      <c r="F390" s="178"/>
      <c r="G390" s="175"/>
    </row>
    <row r="391" spans="1:7" ht="14.4" x14ac:dyDescent="0.25">
      <c r="A391" s="201" t="s">
        <v>884</v>
      </c>
      <c r="B391" s="189"/>
      <c r="C391" s="192" t="s">
        <v>885</v>
      </c>
      <c r="D391" s="181"/>
      <c r="E391" s="181"/>
      <c r="F391" s="178"/>
      <c r="G391" s="175"/>
    </row>
    <row r="392" spans="1:7" ht="28.2" x14ac:dyDescent="0.25">
      <c r="A392" s="201" t="s">
        <v>886</v>
      </c>
      <c r="B392" s="189"/>
      <c r="C392" s="190" t="s">
        <v>887</v>
      </c>
      <c r="D392" s="181"/>
      <c r="E392" s="181"/>
      <c r="F392" s="178"/>
      <c r="G392" s="175"/>
    </row>
    <row r="393" spans="1:7" ht="14.4" x14ac:dyDescent="0.25">
      <c r="A393" s="201" t="s">
        <v>888</v>
      </c>
      <c r="B393" s="189"/>
      <c r="C393" s="192" t="s">
        <v>889</v>
      </c>
      <c r="D393" s="181"/>
      <c r="E393" s="181"/>
      <c r="F393" s="178"/>
      <c r="G393" s="175"/>
    </row>
    <row r="394" spans="1:7" ht="14.4" x14ac:dyDescent="0.25">
      <c r="A394" s="201" t="s">
        <v>890</v>
      </c>
      <c r="B394" s="189"/>
      <c r="C394" s="192" t="s">
        <v>891</v>
      </c>
      <c r="D394" s="181"/>
      <c r="E394" s="181"/>
      <c r="F394" s="178"/>
      <c r="G394" s="175"/>
    </row>
    <row r="395" spans="1:7" ht="14.4" x14ac:dyDescent="0.25">
      <c r="A395" s="201" t="s">
        <v>892</v>
      </c>
      <c r="B395" s="189"/>
      <c r="C395" s="192" t="s">
        <v>893</v>
      </c>
      <c r="D395" s="181"/>
      <c r="E395" s="181"/>
      <c r="F395" s="178"/>
      <c r="G395" s="175"/>
    </row>
    <row r="396" spans="1:7" ht="14.4" x14ac:dyDescent="0.25">
      <c r="A396" s="201" t="s">
        <v>894</v>
      </c>
      <c r="B396" s="189"/>
      <c r="C396" s="192" t="s">
        <v>895</v>
      </c>
      <c r="D396" s="181"/>
      <c r="E396" s="181"/>
      <c r="F396" s="178"/>
      <c r="G396" s="175"/>
    </row>
    <row r="397" spans="1:7" ht="14.4" x14ac:dyDescent="0.25">
      <c r="A397" s="201" t="s">
        <v>896</v>
      </c>
      <c r="B397" s="189"/>
      <c r="C397" s="192" t="s">
        <v>897</v>
      </c>
      <c r="D397" s="181"/>
      <c r="E397" s="181"/>
      <c r="F397" s="178"/>
      <c r="G397" s="175"/>
    </row>
    <row r="398" spans="1:7" ht="14.4" x14ac:dyDescent="0.25">
      <c r="A398" s="201" t="s">
        <v>898</v>
      </c>
      <c r="B398" s="189"/>
      <c r="C398" s="192" t="s">
        <v>899</v>
      </c>
      <c r="D398" s="181"/>
      <c r="E398" s="181"/>
      <c r="F398" s="178"/>
      <c r="G398" s="175"/>
    </row>
    <row r="399" spans="1:7" ht="17.399999999999999" x14ac:dyDescent="0.25">
      <c r="A399" s="201" t="s">
        <v>900</v>
      </c>
      <c r="B399" s="189"/>
      <c r="C399" s="192" t="s">
        <v>901</v>
      </c>
      <c r="D399" s="181"/>
      <c r="E399" s="181"/>
      <c r="F399" s="185"/>
      <c r="G399" s="82"/>
    </row>
    <row r="400" spans="1:7" ht="14.4" thickBot="1" x14ac:dyDescent="0.3">
      <c r="A400" s="278"/>
      <c r="B400" s="213"/>
      <c r="C400" s="214"/>
      <c r="D400" s="215"/>
      <c r="E400" s="215"/>
      <c r="F400" s="216"/>
      <c r="G400" s="213"/>
    </row>
    <row r="401" spans="1:7" ht="17.399999999999999" x14ac:dyDescent="0.25">
      <c r="A401" s="270" t="s">
        <v>902</v>
      </c>
      <c r="B401" s="271" t="s">
        <v>903</v>
      </c>
      <c r="C401" s="272"/>
      <c r="D401" s="273"/>
      <c r="E401" s="274"/>
      <c r="F401" s="275"/>
      <c r="G401" s="276"/>
    </row>
    <row r="402" spans="1:7" ht="17.399999999999999" x14ac:dyDescent="0.25">
      <c r="A402" s="166"/>
      <c r="B402" s="169" t="s">
        <v>904</v>
      </c>
      <c r="C402" s="169"/>
      <c r="D402" s="323"/>
      <c r="E402" s="323"/>
      <c r="F402" s="323"/>
      <c r="G402" s="82"/>
    </row>
    <row r="403" spans="1:7" x14ac:dyDescent="0.25">
      <c r="A403" s="235" t="s">
        <v>905</v>
      </c>
      <c r="B403" s="171" t="s">
        <v>906</v>
      </c>
      <c r="C403" s="176"/>
      <c r="D403" s="204"/>
      <c r="E403" s="204"/>
      <c r="F403" s="233"/>
      <c r="G403" s="175"/>
    </row>
    <row r="404" spans="1:7" ht="27.6" x14ac:dyDescent="0.25">
      <c r="A404" s="174" t="s">
        <v>907</v>
      </c>
      <c r="B404" s="175"/>
      <c r="C404" s="176" t="s">
        <v>908</v>
      </c>
      <c r="D404" s="181"/>
      <c r="E404" s="181"/>
      <c r="F404" s="178"/>
      <c r="G404" s="169" t="s">
        <v>909</v>
      </c>
    </row>
    <row r="405" spans="1:7" ht="27.6" x14ac:dyDescent="0.25">
      <c r="A405" s="174" t="s">
        <v>910</v>
      </c>
      <c r="B405" s="175"/>
      <c r="C405" s="176" t="s">
        <v>911</v>
      </c>
      <c r="D405" s="181"/>
      <c r="E405" s="181"/>
      <c r="F405" s="178"/>
      <c r="G405" s="175"/>
    </row>
    <row r="406" spans="1:7" ht="69.599999999999994" x14ac:dyDescent="0.25">
      <c r="A406" s="201" t="s">
        <v>912</v>
      </c>
      <c r="B406" s="189"/>
      <c r="C406" s="190" t="s">
        <v>913</v>
      </c>
      <c r="D406" s="181"/>
      <c r="E406" s="181"/>
      <c r="F406" s="178"/>
      <c r="G406" s="175"/>
    </row>
    <row r="407" spans="1:7" ht="14.4" x14ac:dyDescent="0.25">
      <c r="A407" s="201" t="s">
        <v>914</v>
      </c>
      <c r="B407" s="189"/>
      <c r="C407" s="192" t="s">
        <v>915</v>
      </c>
      <c r="D407" s="181"/>
      <c r="E407" s="181"/>
      <c r="F407" s="178"/>
      <c r="G407" s="175"/>
    </row>
    <row r="408" spans="1:7" ht="14.4" x14ac:dyDescent="0.25">
      <c r="A408" s="201" t="s">
        <v>916</v>
      </c>
      <c r="B408" s="189"/>
      <c r="C408" s="192" t="s">
        <v>917</v>
      </c>
      <c r="D408" s="181"/>
      <c r="E408" s="181"/>
      <c r="F408" s="178"/>
      <c r="G408" s="175"/>
    </row>
    <row r="409" spans="1:7" ht="14.4" x14ac:dyDescent="0.25">
      <c r="A409" s="201" t="s">
        <v>918</v>
      </c>
      <c r="B409" s="189"/>
      <c r="C409" s="192" t="s">
        <v>919</v>
      </c>
      <c r="D409" s="181"/>
      <c r="E409" s="181"/>
      <c r="F409" s="178"/>
      <c r="G409" s="175"/>
    </row>
    <row r="410" spans="1:7" ht="27.6" x14ac:dyDescent="0.25">
      <c r="A410" s="174" t="s">
        <v>920</v>
      </c>
      <c r="B410" s="175"/>
      <c r="C410" s="176" t="s">
        <v>921</v>
      </c>
      <c r="D410" s="181"/>
      <c r="E410" s="181"/>
      <c r="F410" s="178"/>
      <c r="G410" s="82"/>
    </row>
    <row r="411" spans="1:7" ht="27.6" x14ac:dyDescent="0.25">
      <c r="A411" s="174" t="s">
        <v>922</v>
      </c>
      <c r="B411" s="175"/>
      <c r="C411" s="176" t="s">
        <v>923</v>
      </c>
      <c r="D411" s="181"/>
      <c r="E411" s="181"/>
      <c r="F411" s="178"/>
      <c r="G411" s="175"/>
    </row>
    <row r="412" spans="1:7" ht="27.6" x14ac:dyDescent="0.25">
      <c r="A412" s="174" t="s">
        <v>924</v>
      </c>
      <c r="B412" s="175"/>
      <c r="C412" s="176" t="s">
        <v>925</v>
      </c>
      <c r="D412" s="181"/>
      <c r="E412" s="181"/>
      <c r="F412" s="178"/>
      <c r="G412" s="175"/>
    </row>
    <row r="413" spans="1:7" ht="28.2" x14ac:dyDescent="0.25">
      <c r="A413" s="201" t="s">
        <v>926</v>
      </c>
      <c r="B413" s="189"/>
      <c r="C413" s="190" t="s">
        <v>927</v>
      </c>
      <c r="D413" s="181"/>
      <c r="E413" s="181"/>
      <c r="F413" s="178"/>
      <c r="G413" s="175"/>
    </row>
    <row r="414" spans="1:7" ht="14.4" x14ac:dyDescent="0.25">
      <c r="A414" s="201" t="s">
        <v>928</v>
      </c>
      <c r="B414" s="189"/>
      <c r="C414" s="192" t="s">
        <v>929</v>
      </c>
      <c r="D414" s="181"/>
      <c r="E414" s="181"/>
      <c r="F414" s="178"/>
      <c r="G414" s="175"/>
    </row>
    <row r="415" spans="1:7" ht="14.4" x14ac:dyDescent="0.25">
      <c r="A415" s="201" t="s">
        <v>930</v>
      </c>
      <c r="B415" s="189"/>
      <c r="C415" s="192" t="s">
        <v>931</v>
      </c>
      <c r="D415" s="181"/>
      <c r="E415" s="181"/>
      <c r="F415" s="178"/>
      <c r="G415" s="175"/>
    </row>
    <row r="416" spans="1:7" ht="14.4" x14ac:dyDescent="0.25">
      <c r="A416" s="201" t="s">
        <v>932</v>
      </c>
      <c r="B416" s="189"/>
      <c r="C416" s="192" t="s">
        <v>933</v>
      </c>
      <c r="D416" s="181"/>
      <c r="E416" s="181"/>
      <c r="F416" s="178"/>
      <c r="G416" s="175"/>
    </row>
    <row r="417" spans="1:7" ht="14.4" x14ac:dyDescent="0.25">
      <c r="A417" s="201" t="s">
        <v>934</v>
      </c>
      <c r="B417" s="189"/>
      <c r="C417" s="192" t="s">
        <v>935</v>
      </c>
      <c r="D417" s="181"/>
      <c r="E417" s="181"/>
      <c r="F417" s="178"/>
      <c r="G417" s="175"/>
    </row>
    <row r="418" spans="1:7" ht="27.6" x14ac:dyDescent="0.25">
      <c r="A418" s="174" t="s">
        <v>936</v>
      </c>
      <c r="B418" s="175"/>
      <c r="C418" s="176" t="s">
        <v>937</v>
      </c>
      <c r="D418" s="181"/>
      <c r="E418" s="181"/>
      <c r="F418" s="185"/>
      <c r="G418" s="82"/>
    </row>
    <row r="419" spans="1:7" ht="27.6" x14ac:dyDescent="0.25">
      <c r="A419" s="174" t="s">
        <v>938</v>
      </c>
      <c r="B419" s="175"/>
      <c r="C419" s="176" t="s">
        <v>939</v>
      </c>
      <c r="D419" s="181"/>
      <c r="E419" s="181"/>
      <c r="F419" s="178"/>
      <c r="G419" s="175"/>
    </row>
    <row r="420" spans="1:7" x14ac:dyDescent="0.25">
      <c r="A420" s="170" t="s">
        <v>940</v>
      </c>
      <c r="B420" s="171" t="s">
        <v>941</v>
      </c>
      <c r="C420" s="176"/>
      <c r="D420" s="204"/>
      <c r="E420" s="204"/>
      <c r="F420" s="233"/>
      <c r="G420" s="175"/>
    </row>
    <row r="421" spans="1:7" ht="27.6" x14ac:dyDescent="0.25">
      <c r="A421" s="174" t="s">
        <v>942</v>
      </c>
      <c r="B421" s="175"/>
      <c r="C421" s="176" t="s">
        <v>943</v>
      </c>
      <c r="D421" s="181"/>
      <c r="E421" s="181"/>
      <c r="F421" s="178"/>
      <c r="G421" s="82"/>
    </row>
    <row r="422" spans="1:7" ht="27.6" x14ac:dyDescent="0.25">
      <c r="A422" s="174" t="s">
        <v>944</v>
      </c>
      <c r="B422" s="175"/>
      <c r="C422" s="176" t="s">
        <v>945</v>
      </c>
      <c r="D422" s="181"/>
      <c r="E422" s="181"/>
      <c r="F422" s="178"/>
      <c r="G422" s="169" t="s">
        <v>946</v>
      </c>
    </row>
    <row r="423" spans="1:7" ht="42" x14ac:dyDescent="0.25">
      <c r="A423" s="201" t="s">
        <v>947</v>
      </c>
      <c r="B423" s="189"/>
      <c r="C423" s="190" t="s">
        <v>948</v>
      </c>
      <c r="D423" s="181"/>
      <c r="E423" s="181"/>
      <c r="F423" s="178"/>
      <c r="G423" s="175"/>
    </row>
    <row r="424" spans="1:7" ht="14.4" x14ac:dyDescent="0.25">
      <c r="A424" s="201" t="s">
        <v>949</v>
      </c>
      <c r="B424" s="189"/>
      <c r="C424" s="192" t="s">
        <v>950</v>
      </c>
      <c r="D424" s="181"/>
      <c r="E424" s="181"/>
      <c r="F424" s="178"/>
      <c r="G424" s="175"/>
    </row>
    <row r="425" spans="1:7" ht="14.4" x14ac:dyDescent="0.25">
      <c r="A425" s="201" t="s">
        <v>951</v>
      </c>
      <c r="B425" s="189"/>
      <c r="C425" s="192" t="s">
        <v>952</v>
      </c>
      <c r="D425" s="181"/>
      <c r="E425" s="181"/>
      <c r="F425" s="178"/>
      <c r="G425" s="175"/>
    </row>
    <row r="426" spans="1:7" x14ac:dyDescent="0.25">
      <c r="A426" s="174" t="s">
        <v>953</v>
      </c>
      <c r="B426" s="175"/>
      <c r="C426" s="176" t="s">
        <v>954</v>
      </c>
      <c r="D426" s="181"/>
      <c r="E426" s="181"/>
      <c r="F426" s="178"/>
      <c r="G426" s="175"/>
    </row>
    <row r="427" spans="1:7" ht="27.6" x14ac:dyDescent="0.25">
      <c r="A427" s="174" t="s">
        <v>955</v>
      </c>
      <c r="B427" s="175"/>
      <c r="C427" s="176" t="s">
        <v>956</v>
      </c>
      <c r="D427" s="181"/>
      <c r="E427" s="181"/>
      <c r="F427" s="185"/>
      <c r="G427" s="175"/>
    </row>
    <row r="428" spans="1:7" ht="41.4" x14ac:dyDescent="0.25">
      <c r="A428" s="174" t="s">
        <v>957</v>
      </c>
      <c r="B428" s="175"/>
      <c r="C428" s="176" t="s">
        <v>958</v>
      </c>
      <c r="D428" s="181"/>
      <c r="E428" s="181"/>
      <c r="F428" s="178"/>
      <c r="G428" s="175"/>
    </row>
    <row r="429" spans="1:7" ht="42" x14ac:dyDescent="0.25">
      <c r="A429" s="201" t="s">
        <v>959</v>
      </c>
      <c r="B429" s="189"/>
      <c r="C429" s="190" t="s">
        <v>960</v>
      </c>
      <c r="D429" s="181"/>
      <c r="E429" s="181"/>
      <c r="F429" s="178"/>
      <c r="G429" s="175"/>
    </row>
    <row r="430" spans="1:7" ht="14.4" x14ac:dyDescent="0.25">
      <c r="A430" s="201" t="s">
        <v>961</v>
      </c>
      <c r="B430" s="189"/>
      <c r="C430" s="192" t="s">
        <v>962</v>
      </c>
      <c r="D430" s="181"/>
      <c r="E430" s="181"/>
      <c r="F430" s="178"/>
      <c r="G430" s="175"/>
    </row>
    <row r="431" spans="1:7" ht="14.4" x14ac:dyDescent="0.25">
      <c r="A431" s="201" t="s">
        <v>963</v>
      </c>
      <c r="B431" s="189"/>
      <c r="C431" s="192" t="s">
        <v>964</v>
      </c>
      <c r="D431" s="181"/>
      <c r="E431" s="181"/>
      <c r="F431" s="178"/>
      <c r="G431" s="175"/>
    </row>
    <row r="432" spans="1:7" ht="14.4" x14ac:dyDescent="0.25">
      <c r="A432" s="201" t="s">
        <v>965</v>
      </c>
      <c r="B432" s="189"/>
      <c r="C432" s="192" t="s">
        <v>966</v>
      </c>
      <c r="D432" s="181"/>
      <c r="E432" s="181"/>
      <c r="F432" s="178"/>
      <c r="G432" s="175"/>
    </row>
    <row r="433" spans="1:7" x14ac:dyDescent="0.25">
      <c r="A433" s="170" t="s">
        <v>967</v>
      </c>
      <c r="B433" s="171" t="s">
        <v>968</v>
      </c>
      <c r="C433" s="176"/>
      <c r="D433" s="204"/>
      <c r="E433" s="204"/>
      <c r="F433" s="233"/>
      <c r="G433" s="175"/>
    </row>
    <row r="434" spans="1:7" ht="27.6" x14ac:dyDescent="0.25">
      <c r="A434" s="174" t="s">
        <v>969</v>
      </c>
      <c r="B434" s="175"/>
      <c r="C434" s="176" t="s">
        <v>970</v>
      </c>
      <c r="D434" s="181"/>
      <c r="E434" s="181"/>
      <c r="F434" s="178"/>
      <c r="G434" s="169" t="s">
        <v>971</v>
      </c>
    </row>
    <row r="435" spans="1:7" ht="41.4" x14ac:dyDescent="0.25">
      <c r="A435" s="180" t="s">
        <v>972</v>
      </c>
      <c r="B435" s="175"/>
      <c r="C435" s="176" t="s">
        <v>973</v>
      </c>
      <c r="D435" s="181"/>
      <c r="E435" s="181"/>
      <c r="F435" s="178"/>
      <c r="G435" s="175"/>
    </row>
    <row r="436" spans="1:7" ht="27.6" x14ac:dyDescent="0.25">
      <c r="A436" s="180" t="s">
        <v>974</v>
      </c>
      <c r="B436" s="175"/>
      <c r="C436" s="176" t="s">
        <v>975</v>
      </c>
      <c r="D436" s="181"/>
      <c r="E436" s="181"/>
      <c r="F436" s="178"/>
      <c r="G436" s="175"/>
    </row>
    <row r="437" spans="1:7" ht="27.6" x14ac:dyDescent="0.25">
      <c r="A437" s="180" t="s">
        <v>976</v>
      </c>
      <c r="B437" s="175"/>
      <c r="C437" s="176" t="s">
        <v>977</v>
      </c>
      <c r="D437" s="181"/>
      <c r="E437" s="181"/>
      <c r="F437" s="185"/>
      <c r="G437" s="175"/>
    </row>
    <row r="438" spans="1:7" x14ac:dyDescent="0.25">
      <c r="A438" s="180" t="s">
        <v>978</v>
      </c>
      <c r="B438" s="175"/>
      <c r="C438" s="175" t="s">
        <v>979</v>
      </c>
      <c r="D438" s="181"/>
      <c r="E438" s="181"/>
      <c r="F438" s="187"/>
      <c r="G438" s="175"/>
    </row>
    <row r="439" spans="1:7" ht="14.4" thickBot="1" x14ac:dyDescent="0.3">
      <c r="A439" s="280"/>
      <c r="B439" s="213"/>
      <c r="C439" s="214"/>
      <c r="D439" s="215"/>
      <c r="E439" s="215"/>
      <c r="F439" s="216"/>
      <c r="G439" s="213"/>
    </row>
    <row r="440" spans="1:7" ht="17.399999999999999" x14ac:dyDescent="0.25">
      <c r="A440" s="270" t="s">
        <v>980</v>
      </c>
      <c r="B440" s="271" t="s">
        <v>981</v>
      </c>
      <c r="C440" s="272"/>
      <c r="D440" s="273"/>
      <c r="E440" s="274"/>
      <c r="F440" s="275"/>
      <c r="G440" s="276"/>
    </row>
    <row r="441" spans="1:7" ht="17.399999999999999" x14ac:dyDescent="0.25">
      <c r="A441" s="166"/>
      <c r="B441" s="169" t="s">
        <v>982</v>
      </c>
      <c r="C441" s="169"/>
      <c r="D441" s="323"/>
      <c r="E441" s="323"/>
      <c r="F441" s="323"/>
      <c r="G441" s="82"/>
    </row>
    <row r="442" spans="1:7" x14ac:dyDescent="0.25">
      <c r="A442" s="235" t="s">
        <v>983</v>
      </c>
      <c r="B442" s="171" t="s">
        <v>984</v>
      </c>
      <c r="C442" s="176"/>
      <c r="D442" s="204"/>
      <c r="E442" s="204"/>
      <c r="F442" s="233"/>
      <c r="G442" s="175"/>
    </row>
    <row r="443" spans="1:7" ht="42.75" customHeight="1" x14ac:dyDescent="0.25">
      <c r="A443" s="180" t="s">
        <v>985</v>
      </c>
      <c r="B443" s="175"/>
      <c r="C443" s="176" t="s">
        <v>986</v>
      </c>
      <c r="D443" s="181"/>
      <c r="E443" s="181"/>
      <c r="F443" s="178"/>
      <c r="G443" s="82"/>
    </row>
    <row r="444" spans="1:7" ht="31.5" customHeight="1" x14ac:dyDescent="0.25">
      <c r="A444" s="188" t="s">
        <v>987</v>
      </c>
      <c r="B444" s="189"/>
      <c r="C444" s="190" t="s">
        <v>988</v>
      </c>
      <c r="D444" s="281"/>
      <c r="E444" s="281"/>
      <c r="F444" s="178"/>
      <c r="G444" s="175"/>
    </row>
    <row r="445" spans="1:7" ht="14.4" x14ac:dyDescent="0.25">
      <c r="A445" s="188" t="s">
        <v>989</v>
      </c>
      <c r="B445" s="189"/>
      <c r="C445" s="192" t="s">
        <v>990</v>
      </c>
      <c r="D445" s="281"/>
      <c r="E445" s="281"/>
      <c r="F445" s="178"/>
      <c r="G445" s="175"/>
    </row>
    <row r="446" spans="1:7" ht="27.6" x14ac:dyDescent="0.25">
      <c r="A446" s="180" t="s">
        <v>991</v>
      </c>
      <c r="B446" s="175"/>
      <c r="C446" s="176" t="s">
        <v>992</v>
      </c>
      <c r="D446" s="181"/>
      <c r="E446" s="181"/>
      <c r="F446" s="178"/>
      <c r="G446" s="175"/>
    </row>
    <row r="447" spans="1:7" ht="41.4" x14ac:dyDescent="0.25">
      <c r="A447" s="180" t="s">
        <v>993</v>
      </c>
      <c r="B447" s="175"/>
      <c r="C447" s="176" t="s">
        <v>994</v>
      </c>
      <c r="D447" s="181"/>
      <c r="E447" s="181"/>
      <c r="F447" s="178"/>
      <c r="G447" s="175"/>
    </row>
    <row r="448" spans="1:7" ht="27.6" x14ac:dyDescent="0.25">
      <c r="A448" s="180" t="s">
        <v>995</v>
      </c>
      <c r="B448" s="175"/>
      <c r="C448" s="176" t="s">
        <v>996</v>
      </c>
      <c r="D448" s="181"/>
      <c r="E448" s="181"/>
      <c r="F448" s="178"/>
      <c r="G448" s="175"/>
    </row>
    <row r="449" spans="1:7" x14ac:dyDescent="0.25">
      <c r="A449" s="282" t="s">
        <v>997</v>
      </c>
      <c r="B449" s="171" t="s">
        <v>998</v>
      </c>
      <c r="C449" s="176"/>
      <c r="D449" s="204"/>
      <c r="E449" s="204"/>
      <c r="F449" s="233"/>
      <c r="G449" s="175"/>
    </row>
    <row r="450" spans="1:7" ht="27.6" x14ac:dyDescent="0.25">
      <c r="A450" s="180" t="s">
        <v>999</v>
      </c>
      <c r="B450" s="175"/>
      <c r="C450" s="176" t="s">
        <v>1000</v>
      </c>
      <c r="D450" s="181"/>
      <c r="E450" s="181"/>
      <c r="F450" s="178"/>
      <c r="G450" s="169" t="s">
        <v>1001</v>
      </c>
    </row>
    <row r="451" spans="1:7" ht="27.6" x14ac:dyDescent="0.25">
      <c r="A451" s="180" t="s">
        <v>1002</v>
      </c>
      <c r="B451" s="175"/>
      <c r="C451" s="176" t="s">
        <v>1003</v>
      </c>
      <c r="D451" s="181"/>
      <c r="E451" s="181"/>
      <c r="F451" s="178"/>
      <c r="G451" s="175"/>
    </row>
    <row r="452" spans="1:7" ht="27.6" x14ac:dyDescent="0.25">
      <c r="A452" s="174" t="s">
        <v>1004</v>
      </c>
      <c r="B452" s="175"/>
      <c r="C452" s="176" t="s">
        <v>1005</v>
      </c>
      <c r="D452" s="181"/>
      <c r="E452" s="181"/>
      <c r="F452" s="185"/>
      <c r="G452" s="175"/>
    </row>
    <row r="453" spans="1:7" ht="41.4" x14ac:dyDescent="0.25">
      <c r="A453" s="180" t="s">
        <v>1006</v>
      </c>
      <c r="B453" s="175"/>
      <c r="C453" s="176" t="s">
        <v>1007</v>
      </c>
      <c r="D453" s="181"/>
      <c r="E453" s="181"/>
      <c r="F453" s="185"/>
      <c r="G453" s="175"/>
    </row>
    <row r="454" spans="1:7" ht="27.6" x14ac:dyDescent="0.25">
      <c r="A454" s="180" t="s">
        <v>1008</v>
      </c>
      <c r="B454" s="175"/>
      <c r="C454" s="176" t="s">
        <v>1009</v>
      </c>
      <c r="D454" s="181"/>
      <c r="E454" s="181"/>
      <c r="F454" s="185"/>
      <c r="G454" s="175"/>
    </row>
    <row r="455" spans="1:7" ht="41.4" x14ac:dyDescent="0.25">
      <c r="A455" s="180" t="s">
        <v>1010</v>
      </c>
      <c r="B455" s="175"/>
      <c r="C455" s="176" t="s">
        <v>1011</v>
      </c>
      <c r="D455" s="181"/>
      <c r="E455" s="181"/>
      <c r="F455" s="185"/>
      <c r="G455" s="175"/>
    </row>
    <row r="456" spans="1:7" ht="52.8" x14ac:dyDescent="0.25">
      <c r="A456" s="180" t="s">
        <v>1012</v>
      </c>
      <c r="B456" s="175"/>
      <c r="C456" s="176" t="s">
        <v>1013</v>
      </c>
      <c r="D456" s="181"/>
      <c r="E456" s="181"/>
      <c r="F456" s="185"/>
      <c r="G456" s="175"/>
    </row>
    <row r="457" spans="1:7" ht="14.4" thickBot="1" x14ac:dyDescent="0.3">
      <c r="A457" s="278"/>
      <c r="B457" s="213"/>
      <c r="C457" s="214"/>
      <c r="D457" s="215"/>
      <c r="E457" s="215"/>
      <c r="F457" s="216"/>
      <c r="G457" s="213"/>
    </row>
    <row r="458" spans="1:7" ht="17.399999999999999" x14ac:dyDescent="0.25">
      <c r="A458" s="270" t="s">
        <v>1014</v>
      </c>
      <c r="B458" s="271" t="s">
        <v>1015</v>
      </c>
      <c r="C458" s="272"/>
      <c r="D458" s="273"/>
      <c r="E458" s="274"/>
      <c r="F458" s="275"/>
      <c r="G458" s="276"/>
    </row>
    <row r="459" spans="1:7" ht="17.399999999999999" x14ac:dyDescent="0.25">
      <c r="A459" s="166"/>
      <c r="B459" s="169" t="s">
        <v>1016</v>
      </c>
      <c r="C459" s="169"/>
      <c r="D459" s="323"/>
      <c r="E459" s="323"/>
      <c r="F459" s="323"/>
      <c r="G459" s="82"/>
    </row>
    <row r="460" spans="1:7" x14ac:dyDescent="0.25">
      <c r="A460" s="235" t="s">
        <v>1017</v>
      </c>
      <c r="B460" s="171" t="s">
        <v>1018</v>
      </c>
      <c r="C460" s="176"/>
      <c r="D460" s="326"/>
      <c r="E460" s="326"/>
      <c r="F460" s="326"/>
      <c r="G460" s="175"/>
    </row>
    <row r="461" spans="1:7" ht="27.6" x14ac:dyDescent="0.25">
      <c r="A461" s="180" t="s">
        <v>1019</v>
      </c>
      <c r="B461" s="175"/>
      <c r="C461" s="176" t="s">
        <v>1020</v>
      </c>
      <c r="D461" s="181"/>
      <c r="E461" s="181"/>
      <c r="F461" s="202"/>
      <c r="G461" s="175"/>
    </row>
    <row r="462" spans="1:7" ht="27.6" x14ac:dyDescent="0.25">
      <c r="A462" s="180" t="s">
        <v>1021</v>
      </c>
      <c r="B462" s="175"/>
      <c r="C462" s="176" t="s">
        <v>1022</v>
      </c>
      <c r="D462" s="181"/>
      <c r="E462" s="181"/>
      <c r="F462" s="178"/>
      <c r="G462" s="175"/>
    </row>
    <row r="463" spans="1:7" ht="27.6" x14ac:dyDescent="0.25">
      <c r="A463" s="180" t="s">
        <v>1023</v>
      </c>
      <c r="B463" s="175"/>
      <c r="C463" s="176" t="s">
        <v>1024</v>
      </c>
      <c r="D463" s="181"/>
      <c r="E463" s="181"/>
      <c r="F463" s="178"/>
      <c r="G463" s="175"/>
    </row>
    <row r="464" spans="1:7" ht="27.6" x14ac:dyDescent="0.25">
      <c r="A464" s="180" t="s">
        <v>1025</v>
      </c>
      <c r="B464" s="175"/>
      <c r="C464" s="176" t="s">
        <v>1026</v>
      </c>
      <c r="D464" s="181"/>
      <c r="E464" s="181"/>
      <c r="F464" s="178"/>
      <c r="G464" s="175"/>
    </row>
    <row r="465" spans="1:7" ht="41.4" x14ac:dyDescent="0.25">
      <c r="A465" s="180" t="s">
        <v>1027</v>
      </c>
      <c r="B465" s="175"/>
      <c r="C465" s="176" t="s">
        <v>1028</v>
      </c>
      <c r="D465" s="181"/>
      <c r="E465" s="181"/>
      <c r="F465" s="185"/>
      <c r="G465" s="175"/>
    </row>
    <row r="466" spans="1:7" ht="27.6" x14ac:dyDescent="0.25">
      <c r="A466" s="180" t="s">
        <v>1029</v>
      </c>
      <c r="B466" s="175"/>
      <c r="C466" s="176" t="s">
        <v>1030</v>
      </c>
      <c r="D466" s="181"/>
      <c r="E466" s="181"/>
      <c r="F466" s="178"/>
      <c r="G466" s="175"/>
    </row>
    <row r="467" spans="1:7" ht="27.6" x14ac:dyDescent="0.25">
      <c r="A467" s="180" t="s">
        <v>1031</v>
      </c>
      <c r="B467" s="175"/>
      <c r="C467" s="176" t="s">
        <v>1032</v>
      </c>
      <c r="D467" s="181"/>
      <c r="E467" s="181"/>
      <c r="F467" s="178"/>
      <c r="G467" s="175"/>
    </row>
    <row r="468" spans="1:7" x14ac:dyDescent="0.25">
      <c r="A468" s="170" t="s">
        <v>1033</v>
      </c>
      <c r="B468" s="171" t="s">
        <v>1034</v>
      </c>
      <c r="C468" s="176"/>
      <c r="D468" s="204"/>
      <c r="E468" s="204"/>
      <c r="F468" s="233"/>
      <c r="G468" s="175"/>
    </row>
    <row r="469" spans="1:7" ht="41.4" x14ac:dyDescent="0.25">
      <c r="A469" s="174" t="s">
        <v>1035</v>
      </c>
      <c r="B469" s="175"/>
      <c r="C469" s="176" t="s">
        <v>1036</v>
      </c>
      <c r="D469" s="181"/>
      <c r="E469" s="181"/>
      <c r="F469" s="185"/>
      <c r="G469" s="175"/>
    </row>
    <row r="470" spans="1:7" ht="41.4" x14ac:dyDescent="0.25">
      <c r="A470" s="180" t="s">
        <v>1037</v>
      </c>
      <c r="B470" s="175"/>
      <c r="C470" s="176" t="s">
        <v>1038</v>
      </c>
      <c r="D470" s="181"/>
      <c r="E470" s="181"/>
      <c r="F470" s="178"/>
      <c r="G470" s="175"/>
    </row>
    <row r="471" spans="1:7" ht="27.6" x14ac:dyDescent="0.25">
      <c r="A471" s="180" t="s">
        <v>1039</v>
      </c>
      <c r="B471" s="175"/>
      <c r="C471" s="176" t="s">
        <v>1040</v>
      </c>
      <c r="D471" s="181"/>
      <c r="E471" s="181"/>
      <c r="F471" s="178"/>
      <c r="G471" s="175"/>
    </row>
    <row r="472" spans="1:7" ht="41.4" x14ac:dyDescent="0.25">
      <c r="A472" s="180" t="s">
        <v>1041</v>
      </c>
      <c r="B472" s="175"/>
      <c r="C472" s="176" t="s">
        <v>1042</v>
      </c>
      <c r="D472" s="181"/>
      <c r="E472" s="181"/>
      <c r="F472" s="178"/>
      <c r="G472" s="175"/>
    </row>
    <row r="473" spans="1:7" ht="28.2" x14ac:dyDescent="0.25">
      <c r="A473" s="188" t="s">
        <v>1043</v>
      </c>
      <c r="B473" s="189"/>
      <c r="C473" s="190" t="s">
        <v>1044</v>
      </c>
      <c r="D473" s="181"/>
      <c r="E473" s="181"/>
      <c r="F473" s="178"/>
      <c r="G473" s="175"/>
    </row>
    <row r="474" spans="1:7" ht="14.4" x14ac:dyDescent="0.25">
      <c r="A474" s="201" t="s">
        <v>1045</v>
      </c>
      <c r="B474" s="189"/>
      <c r="C474" s="192" t="s">
        <v>1046</v>
      </c>
      <c r="D474" s="181"/>
      <c r="E474" s="181"/>
      <c r="F474" s="178"/>
      <c r="G474" s="175"/>
    </row>
    <row r="475" spans="1:7" ht="14.4" x14ac:dyDescent="0.25">
      <c r="A475" s="201" t="s">
        <v>1047</v>
      </c>
      <c r="B475" s="189"/>
      <c r="C475" s="192" t="s">
        <v>1048</v>
      </c>
      <c r="D475" s="181"/>
      <c r="E475" s="181"/>
      <c r="F475" s="178"/>
      <c r="G475" s="175"/>
    </row>
    <row r="476" spans="1:7" ht="14.4" x14ac:dyDescent="0.25">
      <c r="A476" s="201" t="s">
        <v>1049</v>
      </c>
      <c r="B476" s="189"/>
      <c r="C476" s="192" t="s">
        <v>1050</v>
      </c>
      <c r="D476" s="181"/>
      <c r="E476" s="181"/>
      <c r="F476" s="178"/>
      <c r="G476" s="175"/>
    </row>
    <row r="477" spans="1:7" ht="17.399999999999999" x14ac:dyDescent="0.25">
      <c r="A477" s="180" t="s">
        <v>1051</v>
      </c>
      <c r="B477" s="175"/>
      <c r="C477" s="176" t="s">
        <v>1052</v>
      </c>
      <c r="D477" s="181"/>
      <c r="E477" s="181"/>
      <c r="F477" s="178"/>
      <c r="G477" s="82"/>
    </row>
    <row r="478" spans="1:7" x14ac:dyDescent="0.25">
      <c r="A478" s="170" t="s">
        <v>1053</v>
      </c>
      <c r="B478" s="171" t="s">
        <v>1054</v>
      </c>
      <c r="C478" s="176"/>
      <c r="D478" s="204"/>
      <c r="E478" s="204"/>
      <c r="F478" s="233"/>
      <c r="G478" s="175"/>
    </row>
    <row r="479" spans="1:7" ht="56.4" x14ac:dyDescent="0.25">
      <c r="A479" s="201" t="s">
        <v>1055</v>
      </c>
      <c r="B479" s="189"/>
      <c r="C479" s="190" t="s">
        <v>1056</v>
      </c>
      <c r="D479" s="181"/>
      <c r="E479" s="181"/>
      <c r="F479" s="178"/>
      <c r="G479" s="175"/>
    </row>
    <row r="480" spans="1:7" ht="14.4" x14ac:dyDescent="0.25">
      <c r="A480" s="201" t="s">
        <v>1057</v>
      </c>
      <c r="B480" s="189"/>
      <c r="C480" s="192" t="s">
        <v>1058</v>
      </c>
      <c r="D480" s="181"/>
      <c r="E480" s="181"/>
      <c r="F480" s="178"/>
      <c r="G480" s="175"/>
    </row>
    <row r="481" spans="1:7" ht="14.4" x14ac:dyDescent="0.25">
      <c r="A481" s="201" t="s">
        <v>1059</v>
      </c>
      <c r="B481" s="189"/>
      <c r="C481" s="192" t="s">
        <v>1060</v>
      </c>
      <c r="D481" s="181"/>
      <c r="E481" s="181"/>
      <c r="F481" s="178"/>
      <c r="G481" s="175"/>
    </row>
    <row r="482" spans="1:7" ht="14.4" x14ac:dyDescent="0.25">
      <c r="A482" s="201" t="s">
        <v>1061</v>
      </c>
      <c r="B482" s="189"/>
      <c r="C482" s="192" t="s">
        <v>1062</v>
      </c>
      <c r="D482" s="181"/>
      <c r="E482" s="181"/>
      <c r="F482" s="178"/>
      <c r="G482" s="175"/>
    </row>
    <row r="483" spans="1:7" ht="28.8" x14ac:dyDescent="0.25">
      <c r="A483" s="201" t="s">
        <v>1063</v>
      </c>
      <c r="B483" s="189"/>
      <c r="C483" s="192" t="s">
        <v>1064</v>
      </c>
      <c r="D483" s="181"/>
      <c r="E483" s="181"/>
      <c r="F483" s="178"/>
      <c r="G483" s="175"/>
    </row>
    <row r="484" spans="1:7" ht="14.4" x14ac:dyDescent="0.25">
      <c r="A484" s="201" t="s">
        <v>1065</v>
      </c>
      <c r="B484" s="189"/>
      <c r="C484" s="192" t="s">
        <v>1066</v>
      </c>
      <c r="D484" s="181"/>
      <c r="E484" s="181"/>
      <c r="F484" s="178"/>
      <c r="G484" s="175"/>
    </row>
    <row r="485" spans="1:7" ht="18" customHeight="1" x14ac:dyDescent="0.25">
      <c r="A485" s="201" t="s">
        <v>1067</v>
      </c>
      <c r="B485" s="189"/>
      <c r="C485" s="192" t="s">
        <v>1068</v>
      </c>
      <c r="D485" s="181"/>
      <c r="E485" s="181"/>
      <c r="F485" s="178"/>
      <c r="G485" s="175"/>
    </row>
    <row r="486" spans="1:7" ht="14.4" x14ac:dyDescent="0.25">
      <c r="A486" s="201" t="s">
        <v>1069</v>
      </c>
      <c r="B486" s="189"/>
      <c r="C486" s="192" t="s">
        <v>1070</v>
      </c>
      <c r="D486" s="181"/>
      <c r="E486" s="181"/>
      <c r="F486" s="178"/>
      <c r="G486" s="175"/>
    </row>
    <row r="487" spans="1:7" ht="14.4" x14ac:dyDescent="0.25">
      <c r="A487" s="201" t="s">
        <v>1071</v>
      </c>
      <c r="B487" s="189"/>
      <c r="C487" s="192" t="s">
        <v>1072</v>
      </c>
      <c r="D487" s="181"/>
      <c r="E487" s="181"/>
      <c r="F487" s="178"/>
      <c r="G487" s="175"/>
    </row>
    <row r="488" spans="1:7" ht="14.4" x14ac:dyDescent="0.25">
      <c r="A488" s="201" t="s">
        <v>1073</v>
      </c>
      <c r="B488" s="189"/>
      <c r="C488" s="192" t="s">
        <v>1074</v>
      </c>
      <c r="D488" s="181"/>
      <c r="E488" s="181"/>
      <c r="F488" s="178"/>
      <c r="G488" s="175"/>
    </row>
    <row r="489" spans="1:7" ht="14.4" x14ac:dyDescent="0.25">
      <c r="A489" s="201" t="s">
        <v>1075</v>
      </c>
      <c r="B489" s="189"/>
      <c r="C489" s="192" t="s">
        <v>1076</v>
      </c>
      <c r="D489" s="181"/>
      <c r="E489" s="181"/>
      <c r="F489" s="178"/>
      <c r="G489" s="175"/>
    </row>
    <row r="490" spans="1:7" ht="14.4" x14ac:dyDescent="0.25">
      <c r="A490" s="201" t="s">
        <v>1077</v>
      </c>
      <c r="B490" s="189"/>
      <c r="C490" s="192" t="s">
        <v>1078</v>
      </c>
      <c r="D490" s="181"/>
      <c r="E490" s="181"/>
      <c r="F490" s="178"/>
      <c r="G490" s="175"/>
    </row>
    <row r="491" spans="1:7" ht="14.4" x14ac:dyDescent="0.25">
      <c r="A491" s="201" t="s">
        <v>1079</v>
      </c>
      <c r="B491" s="189"/>
      <c r="C491" s="192" t="s">
        <v>1080</v>
      </c>
      <c r="D491" s="181"/>
      <c r="E491" s="181"/>
      <c r="F491" s="178"/>
      <c r="G491" s="175"/>
    </row>
    <row r="492" spans="1:7" ht="14.4" x14ac:dyDescent="0.25">
      <c r="A492" s="201" t="s">
        <v>1081</v>
      </c>
      <c r="B492" s="189"/>
      <c r="C492" s="192" t="s">
        <v>1082</v>
      </c>
      <c r="D492" s="181"/>
      <c r="E492" s="181"/>
      <c r="F492" s="178"/>
      <c r="G492" s="175"/>
    </row>
    <row r="493" spans="1:7" ht="14.4" x14ac:dyDescent="0.25">
      <c r="A493" s="201" t="s">
        <v>1083</v>
      </c>
      <c r="B493" s="189"/>
      <c r="C493" s="192" t="s">
        <v>1084</v>
      </c>
      <c r="D493" s="181"/>
      <c r="E493" s="181"/>
      <c r="F493" s="178"/>
      <c r="G493" s="175"/>
    </row>
    <row r="494" spans="1:7" ht="14.4" x14ac:dyDescent="0.25">
      <c r="A494" s="201" t="s">
        <v>1085</v>
      </c>
      <c r="B494" s="189"/>
      <c r="C494" s="192" t="s">
        <v>1086</v>
      </c>
      <c r="D494" s="181"/>
      <c r="E494" s="181"/>
      <c r="F494" s="178"/>
      <c r="G494" s="175"/>
    </row>
    <row r="495" spans="1:7" ht="14.4" x14ac:dyDescent="0.25">
      <c r="A495" s="201" t="s">
        <v>1087</v>
      </c>
      <c r="B495" s="189"/>
      <c r="C495" s="192" t="s">
        <v>1088</v>
      </c>
      <c r="D495" s="181"/>
      <c r="E495" s="181"/>
      <c r="F495" s="178"/>
      <c r="G495" s="175"/>
    </row>
    <row r="496" spans="1:7" ht="14.4" x14ac:dyDescent="0.25">
      <c r="A496" s="201" t="s">
        <v>1089</v>
      </c>
      <c r="B496" s="189"/>
      <c r="C496" s="192" t="s">
        <v>1090</v>
      </c>
      <c r="D496" s="181"/>
      <c r="E496" s="181"/>
      <c r="F496" s="178"/>
      <c r="G496" s="175"/>
    </row>
    <row r="497" spans="1:7" ht="14.4" x14ac:dyDescent="0.25">
      <c r="A497" s="201" t="s">
        <v>1091</v>
      </c>
      <c r="B497" s="189"/>
      <c r="C497" s="192" t="s">
        <v>1092</v>
      </c>
      <c r="D497" s="181"/>
      <c r="E497" s="181"/>
      <c r="F497" s="178"/>
      <c r="G497" s="175"/>
    </row>
    <row r="498" spans="1:7" ht="14.4" x14ac:dyDescent="0.25">
      <c r="A498" s="201" t="s">
        <v>1093</v>
      </c>
      <c r="B498" s="189"/>
      <c r="C498" s="192" t="s">
        <v>1094</v>
      </c>
      <c r="D498" s="181"/>
      <c r="E498" s="181"/>
      <c r="F498" s="178"/>
      <c r="G498" s="175"/>
    </row>
    <row r="499" spans="1:7" ht="14.4" x14ac:dyDescent="0.25">
      <c r="A499" s="201" t="s">
        <v>1095</v>
      </c>
      <c r="B499" s="189"/>
      <c r="C499" s="192" t="s">
        <v>1096</v>
      </c>
      <c r="D499" s="181"/>
      <c r="E499" s="181"/>
      <c r="F499" s="178"/>
      <c r="G499" s="175"/>
    </row>
    <row r="500" spans="1:7" ht="14.4" x14ac:dyDescent="0.25">
      <c r="A500" s="201" t="s">
        <v>1097</v>
      </c>
      <c r="B500" s="189"/>
      <c r="C500" s="192" t="s">
        <v>1098</v>
      </c>
      <c r="D500" s="181"/>
      <c r="E500" s="181"/>
      <c r="F500" s="178"/>
      <c r="G500" s="175"/>
    </row>
    <row r="501" spans="1:7" ht="14.4" x14ac:dyDescent="0.25">
      <c r="A501" s="201" t="s">
        <v>1099</v>
      </c>
      <c r="B501" s="189"/>
      <c r="C501" s="192" t="s">
        <v>1100</v>
      </c>
      <c r="D501" s="181"/>
      <c r="E501" s="181"/>
      <c r="F501" s="178"/>
      <c r="G501" s="175"/>
    </row>
    <row r="502" spans="1:7" ht="14.4" x14ac:dyDescent="0.25">
      <c r="A502" s="201" t="s">
        <v>1101</v>
      </c>
      <c r="B502" s="189"/>
      <c r="C502" s="192" t="s">
        <v>1102</v>
      </c>
      <c r="D502" s="181"/>
      <c r="E502" s="181"/>
      <c r="F502" s="178"/>
      <c r="G502" s="175"/>
    </row>
    <row r="503" spans="1:7" ht="14.4" x14ac:dyDescent="0.25">
      <c r="A503" s="201" t="s">
        <v>1103</v>
      </c>
      <c r="B503" s="189"/>
      <c r="C503" s="192" t="s">
        <v>1104</v>
      </c>
      <c r="D503" s="181"/>
      <c r="E503" s="181"/>
      <c r="F503" s="178"/>
      <c r="G503" s="175"/>
    </row>
    <row r="504" spans="1:7" ht="14.4" x14ac:dyDescent="0.25">
      <c r="A504" s="201" t="s">
        <v>1105</v>
      </c>
      <c r="B504" s="189"/>
      <c r="C504" s="192" t="s">
        <v>1106</v>
      </c>
      <c r="D504" s="181"/>
      <c r="E504" s="181"/>
      <c r="F504" s="185"/>
      <c r="G504" s="175"/>
    </row>
    <row r="505" spans="1:7" x14ac:dyDescent="0.25">
      <c r="A505" s="170" t="s">
        <v>1107</v>
      </c>
      <c r="B505" s="171" t="s">
        <v>1108</v>
      </c>
      <c r="C505" s="214"/>
      <c r="D505" s="204"/>
      <c r="E505" s="204"/>
      <c r="F505" s="233"/>
      <c r="G505" s="175"/>
    </row>
    <row r="506" spans="1:7" ht="42" x14ac:dyDescent="0.25">
      <c r="A506" s="201" t="s">
        <v>1109</v>
      </c>
      <c r="B506" s="189"/>
      <c r="C506" s="190" t="s">
        <v>1110</v>
      </c>
      <c r="D506" s="181"/>
      <c r="E506" s="181"/>
      <c r="F506" s="178"/>
      <c r="G506" s="175"/>
    </row>
    <row r="507" spans="1:7" ht="28.8" x14ac:dyDescent="0.25">
      <c r="A507" s="201" t="s">
        <v>1111</v>
      </c>
      <c r="B507" s="189"/>
      <c r="C507" s="192" t="s">
        <v>1112</v>
      </c>
      <c r="D507" s="181"/>
      <c r="E507" s="181"/>
      <c r="F507" s="178"/>
      <c r="G507" s="175"/>
    </row>
    <row r="508" spans="1:7" ht="14.4" x14ac:dyDescent="0.25">
      <c r="A508" s="201" t="s">
        <v>1113</v>
      </c>
      <c r="B508" s="189"/>
      <c r="C508" s="192" t="s">
        <v>1114</v>
      </c>
      <c r="D508" s="181"/>
      <c r="E508" s="181"/>
      <c r="F508" s="178"/>
      <c r="G508" s="175"/>
    </row>
    <row r="509" spans="1:7" ht="14.4" x14ac:dyDescent="0.25">
      <c r="A509" s="201" t="s">
        <v>1115</v>
      </c>
      <c r="B509" s="189"/>
      <c r="C509" s="192" t="s">
        <v>1116</v>
      </c>
      <c r="D509" s="181"/>
      <c r="E509" s="181"/>
      <c r="F509" s="178"/>
      <c r="G509" s="175"/>
    </row>
    <row r="510" spans="1:7" ht="14.4" x14ac:dyDescent="0.25">
      <c r="A510" s="201" t="s">
        <v>1117</v>
      </c>
      <c r="B510" s="189"/>
      <c r="C510" s="192" t="s">
        <v>1118</v>
      </c>
      <c r="D510" s="181"/>
      <c r="E510" s="181"/>
      <c r="F510" s="178"/>
      <c r="G510" s="175"/>
    </row>
    <row r="511" spans="1:7" ht="14.4" x14ac:dyDescent="0.25">
      <c r="A511" s="201" t="s">
        <v>1119</v>
      </c>
      <c r="B511" s="189"/>
      <c r="C511" s="192" t="s">
        <v>1120</v>
      </c>
      <c r="D511" s="181"/>
      <c r="E511" s="181"/>
      <c r="F511" s="178"/>
      <c r="G511" s="175"/>
    </row>
    <row r="512" spans="1:7" ht="14.4" x14ac:dyDescent="0.25">
      <c r="A512" s="201" t="s">
        <v>1121</v>
      </c>
      <c r="B512" s="189"/>
      <c r="C512" s="192" t="s">
        <v>1122</v>
      </c>
      <c r="D512" s="181"/>
      <c r="E512" s="181"/>
      <c r="F512" s="178"/>
      <c r="G512" s="175"/>
    </row>
    <row r="513" spans="1:7" ht="14.4" x14ac:dyDescent="0.25">
      <c r="A513" s="201" t="s">
        <v>1123</v>
      </c>
      <c r="B513" s="189"/>
      <c r="C513" s="192" t="s">
        <v>1124</v>
      </c>
      <c r="D513" s="181"/>
      <c r="E513" s="181"/>
      <c r="F513" s="178"/>
      <c r="G513" s="175"/>
    </row>
    <row r="514" spans="1:7" ht="14.4" x14ac:dyDescent="0.25">
      <c r="A514" s="201" t="s">
        <v>1125</v>
      </c>
      <c r="B514" s="189"/>
      <c r="C514" s="192" t="s">
        <v>1126</v>
      </c>
      <c r="D514" s="181"/>
      <c r="E514" s="181"/>
      <c r="F514" s="178"/>
      <c r="G514" s="175"/>
    </row>
    <row r="515" spans="1:7" ht="28.8" x14ac:dyDescent="0.25">
      <c r="A515" s="201" t="s">
        <v>1127</v>
      </c>
      <c r="B515" s="189"/>
      <c r="C515" s="192" t="s">
        <v>1128</v>
      </c>
      <c r="D515" s="181"/>
      <c r="E515" s="181"/>
      <c r="F515" s="178"/>
      <c r="G515" s="175"/>
    </row>
    <row r="516" spans="1:7" ht="14.4" x14ac:dyDescent="0.25">
      <c r="A516" s="201" t="s">
        <v>1129</v>
      </c>
      <c r="B516" s="189"/>
      <c r="C516" s="192" t="s">
        <v>1130</v>
      </c>
      <c r="D516" s="181"/>
      <c r="E516" s="181"/>
      <c r="F516" s="178"/>
      <c r="G516" s="175"/>
    </row>
    <row r="517" spans="1:7" ht="14.4" x14ac:dyDescent="0.25">
      <c r="A517" s="201" t="s">
        <v>1131</v>
      </c>
      <c r="B517" s="189"/>
      <c r="C517" s="192" t="s">
        <v>1132</v>
      </c>
      <c r="D517" s="181"/>
      <c r="E517" s="181"/>
      <c r="F517" s="178"/>
      <c r="G517" s="175"/>
    </row>
    <row r="518" spans="1:7" ht="14.4" x14ac:dyDescent="0.25">
      <c r="A518" s="201" t="s">
        <v>1133</v>
      </c>
      <c r="B518" s="189"/>
      <c r="C518" s="192" t="s">
        <v>1134</v>
      </c>
      <c r="D518" s="181"/>
      <c r="E518" s="181"/>
      <c r="F518" s="178"/>
      <c r="G518" s="175"/>
    </row>
    <row r="519" spans="1:7" ht="14.4" x14ac:dyDescent="0.25">
      <c r="A519" s="201" t="s">
        <v>1135</v>
      </c>
      <c r="B519" s="189"/>
      <c r="C519" s="192" t="s">
        <v>1136</v>
      </c>
      <c r="D519" s="181"/>
      <c r="E519" s="181"/>
      <c r="F519" s="178"/>
      <c r="G519" s="175"/>
    </row>
    <row r="520" spans="1:7" ht="28.8" x14ac:dyDescent="0.25">
      <c r="A520" s="201" t="s">
        <v>1137</v>
      </c>
      <c r="B520" s="189"/>
      <c r="C520" s="192" t="s">
        <v>1138</v>
      </c>
      <c r="D520" s="181"/>
      <c r="E520" s="181"/>
      <c r="F520" s="178"/>
      <c r="G520" s="175"/>
    </row>
    <row r="521" spans="1:7" x14ac:dyDescent="0.25">
      <c r="A521" s="170" t="s">
        <v>1139</v>
      </c>
      <c r="B521" s="171" t="s">
        <v>1140</v>
      </c>
      <c r="C521" s="176"/>
      <c r="D521" s="204"/>
      <c r="E521" s="204"/>
      <c r="F521" s="233"/>
      <c r="G521" s="175"/>
    </row>
    <row r="522" spans="1:7" ht="42" x14ac:dyDescent="0.25">
      <c r="A522" s="201" t="s">
        <v>1141</v>
      </c>
      <c r="B522" s="189"/>
      <c r="C522" s="190" t="s">
        <v>1142</v>
      </c>
      <c r="D522" s="181"/>
      <c r="E522" s="181"/>
      <c r="F522" s="185"/>
      <c r="G522" s="175"/>
    </row>
    <row r="523" spans="1:7" ht="28.2" x14ac:dyDescent="0.25">
      <c r="A523" s="201" t="s">
        <v>1143</v>
      </c>
      <c r="B523" s="189"/>
      <c r="C523" s="192" t="s">
        <v>1144</v>
      </c>
      <c r="D523" s="181"/>
      <c r="E523" s="181"/>
      <c r="F523" s="185"/>
      <c r="G523" s="175"/>
    </row>
    <row r="524" spans="1:7" ht="28.2" x14ac:dyDescent="0.25">
      <c r="A524" s="201" t="s">
        <v>1145</v>
      </c>
      <c r="B524" s="189"/>
      <c r="C524" s="192" t="s">
        <v>1146</v>
      </c>
      <c r="D524" s="181"/>
      <c r="E524" s="181"/>
      <c r="F524" s="185"/>
      <c r="G524" s="175"/>
    </row>
    <row r="525" spans="1:7" ht="27.6" x14ac:dyDescent="0.25">
      <c r="A525" s="180" t="s">
        <v>1147</v>
      </c>
      <c r="B525" s="175"/>
      <c r="C525" s="176" t="s">
        <v>1148</v>
      </c>
      <c r="D525" s="181"/>
      <c r="E525" s="181"/>
      <c r="F525" s="185"/>
      <c r="G525" s="175"/>
    </row>
    <row r="526" spans="1:7" ht="27.6" x14ac:dyDescent="0.25">
      <c r="A526" s="180" t="s">
        <v>1149</v>
      </c>
      <c r="B526" s="175"/>
      <c r="C526" s="176" t="s">
        <v>1150</v>
      </c>
      <c r="D526" s="181"/>
      <c r="E526" s="181"/>
      <c r="F526" s="185"/>
      <c r="G526" s="175"/>
    </row>
    <row r="527" spans="1:7" x14ac:dyDescent="0.25">
      <c r="A527" s="180" t="s">
        <v>1151</v>
      </c>
      <c r="B527" s="175"/>
      <c r="C527" s="176" t="s">
        <v>1152</v>
      </c>
      <c r="D527" s="181"/>
      <c r="E527" s="181"/>
      <c r="F527" s="178"/>
      <c r="G527" s="175"/>
    </row>
    <row r="528" spans="1:7" x14ac:dyDescent="0.25">
      <c r="A528" s="180" t="s">
        <v>1153</v>
      </c>
      <c r="B528" s="175"/>
      <c r="C528" s="176" t="s">
        <v>1154</v>
      </c>
      <c r="D528" s="181"/>
      <c r="E528" s="181"/>
      <c r="F528" s="178"/>
      <c r="G528" s="175"/>
    </row>
    <row r="529" spans="1:7" ht="27.6" x14ac:dyDescent="0.25">
      <c r="A529" s="180" t="s">
        <v>1155</v>
      </c>
      <c r="B529" s="175"/>
      <c r="C529" s="176" t="s">
        <v>1156</v>
      </c>
      <c r="D529" s="181"/>
      <c r="E529" s="181"/>
      <c r="F529" s="185"/>
      <c r="G529" s="175"/>
    </row>
    <row r="530" spans="1:7" ht="27.6" x14ac:dyDescent="0.25">
      <c r="A530" s="180" t="s">
        <v>1157</v>
      </c>
      <c r="B530" s="175"/>
      <c r="C530" s="176" t="s">
        <v>1158</v>
      </c>
      <c r="D530" s="181"/>
      <c r="E530" s="181"/>
      <c r="F530" s="185"/>
      <c r="G530" s="175"/>
    </row>
    <row r="531" spans="1:7" x14ac:dyDescent="0.25">
      <c r="A531" s="282" t="s">
        <v>1159</v>
      </c>
      <c r="B531" s="171" t="s">
        <v>1160</v>
      </c>
      <c r="C531" s="214"/>
      <c r="D531" s="204"/>
      <c r="E531" s="204"/>
      <c r="F531" s="233"/>
      <c r="G531" s="175"/>
    </row>
    <row r="532" spans="1:7" x14ac:dyDescent="0.25">
      <c r="A532" s="180" t="s">
        <v>1161</v>
      </c>
      <c r="B532" s="175"/>
      <c r="C532" s="176" t="s">
        <v>1162</v>
      </c>
      <c r="D532" s="181"/>
      <c r="E532" s="181"/>
      <c r="F532" s="178"/>
      <c r="G532" s="175"/>
    </row>
    <row r="533" spans="1:7" ht="28.2" x14ac:dyDescent="0.25">
      <c r="A533" s="188" t="s">
        <v>1163</v>
      </c>
      <c r="B533" s="189"/>
      <c r="C533" s="190" t="s">
        <v>1164</v>
      </c>
      <c r="D533" s="181"/>
      <c r="E533" s="181"/>
      <c r="F533" s="185"/>
      <c r="G533" s="175"/>
    </row>
    <row r="534" spans="1:7" ht="14.4" x14ac:dyDescent="0.25">
      <c r="A534" s="201" t="s">
        <v>1165</v>
      </c>
      <c r="B534" s="189"/>
      <c r="C534" s="192" t="s">
        <v>1166</v>
      </c>
      <c r="D534" s="181"/>
      <c r="E534" s="181"/>
      <c r="F534" s="185"/>
      <c r="G534" s="175"/>
    </row>
    <row r="535" spans="1:7" ht="14.4" x14ac:dyDescent="0.25">
      <c r="A535" s="201" t="s">
        <v>1167</v>
      </c>
      <c r="B535" s="189"/>
      <c r="C535" s="192" t="s">
        <v>1168</v>
      </c>
      <c r="D535" s="181"/>
      <c r="E535" s="181"/>
      <c r="F535" s="185"/>
      <c r="G535" s="175"/>
    </row>
    <row r="536" spans="1:7" ht="14.4" x14ac:dyDescent="0.25">
      <c r="A536" s="201" t="s">
        <v>1169</v>
      </c>
      <c r="B536" s="189"/>
      <c r="C536" s="192" t="s">
        <v>1170</v>
      </c>
      <c r="D536" s="181"/>
      <c r="E536" s="181"/>
      <c r="F536" s="185"/>
      <c r="G536" s="175"/>
    </row>
    <row r="537" spans="1:7" ht="27.6" x14ac:dyDescent="0.25">
      <c r="A537" s="174" t="s">
        <v>1171</v>
      </c>
      <c r="B537" s="175"/>
      <c r="C537" s="176" t="s">
        <v>1172</v>
      </c>
      <c r="D537" s="181"/>
      <c r="E537" s="181"/>
      <c r="F537" s="178"/>
      <c r="G537" s="175"/>
    </row>
    <row r="538" spans="1:7" x14ac:dyDescent="0.25">
      <c r="A538" s="174" t="s">
        <v>1173</v>
      </c>
      <c r="B538" s="175"/>
      <c r="C538" s="176" t="s">
        <v>1174</v>
      </c>
      <c r="D538" s="181"/>
      <c r="E538" s="181"/>
      <c r="F538" s="178"/>
      <c r="G538" s="175"/>
    </row>
    <row r="539" spans="1:7" ht="27.6" x14ac:dyDescent="0.25">
      <c r="A539" s="174" t="s">
        <v>1175</v>
      </c>
      <c r="B539" s="175"/>
      <c r="C539" s="176" t="s">
        <v>1176</v>
      </c>
      <c r="D539" s="181"/>
      <c r="E539" s="181"/>
      <c r="F539" s="178"/>
      <c r="G539" s="175"/>
    </row>
    <row r="540" spans="1:7" x14ac:dyDescent="0.25">
      <c r="A540" s="170" t="s">
        <v>1177</v>
      </c>
      <c r="B540" s="171" t="s">
        <v>1178</v>
      </c>
      <c r="C540" s="176"/>
      <c r="D540" s="204"/>
      <c r="E540" s="204"/>
      <c r="F540" s="233"/>
      <c r="G540" s="175"/>
    </row>
    <row r="541" spans="1:7" ht="28.2" x14ac:dyDescent="0.25">
      <c r="A541" s="201" t="s">
        <v>1179</v>
      </c>
      <c r="B541" s="250"/>
      <c r="C541" s="190" t="s">
        <v>1180</v>
      </c>
      <c r="D541" s="181"/>
      <c r="E541" s="181"/>
      <c r="F541" s="178"/>
      <c r="G541" s="82"/>
    </row>
    <row r="542" spans="1:7" ht="14.4" x14ac:dyDescent="0.25">
      <c r="A542" s="201" t="s">
        <v>1181</v>
      </c>
      <c r="B542" s="189"/>
      <c r="C542" s="192" t="s">
        <v>1182</v>
      </c>
      <c r="D542" s="181"/>
      <c r="E542" s="181"/>
      <c r="F542" s="178"/>
      <c r="G542" s="175"/>
    </row>
    <row r="543" spans="1:7" ht="14.4" x14ac:dyDescent="0.25">
      <c r="A543" s="201" t="s">
        <v>1183</v>
      </c>
      <c r="B543" s="189"/>
      <c r="C543" s="192" t="s">
        <v>1184</v>
      </c>
      <c r="D543" s="181"/>
      <c r="E543" s="181"/>
      <c r="F543" s="178"/>
      <c r="G543" s="175"/>
    </row>
    <row r="544" spans="1:7" ht="14.4" x14ac:dyDescent="0.25">
      <c r="A544" s="201" t="s">
        <v>1185</v>
      </c>
      <c r="B544" s="189"/>
      <c r="C544" s="192" t="s">
        <v>1186</v>
      </c>
      <c r="D544" s="181"/>
      <c r="E544" s="181"/>
      <c r="F544" s="178"/>
      <c r="G544" s="175"/>
    </row>
    <row r="545" spans="1:7" ht="27.6" x14ac:dyDescent="0.25">
      <c r="A545" s="174" t="s">
        <v>1187</v>
      </c>
      <c r="B545" s="175"/>
      <c r="C545" s="176" t="s">
        <v>1188</v>
      </c>
      <c r="D545" s="181"/>
      <c r="E545" s="181"/>
      <c r="F545" s="178"/>
      <c r="G545" s="175"/>
    </row>
    <row r="546" spans="1:7" x14ac:dyDescent="0.25">
      <c r="A546" s="170" t="s">
        <v>1189</v>
      </c>
      <c r="B546" s="171" t="s">
        <v>1190</v>
      </c>
      <c r="C546" s="176"/>
      <c r="D546" s="204"/>
      <c r="E546" s="204"/>
      <c r="F546" s="233"/>
      <c r="G546" s="175"/>
    </row>
    <row r="547" spans="1:7" ht="27.6" x14ac:dyDescent="0.25">
      <c r="A547" s="174" t="s">
        <v>1191</v>
      </c>
      <c r="B547" s="175"/>
      <c r="C547" s="176" t="s">
        <v>1192</v>
      </c>
      <c r="D547" s="181"/>
      <c r="E547" s="181"/>
      <c r="F547" s="178"/>
      <c r="G547" s="175"/>
    </row>
    <row r="548" spans="1:7" ht="27.6" x14ac:dyDescent="0.25">
      <c r="A548" s="180" t="s">
        <v>1193</v>
      </c>
      <c r="B548" s="175"/>
      <c r="C548" s="176" t="s">
        <v>1194</v>
      </c>
      <c r="D548" s="181"/>
      <c r="E548" s="181"/>
      <c r="F548" s="178"/>
      <c r="G548" s="175"/>
    </row>
    <row r="549" spans="1:7" ht="27.6" x14ac:dyDescent="0.25">
      <c r="A549" s="180" t="s">
        <v>1195</v>
      </c>
      <c r="B549" s="175"/>
      <c r="C549" s="176" t="s">
        <v>1196</v>
      </c>
      <c r="D549" s="181"/>
      <c r="E549" s="181"/>
      <c r="F549" s="178"/>
      <c r="G549" s="175"/>
    </row>
    <row r="550" spans="1:7" ht="27.6" x14ac:dyDescent="0.25">
      <c r="A550" s="180" t="s">
        <v>1197</v>
      </c>
      <c r="B550" s="175"/>
      <c r="C550" s="176" t="s">
        <v>1198</v>
      </c>
      <c r="D550" s="181"/>
      <c r="E550" s="181"/>
      <c r="F550" s="178"/>
      <c r="G550" s="169" t="s">
        <v>1199</v>
      </c>
    </row>
    <row r="551" spans="1:7" ht="27.6" x14ac:dyDescent="0.25">
      <c r="A551" s="180" t="s">
        <v>1200</v>
      </c>
      <c r="B551" s="175"/>
      <c r="C551" s="176" t="s">
        <v>1201</v>
      </c>
      <c r="D551" s="181"/>
      <c r="E551" s="181"/>
      <c r="F551" s="178"/>
      <c r="G551" s="175"/>
    </row>
    <row r="552" spans="1:7" ht="27.6" x14ac:dyDescent="0.25">
      <c r="A552" s="180" t="s">
        <v>1202</v>
      </c>
      <c r="B552" s="175"/>
      <c r="C552" s="176" t="s">
        <v>1203</v>
      </c>
      <c r="D552" s="181"/>
      <c r="E552" s="181"/>
      <c r="F552" s="178"/>
      <c r="G552" s="175"/>
    </row>
    <row r="553" spans="1:7" ht="41.4" x14ac:dyDescent="0.25">
      <c r="A553" s="180" t="s">
        <v>1204</v>
      </c>
      <c r="B553" s="175"/>
      <c r="C553" s="176" t="s">
        <v>1205</v>
      </c>
      <c r="D553" s="181"/>
      <c r="E553" s="181"/>
      <c r="F553" s="178"/>
      <c r="G553" s="175"/>
    </row>
    <row r="554" spans="1:7" x14ac:dyDescent="0.25">
      <c r="A554" s="170" t="s">
        <v>1206</v>
      </c>
      <c r="B554" s="171" t="s">
        <v>1207</v>
      </c>
      <c r="C554" s="176"/>
      <c r="D554" s="204"/>
      <c r="E554" s="204"/>
      <c r="F554" s="233"/>
      <c r="G554" s="175"/>
    </row>
    <row r="555" spans="1:7" ht="55.2" x14ac:dyDescent="0.25">
      <c r="A555" s="174" t="s">
        <v>1208</v>
      </c>
      <c r="B555" s="175"/>
      <c r="C555" s="176" t="s">
        <v>1209</v>
      </c>
      <c r="D555" s="181"/>
      <c r="E555" s="181"/>
      <c r="F555" s="178"/>
      <c r="G555" s="175"/>
    </row>
    <row r="556" spans="1:7" ht="27.6" x14ac:dyDescent="0.25">
      <c r="A556" s="180" t="s">
        <v>1210</v>
      </c>
      <c r="B556" s="175"/>
      <c r="C556" s="176" t="s">
        <v>1211</v>
      </c>
      <c r="D556" s="181"/>
      <c r="E556" s="181"/>
      <c r="F556" s="178"/>
      <c r="G556" s="175"/>
    </row>
    <row r="557" spans="1:7" x14ac:dyDescent="0.25">
      <c r="A557" s="180" t="s">
        <v>1212</v>
      </c>
      <c r="B557" s="175"/>
      <c r="C557" s="176" t="s">
        <v>1213</v>
      </c>
      <c r="D557" s="181"/>
      <c r="E557" s="181"/>
      <c r="F557" s="178"/>
      <c r="G557" s="175"/>
    </row>
    <row r="558" spans="1:7" ht="27.6" x14ac:dyDescent="0.25">
      <c r="A558" s="180" t="s">
        <v>1214</v>
      </c>
      <c r="B558" s="175"/>
      <c r="C558" s="176" t="s">
        <v>1215</v>
      </c>
      <c r="D558" s="181"/>
      <c r="E558" s="181"/>
      <c r="F558" s="178"/>
      <c r="G558" s="175"/>
    </row>
    <row r="559" spans="1:7" ht="41.4" x14ac:dyDescent="0.25">
      <c r="A559" s="180" t="s">
        <v>1216</v>
      </c>
      <c r="B559" s="175"/>
      <c r="C559" s="176" t="s">
        <v>1217</v>
      </c>
      <c r="D559" s="181"/>
      <c r="E559" s="181"/>
      <c r="F559" s="185"/>
      <c r="G559" s="175"/>
    </row>
    <row r="560" spans="1:7" ht="27.6" x14ac:dyDescent="0.25">
      <c r="A560" s="180" t="s">
        <v>1218</v>
      </c>
      <c r="B560" s="175"/>
      <c r="C560" s="176" t="s">
        <v>1219</v>
      </c>
      <c r="D560" s="181"/>
      <c r="E560" s="181"/>
      <c r="F560" s="185"/>
      <c r="G560" s="171"/>
    </row>
    <row r="561" spans="1:7" ht="27.6" x14ac:dyDescent="0.25">
      <c r="A561" s="180" t="s">
        <v>1220</v>
      </c>
      <c r="B561" s="175"/>
      <c r="C561" s="176" t="s">
        <v>1221</v>
      </c>
      <c r="D561" s="181"/>
      <c r="E561" s="181"/>
      <c r="F561" s="178"/>
      <c r="G561" s="175"/>
    </row>
    <row r="562" spans="1:7" ht="41.4" x14ac:dyDescent="0.25">
      <c r="A562" s="76" t="s">
        <v>1222</v>
      </c>
      <c r="B562" s="73"/>
      <c r="C562" s="74" t="s">
        <v>1223</v>
      </c>
      <c r="D562" s="81"/>
      <c r="E562" s="81"/>
      <c r="F562" s="75"/>
      <c r="G562" s="83"/>
    </row>
    <row r="563" spans="1:7" ht="55.2" x14ac:dyDescent="0.25">
      <c r="A563" s="76" t="s">
        <v>1224</v>
      </c>
      <c r="B563" s="73"/>
      <c r="C563" s="74" t="s">
        <v>1225</v>
      </c>
      <c r="D563" s="81"/>
      <c r="E563" s="81"/>
      <c r="F563" s="75"/>
      <c r="G563" s="83"/>
    </row>
    <row r="564" spans="1:7" x14ac:dyDescent="0.25">
      <c r="A564" s="71" t="s">
        <v>1226</v>
      </c>
      <c r="B564" s="68" t="s">
        <v>1227</v>
      </c>
      <c r="C564" s="74"/>
      <c r="D564" s="84"/>
      <c r="E564" s="84"/>
      <c r="F564" s="80"/>
      <c r="G564" s="83"/>
    </row>
    <row r="565" spans="1:7" ht="27.6" x14ac:dyDescent="0.25">
      <c r="A565" s="72" t="s">
        <v>1228</v>
      </c>
      <c r="B565" s="73"/>
      <c r="C565" s="74" t="s">
        <v>1229</v>
      </c>
      <c r="D565" s="81"/>
      <c r="E565" s="81"/>
      <c r="F565" s="75"/>
      <c r="G565" s="83"/>
    </row>
    <row r="566" spans="1:7" ht="27.6" x14ac:dyDescent="0.25">
      <c r="A566" s="76" t="s">
        <v>1230</v>
      </c>
      <c r="B566" s="73"/>
      <c r="C566" s="74" t="s">
        <v>1231</v>
      </c>
      <c r="D566" s="81"/>
      <c r="E566" s="81"/>
      <c r="F566" s="75"/>
      <c r="G566" s="83"/>
    </row>
    <row r="567" spans="1:7" ht="27.6" x14ac:dyDescent="0.25">
      <c r="A567" s="76" t="s">
        <v>1232</v>
      </c>
      <c r="B567" s="73"/>
      <c r="C567" s="74" t="s">
        <v>1233</v>
      </c>
      <c r="D567" s="81"/>
      <c r="E567" s="81"/>
      <c r="F567" s="75"/>
      <c r="G567" s="83"/>
    </row>
    <row r="568" spans="1:7" ht="27.6" x14ac:dyDescent="0.25">
      <c r="A568" s="76" t="s">
        <v>1234</v>
      </c>
      <c r="B568" s="73"/>
      <c r="C568" s="74" t="s">
        <v>1235</v>
      </c>
      <c r="D568" s="81"/>
      <c r="E568" s="81"/>
      <c r="F568" s="77"/>
      <c r="G568" s="83"/>
    </row>
    <row r="569" spans="1:7" ht="27.6" x14ac:dyDescent="0.25">
      <c r="A569" s="76" t="s">
        <v>1236</v>
      </c>
      <c r="B569" s="73"/>
      <c r="C569" s="74" t="s">
        <v>1237</v>
      </c>
      <c r="D569" s="81"/>
      <c r="E569" s="81"/>
      <c r="F569" s="75"/>
      <c r="G569" s="82"/>
    </row>
    <row r="570" spans="1:7" ht="14.4" thickBot="1" x14ac:dyDescent="0.3">
      <c r="A570" s="85"/>
      <c r="C570" s="87"/>
      <c r="D570" s="88"/>
      <c r="E570" s="88"/>
      <c r="F570" s="89"/>
      <c r="G570" s="86"/>
    </row>
    <row r="571" spans="1:7" ht="17.399999999999999" x14ac:dyDescent="0.25">
      <c r="A571" s="270" t="s">
        <v>1238</v>
      </c>
      <c r="B571" s="271" t="s">
        <v>1239</v>
      </c>
      <c r="C571" s="272"/>
      <c r="D571" s="273"/>
      <c r="E571" s="274"/>
      <c r="F571" s="275"/>
      <c r="G571" s="276"/>
    </row>
    <row r="572" spans="1:7" ht="17.399999999999999" x14ac:dyDescent="0.25">
      <c r="A572" s="166"/>
      <c r="B572" s="169" t="s">
        <v>1240</v>
      </c>
      <c r="C572" s="169"/>
      <c r="D572" s="323"/>
      <c r="E572" s="323"/>
      <c r="F572" s="323"/>
      <c r="G572" s="82"/>
    </row>
    <row r="573" spans="1:7" x14ac:dyDescent="0.25">
      <c r="A573" s="235" t="s">
        <v>1241</v>
      </c>
      <c r="B573" s="171" t="s">
        <v>1242</v>
      </c>
      <c r="C573" s="176"/>
      <c r="D573" s="320"/>
      <c r="E573" s="321"/>
      <c r="F573" s="322"/>
      <c r="G573" s="175"/>
    </row>
    <row r="574" spans="1:7" ht="27.6" x14ac:dyDescent="0.25">
      <c r="A574" s="180" t="s">
        <v>1243</v>
      </c>
      <c r="B574" s="175"/>
      <c r="C574" s="176" t="s">
        <v>1244</v>
      </c>
      <c r="D574" s="181"/>
      <c r="E574" s="181"/>
      <c r="F574" s="178"/>
      <c r="G574" s="169" t="s">
        <v>1245</v>
      </c>
    </row>
    <row r="575" spans="1:7" ht="27.6" x14ac:dyDescent="0.25">
      <c r="A575" s="180" t="s">
        <v>1246</v>
      </c>
      <c r="B575" s="175"/>
      <c r="C575" s="176" t="s">
        <v>1247</v>
      </c>
      <c r="D575" s="181"/>
      <c r="E575" s="181"/>
      <c r="F575" s="185"/>
      <c r="G575" s="175"/>
    </row>
    <row r="576" spans="1:7" ht="28.2" x14ac:dyDescent="0.25">
      <c r="A576" s="188" t="s">
        <v>1248</v>
      </c>
      <c r="B576" s="189"/>
      <c r="C576" s="190" t="s">
        <v>1249</v>
      </c>
      <c r="D576" s="181"/>
      <c r="E576" s="181"/>
      <c r="F576" s="178"/>
      <c r="G576" s="175"/>
    </row>
    <row r="577" spans="1:7" ht="14.4" x14ac:dyDescent="0.25">
      <c r="A577" s="188" t="s">
        <v>1250</v>
      </c>
      <c r="B577" s="189"/>
      <c r="C577" s="192" t="s">
        <v>1251</v>
      </c>
      <c r="D577" s="181"/>
      <c r="E577" s="181"/>
      <c r="F577" s="178"/>
      <c r="G577" s="175"/>
    </row>
    <row r="578" spans="1:7" ht="14.4" x14ac:dyDescent="0.25">
      <c r="A578" s="188" t="s">
        <v>1252</v>
      </c>
      <c r="B578" s="189"/>
      <c r="C578" s="192" t="s">
        <v>1253</v>
      </c>
      <c r="D578" s="181"/>
      <c r="E578" s="181"/>
      <c r="F578" s="178"/>
      <c r="G578" s="175"/>
    </row>
    <row r="579" spans="1:7" ht="14.4" x14ac:dyDescent="0.25">
      <c r="A579" s="188" t="s">
        <v>1254</v>
      </c>
      <c r="B579" s="189"/>
      <c r="C579" s="192" t="s">
        <v>1255</v>
      </c>
      <c r="D579" s="181"/>
      <c r="E579" s="181"/>
      <c r="F579" s="178"/>
      <c r="G579" s="175"/>
    </row>
    <row r="580" spans="1:7" ht="17.399999999999999" x14ac:dyDescent="0.25">
      <c r="A580" s="188" t="s">
        <v>1256</v>
      </c>
      <c r="B580" s="189"/>
      <c r="C580" s="192" t="s">
        <v>1257</v>
      </c>
      <c r="D580" s="181"/>
      <c r="E580" s="181"/>
      <c r="F580" s="185"/>
      <c r="G580" s="283"/>
    </row>
    <row r="581" spans="1:7" ht="27.6" x14ac:dyDescent="0.25">
      <c r="A581" s="174" t="s">
        <v>1258</v>
      </c>
      <c r="B581" s="175"/>
      <c r="C581" s="176" t="s">
        <v>1259</v>
      </c>
      <c r="D581" s="181"/>
      <c r="E581" s="181"/>
      <c r="F581" s="178"/>
      <c r="G581" s="169" t="s">
        <v>1260</v>
      </c>
    </row>
    <row r="582" spans="1:7" ht="27.6" x14ac:dyDescent="0.25">
      <c r="A582" s="180" t="s">
        <v>1261</v>
      </c>
      <c r="B582" s="175"/>
      <c r="C582" s="176" t="s">
        <v>1262</v>
      </c>
      <c r="D582" s="181"/>
      <c r="E582" s="181"/>
      <c r="F582" s="178"/>
      <c r="G582" s="283"/>
    </row>
    <row r="583" spans="1:7" ht="30.75" customHeight="1" x14ac:dyDescent="0.25">
      <c r="A583" s="180" t="s">
        <v>1263</v>
      </c>
      <c r="B583" s="175"/>
      <c r="C583" s="176" t="s">
        <v>1264</v>
      </c>
      <c r="D583" s="181"/>
      <c r="E583" s="181"/>
      <c r="F583" s="178"/>
      <c r="G583" s="283"/>
    </row>
    <row r="584" spans="1:7" ht="41.4" x14ac:dyDescent="0.25">
      <c r="A584" s="180" t="s">
        <v>1265</v>
      </c>
      <c r="B584" s="175"/>
      <c r="C584" s="176" t="s">
        <v>1266</v>
      </c>
      <c r="D584" s="181"/>
      <c r="E584" s="181"/>
      <c r="F584" s="178"/>
      <c r="G584" s="169" t="s">
        <v>1267</v>
      </c>
    </row>
    <row r="585" spans="1:7" ht="27.6" x14ac:dyDescent="0.25">
      <c r="A585" s="180" t="s">
        <v>1268</v>
      </c>
      <c r="B585" s="175"/>
      <c r="C585" s="176" t="s">
        <v>1269</v>
      </c>
      <c r="D585" s="181"/>
      <c r="E585" s="181"/>
      <c r="F585" s="178"/>
      <c r="G585" s="175"/>
    </row>
    <row r="586" spans="1:7" ht="27.6" x14ac:dyDescent="0.25">
      <c r="A586" s="180" t="s">
        <v>1270</v>
      </c>
      <c r="B586" s="175"/>
      <c r="C586" s="176" t="s">
        <v>1271</v>
      </c>
      <c r="D586" s="181"/>
      <c r="E586" s="181"/>
      <c r="F586" s="178"/>
      <c r="G586" s="175"/>
    </row>
    <row r="587" spans="1:7" x14ac:dyDescent="0.25">
      <c r="A587" s="170" t="s">
        <v>1272</v>
      </c>
      <c r="B587" s="171" t="s">
        <v>1273</v>
      </c>
      <c r="C587" s="176"/>
      <c r="D587" s="204"/>
      <c r="E587" s="204"/>
      <c r="F587" s="233"/>
      <c r="G587" s="175"/>
    </row>
    <row r="588" spans="1:7" ht="28.2" x14ac:dyDescent="0.25">
      <c r="A588" s="201" t="s">
        <v>1274</v>
      </c>
      <c r="B588" s="189"/>
      <c r="C588" s="190" t="s">
        <v>1275</v>
      </c>
      <c r="D588" s="181"/>
      <c r="E588" s="181"/>
      <c r="F588" s="178"/>
      <c r="G588" s="175"/>
    </row>
    <row r="589" spans="1:7" ht="14.4" x14ac:dyDescent="0.25">
      <c r="A589" s="188" t="s">
        <v>1276</v>
      </c>
      <c r="B589" s="189"/>
      <c r="C589" s="192" t="s">
        <v>1277</v>
      </c>
      <c r="D589" s="181"/>
      <c r="E589" s="181"/>
      <c r="F589" s="178"/>
      <c r="G589" s="175"/>
    </row>
    <row r="590" spans="1:7" ht="14.4" x14ac:dyDescent="0.25">
      <c r="A590" s="188" t="s">
        <v>1278</v>
      </c>
      <c r="B590" s="189"/>
      <c r="C590" s="192" t="s">
        <v>1279</v>
      </c>
      <c r="D590" s="181"/>
      <c r="E590" s="181"/>
      <c r="F590" s="178"/>
      <c r="G590" s="175"/>
    </row>
    <row r="591" spans="1:7" ht="14.4" x14ac:dyDescent="0.25">
      <c r="A591" s="188" t="s">
        <v>1280</v>
      </c>
      <c r="B591" s="189"/>
      <c r="C591" s="192" t="s">
        <v>1281</v>
      </c>
      <c r="D591" s="181"/>
      <c r="E591" s="181"/>
      <c r="F591" s="178"/>
      <c r="G591" s="175"/>
    </row>
    <row r="592" spans="1:7" ht="14.4" x14ac:dyDescent="0.25">
      <c r="A592" s="188" t="s">
        <v>1282</v>
      </c>
      <c r="B592" s="189"/>
      <c r="C592" s="192" t="s">
        <v>1283</v>
      </c>
      <c r="D592" s="181"/>
      <c r="E592" s="181"/>
      <c r="F592" s="178"/>
      <c r="G592" s="175"/>
    </row>
    <row r="593" spans="1:7" ht="14.4" x14ac:dyDescent="0.25">
      <c r="A593" s="188" t="s">
        <v>1284</v>
      </c>
      <c r="B593" s="189"/>
      <c r="C593" s="192" t="s">
        <v>1285</v>
      </c>
      <c r="D593" s="181"/>
      <c r="E593" s="181"/>
      <c r="F593" s="178"/>
      <c r="G593" s="175"/>
    </row>
    <row r="594" spans="1:7" ht="14.4" x14ac:dyDescent="0.25">
      <c r="A594" s="188" t="s">
        <v>1286</v>
      </c>
      <c r="B594" s="189"/>
      <c r="C594" s="192" t="s">
        <v>1287</v>
      </c>
      <c r="D594" s="181"/>
      <c r="E594" s="181"/>
      <c r="F594" s="178"/>
      <c r="G594" s="175"/>
    </row>
    <row r="595" spans="1:7" ht="42" x14ac:dyDescent="0.25">
      <c r="A595" s="201" t="s">
        <v>1288</v>
      </c>
      <c r="B595" s="189"/>
      <c r="C595" s="190" t="s">
        <v>1289</v>
      </c>
      <c r="D595" s="181"/>
      <c r="E595" s="181"/>
      <c r="F595" s="185"/>
      <c r="G595" s="171"/>
    </row>
    <row r="596" spans="1:7" ht="14.4" x14ac:dyDescent="0.25">
      <c r="A596" s="188" t="s">
        <v>1290</v>
      </c>
      <c r="B596" s="189"/>
      <c r="C596" s="192" t="s">
        <v>1291</v>
      </c>
      <c r="D596" s="181"/>
      <c r="E596" s="181"/>
      <c r="F596" s="178"/>
      <c r="G596" s="175"/>
    </row>
    <row r="597" spans="1:7" ht="27.6" x14ac:dyDescent="0.25">
      <c r="A597" s="180" t="s">
        <v>1292</v>
      </c>
      <c r="B597" s="175"/>
      <c r="C597" s="176" t="s">
        <v>1293</v>
      </c>
      <c r="D597" s="181"/>
      <c r="E597" s="181"/>
      <c r="F597" s="178"/>
      <c r="G597" s="175"/>
    </row>
    <row r="598" spans="1:7" x14ac:dyDescent="0.25">
      <c r="A598" s="170" t="s">
        <v>1294</v>
      </c>
      <c r="B598" s="171" t="s">
        <v>1295</v>
      </c>
      <c r="C598" s="176"/>
      <c r="D598" s="204"/>
      <c r="E598" s="204"/>
      <c r="F598" s="233"/>
      <c r="G598" s="175"/>
    </row>
    <row r="599" spans="1:7" ht="61.8" x14ac:dyDescent="0.25">
      <c r="A599" s="174" t="s">
        <v>1296</v>
      </c>
      <c r="B599" s="171"/>
      <c r="C599" s="176" t="s">
        <v>1297</v>
      </c>
      <c r="D599" s="181"/>
      <c r="E599" s="181"/>
      <c r="F599" s="185"/>
      <c r="G599" s="175"/>
    </row>
    <row r="600" spans="1:7" x14ac:dyDescent="0.25">
      <c r="A600" s="180" t="s">
        <v>1298</v>
      </c>
      <c r="B600" s="175"/>
      <c r="C600" s="176" t="s">
        <v>1299</v>
      </c>
      <c r="D600" s="181"/>
      <c r="E600" s="181"/>
      <c r="F600" s="178"/>
      <c r="G600" s="171"/>
    </row>
    <row r="601" spans="1:7" ht="27.6" x14ac:dyDescent="0.25">
      <c r="A601" s="180" t="s">
        <v>1300</v>
      </c>
      <c r="B601" s="175"/>
      <c r="C601" s="176" t="s">
        <v>1301</v>
      </c>
      <c r="D601" s="181"/>
      <c r="E601" s="181"/>
      <c r="F601" s="178"/>
      <c r="G601" s="175"/>
    </row>
    <row r="602" spans="1:7" ht="41.4" x14ac:dyDescent="0.25">
      <c r="A602" s="180" t="s">
        <v>1302</v>
      </c>
      <c r="B602" s="175"/>
      <c r="C602" s="176" t="s">
        <v>1303</v>
      </c>
      <c r="D602" s="181"/>
      <c r="E602" s="181"/>
      <c r="F602" s="178"/>
      <c r="G602" s="175"/>
    </row>
    <row r="603" spans="1:7" ht="14.4" thickBot="1" x14ac:dyDescent="0.3">
      <c r="A603" s="278"/>
      <c r="B603" s="213"/>
      <c r="C603" s="214"/>
      <c r="D603" s="215"/>
      <c r="E603" s="215"/>
      <c r="F603" s="216"/>
      <c r="G603" s="213"/>
    </row>
    <row r="604" spans="1:7" ht="17.399999999999999" x14ac:dyDescent="0.25">
      <c r="A604" s="270" t="s">
        <v>1304</v>
      </c>
      <c r="B604" s="271" t="s">
        <v>1305</v>
      </c>
      <c r="C604" s="272"/>
      <c r="D604" s="273"/>
      <c r="E604" s="274"/>
      <c r="F604" s="275"/>
      <c r="G604" s="276"/>
    </row>
    <row r="605" spans="1:7" ht="17.399999999999999" x14ac:dyDescent="0.25">
      <c r="A605" s="166"/>
      <c r="B605" s="169" t="s">
        <v>1306</v>
      </c>
      <c r="C605" s="169"/>
      <c r="D605" s="323"/>
      <c r="E605" s="323"/>
      <c r="F605" s="323"/>
      <c r="G605" s="82"/>
    </row>
    <row r="606" spans="1:7" ht="27.6" x14ac:dyDescent="0.25">
      <c r="A606" s="180" t="s">
        <v>1307</v>
      </c>
      <c r="B606" s="175"/>
      <c r="C606" s="176" t="s">
        <v>1308</v>
      </c>
      <c r="D606" s="181"/>
      <c r="E606" s="181"/>
      <c r="F606" s="178"/>
      <c r="G606" s="175"/>
    </row>
    <row r="607" spans="1:7" ht="42" x14ac:dyDescent="0.25">
      <c r="A607" s="188" t="s">
        <v>1309</v>
      </c>
      <c r="B607" s="189"/>
      <c r="C607" s="190" t="s">
        <v>1310</v>
      </c>
      <c r="D607" s="181"/>
      <c r="E607" s="181"/>
      <c r="F607" s="178"/>
      <c r="G607" s="175"/>
    </row>
    <row r="608" spans="1:7" ht="14.4" x14ac:dyDescent="0.25">
      <c r="A608" s="188" t="s">
        <v>1311</v>
      </c>
      <c r="B608" s="189"/>
      <c r="C608" s="192" t="s">
        <v>1312</v>
      </c>
      <c r="D608" s="181"/>
      <c r="E608" s="181"/>
      <c r="F608" s="178"/>
      <c r="G608" s="175"/>
    </row>
    <row r="609" spans="1:7" ht="14.4" x14ac:dyDescent="0.25">
      <c r="A609" s="188" t="s">
        <v>1313</v>
      </c>
      <c r="B609" s="189"/>
      <c r="C609" s="192" t="s">
        <v>1314</v>
      </c>
      <c r="D609" s="181"/>
      <c r="E609" s="181"/>
      <c r="F609" s="178"/>
      <c r="G609" s="175"/>
    </row>
    <row r="610" spans="1:7" ht="14.4" x14ac:dyDescent="0.25">
      <c r="A610" s="188" t="s">
        <v>1315</v>
      </c>
      <c r="B610" s="189"/>
      <c r="C610" s="192" t="s">
        <v>1316</v>
      </c>
      <c r="D610" s="181"/>
      <c r="E610" s="181"/>
      <c r="F610" s="178"/>
      <c r="G610" s="175"/>
    </row>
    <row r="611" spans="1:7" ht="27.6" x14ac:dyDescent="0.25">
      <c r="A611" s="180" t="s">
        <v>1317</v>
      </c>
      <c r="B611" s="175"/>
      <c r="C611" s="176" t="s">
        <v>1318</v>
      </c>
      <c r="D611" s="181"/>
      <c r="E611" s="181"/>
      <c r="F611" s="178"/>
      <c r="G611" s="175"/>
    </row>
    <row r="612" spans="1:7" ht="41.4" x14ac:dyDescent="0.25">
      <c r="A612" s="180" t="s">
        <v>1319</v>
      </c>
      <c r="B612" s="175"/>
      <c r="C612" s="176" t="s">
        <v>1320</v>
      </c>
      <c r="D612" s="181"/>
      <c r="E612" s="181"/>
      <c r="F612" s="178"/>
      <c r="G612" s="169" t="s">
        <v>1321</v>
      </c>
    </row>
    <row r="613" spans="1:7" ht="41.4" x14ac:dyDescent="0.25">
      <c r="A613" s="180" t="s">
        <v>1322</v>
      </c>
      <c r="B613" s="175"/>
      <c r="C613" s="176" t="s">
        <v>1323</v>
      </c>
      <c r="D613" s="181"/>
      <c r="E613" s="181"/>
      <c r="F613" s="178"/>
      <c r="G613" s="169"/>
    </row>
    <row r="614" spans="1:7" ht="41.4" x14ac:dyDescent="0.25">
      <c r="A614" s="180" t="s">
        <v>1324</v>
      </c>
      <c r="B614" s="175"/>
      <c r="C614" s="176" t="s">
        <v>1325</v>
      </c>
      <c r="D614" s="181"/>
      <c r="E614" s="181"/>
      <c r="F614" s="178"/>
      <c r="G614" s="169" t="s">
        <v>1326</v>
      </c>
    </row>
    <row r="615" spans="1:7" ht="28.8" x14ac:dyDescent="0.25">
      <c r="A615" s="188" t="s">
        <v>1327</v>
      </c>
      <c r="B615" s="189"/>
      <c r="C615" s="192" t="s">
        <v>1328</v>
      </c>
      <c r="D615" s="181"/>
      <c r="E615" s="181"/>
      <c r="F615" s="178"/>
      <c r="G615" s="175"/>
    </row>
    <row r="616" spans="1:7" ht="14.4" x14ac:dyDescent="0.25">
      <c r="A616" s="188" t="s">
        <v>1329</v>
      </c>
      <c r="B616" s="189"/>
      <c r="C616" s="192" t="s">
        <v>1330</v>
      </c>
      <c r="D616" s="181"/>
      <c r="E616" s="181"/>
      <c r="F616" s="178"/>
      <c r="G616" s="175"/>
    </row>
    <row r="617" spans="1:7" ht="14.4" x14ac:dyDescent="0.25">
      <c r="A617" s="188" t="s">
        <v>1331</v>
      </c>
      <c r="B617" s="189"/>
      <c r="C617" s="192" t="s">
        <v>1332</v>
      </c>
      <c r="D617" s="181"/>
      <c r="E617" s="181"/>
      <c r="F617" s="178"/>
      <c r="G617" s="175"/>
    </row>
    <row r="618" spans="1:7" ht="27.6" x14ac:dyDescent="0.25">
      <c r="A618" s="180" t="s">
        <v>1333</v>
      </c>
      <c r="B618" s="175"/>
      <c r="C618" s="176" t="s">
        <v>1334</v>
      </c>
      <c r="D618" s="181"/>
      <c r="E618" s="181"/>
      <c r="F618" s="178"/>
      <c r="G618" s="175"/>
    </row>
    <row r="619" spans="1:7" x14ac:dyDescent="0.25">
      <c r="A619" s="180" t="s">
        <v>1335</v>
      </c>
      <c r="B619" s="175"/>
      <c r="C619" s="176" t="s">
        <v>1336</v>
      </c>
      <c r="D619" s="181"/>
      <c r="E619" s="181"/>
      <c r="F619" s="178"/>
      <c r="G619" s="175"/>
    </row>
    <row r="620" spans="1:7" ht="41.4" x14ac:dyDescent="0.25">
      <c r="A620" s="180" t="s">
        <v>1337</v>
      </c>
      <c r="B620" s="175"/>
      <c r="C620" s="176" t="s">
        <v>1338</v>
      </c>
      <c r="D620" s="181"/>
      <c r="E620" s="181"/>
      <c r="F620" s="178"/>
      <c r="G620" s="175"/>
    </row>
    <row r="621" spans="1:7" ht="41.4" x14ac:dyDescent="0.25">
      <c r="A621" s="180" t="s">
        <v>1339</v>
      </c>
      <c r="B621" s="175"/>
      <c r="C621" s="176" t="s">
        <v>1340</v>
      </c>
      <c r="D621" s="181"/>
      <c r="E621" s="181"/>
      <c r="F621" s="178"/>
      <c r="G621" s="175"/>
    </row>
    <row r="622" spans="1:7" ht="30.75" customHeight="1" x14ac:dyDescent="0.25">
      <c r="A622" s="180" t="s">
        <v>1341</v>
      </c>
      <c r="B622" s="175"/>
      <c r="C622" s="176" t="s">
        <v>1342</v>
      </c>
      <c r="D622" s="181"/>
      <c r="E622" s="181"/>
      <c r="F622" s="178"/>
      <c r="G622" s="175"/>
    </row>
    <row r="623" spans="1:7" ht="42.6" x14ac:dyDescent="0.25">
      <c r="A623" s="188" t="s">
        <v>1343</v>
      </c>
      <c r="B623" s="189"/>
      <c r="C623" s="192" t="s">
        <v>1344</v>
      </c>
      <c r="D623" s="181"/>
      <c r="E623" s="181"/>
      <c r="F623" s="178"/>
      <c r="G623" s="175"/>
    </row>
    <row r="624" spans="1:7" ht="14.4" x14ac:dyDescent="0.25">
      <c r="A624" s="188" t="s">
        <v>1345</v>
      </c>
      <c r="B624" s="189"/>
      <c r="C624" s="192" t="s">
        <v>1346</v>
      </c>
      <c r="D624" s="181"/>
      <c r="E624" s="181"/>
      <c r="F624" s="185"/>
      <c r="G624" s="175"/>
    </row>
    <row r="625" spans="1:7" ht="14.4" thickBot="1" x14ac:dyDescent="0.3">
      <c r="A625" s="278"/>
      <c r="B625" s="213"/>
      <c r="C625" s="214"/>
      <c r="D625" s="215"/>
      <c r="E625" s="215"/>
      <c r="F625" s="216"/>
      <c r="G625" s="213"/>
    </row>
    <row r="626" spans="1:7" ht="17.399999999999999" x14ac:dyDescent="0.25">
      <c r="A626" s="270" t="s">
        <v>1347</v>
      </c>
      <c r="B626" s="271" t="s">
        <v>1348</v>
      </c>
      <c r="C626" s="272"/>
      <c r="D626" s="284"/>
      <c r="E626" s="284"/>
      <c r="F626" s="285"/>
      <c r="G626" s="286"/>
    </row>
    <row r="627" spans="1:7" ht="15.6" x14ac:dyDescent="0.25">
      <c r="A627" s="287"/>
      <c r="B627" s="169" t="s">
        <v>1349</v>
      </c>
      <c r="C627" s="288"/>
      <c r="D627" s="318"/>
      <c r="E627" s="318"/>
      <c r="F627" s="319"/>
      <c r="G627" s="175"/>
    </row>
    <row r="628" spans="1:7" ht="41.4" x14ac:dyDescent="0.25">
      <c r="A628" s="174" t="s">
        <v>1350</v>
      </c>
      <c r="B628" s="175"/>
      <c r="C628" s="214" t="s">
        <v>1351</v>
      </c>
      <c r="D628" s="181"/>
      <c r="E628" s="181"/>
      <c r="F628" s="178"/>
      <c r="G628" s="175"/>
    </row>
    <row r="629" spans="1:7" ht="27.6" x14ac:dyDescent="0.25">
      <c r="A629" s="180" t="s">
        <v>1352</v>
      </c>
      <c r="B629" s="175"/>
      <c r="C629" s="176" t="s">
        <v>1353</v>
      </c>
      <c r="D629" s="181"/>
      <c r="E629" s="181"/>
      <c r="F629" s="178"/>
      <c r="G629" s="175"/>
    </row>
    <row r="630" spans="1:7" ht="27.6" x14ac:dyDescent="0.25">
      <c r="A630" s="180" t="s">
        <v>1354</v>
      </c>
      <c r="B630" s="175"/>
      <c r="C630" s="176" t="s">
        <v>1355</v>
      </c>
      <c r="D630" s="181"/>
      <c r="E630" s="181"/>
      <c r="F630" s="178"/>
      <c r="G630" s="175"/>
    </row>
    <row r="631" spans="1:7" ht="57" customHeight="1" x14ac:dyDescent="0.25">
      <c r="A631" s="180" t="s">
        <v>1356</v>
      </c>
      <c r="B631" s="175"/>
      <c r="C631" s="176" t="s">
        <v>1357</v>
      </c>
      <c r="D631" s="181"/>
      <c r="E631" s="181"/>
      <c r="F631" s="178"/>
      <c r="G631" s="175"/>
    </row>
    <row r="632" spans="1:7" ht="41.4" x14ac:dyDescent="0.25">
      <c r="A632" s="180" t="s">
        <v>1358</v>
      </c>
      <c r="B632" s="175"/>
      <c r="C632" s="176" t="s">
        <v>1359</v>
      </c>
      <c r="D632" s="181"/>
      <c r="E632" s="181"/>
      <c r="F632" s="178"/>
      <c r="G632" s="175"/>
    </row>
    <row r="633" spans="1:7" ht="28.2" x14ac:dyDescent="0.25">
      <c r="A633" s="201" t="s">
        <v>1360</v>
      </c>
      <c r="B633" s="189"/>
      <c r="C633" s="190" t="s">
        <v>1361</v>
      </c>
      <c r="D633" s="181"/>
      <c r="E633" s="181"/>
      <c r="F633" s="178"/>
      <c r="G633" s="175"/>
    </row>
    <row r="634" spans="1:7" ht="14.4" x14ac:dyDescent="0.25">
      <c r="A634" s="188" t="s">
        <v>1362</v>
      </c>
      <c r="B634" s="189"/>
      <c r="C634" s="192" t="s">
        <v>1363</v>
      </c>
      <c r="D634" s="181"/>
      <c r="E634" s="181"/>
      <c r="F634" s="178"/>
      <c r="G634" s="175"/>
    </row>
    <row r="635" spans="1:7" ht="14.4" x14ac:dyDescent="0.25">
      <c r="A635" s="188" t="s">
        <v>1364</v>
      </c>
      <c r="B635" s="189"/>
      <c r="C635" s="192" t="s">
        <v>1365</v>
      </c>
      <c r="D635" s="181"/>
      <c r="E635" s="181"/>
      <c r="F635" s="178"/>
      <c r="G635" s="175"/>
    </row>
    <row r="636" spans="1:7" ht="14.4" x14ac:dyDescent="0.25">
      <c r="A636" s="188" t="s">
        <v>1366</v>
      </c>
      <c r="B636" s="189"/>
      <c r="C636" s="192" t="s">
        <v>1367</v>
      </c>
      <c r="D636" s="181"/>
      <c r="E636" s="181"/>
      <c r="F636" s="178"/>
      <c r="G636" s="175"/>
    </row>
    <row r="637" spans="1:7" ht="27.6" x14ac:dyDescent="0.25">
      <c r="A637" s="180" t="s">
        <v>1368</v>
      </c>
      <c r="B637" s="175"/>
      <c r="C637" s="176" t="s">
        <v>1369</v>
      </c>
      <c r="D637" s="181"/>
      <c r="E637" s="181"/>
      <c r="F637" s="178"/>
      <c r="G637" s="175"/>
    </row>
    <row r="638" spans="1:7" ht="41.4" x14ac:dyDescent="0.25">
      <c r="A638" s="180" t="s">
        <v>1370</v>
      </c>
      <c r="B638" s="175"/>
      <c r="C638" s="176" t="s">
        <v>1371</v>
      </c>
      <c r="D638" s="181"/>
      <c r="E638" s="181"/>
      <c r="F638" s="178"/>
      <c r="G638" s="175"/>
    </row>
    <row r="639" spans="1:7" x14ac:dyDescent="0.25">
      <c r="A639" s="180" t="s">
        <v>1372</v>
      </c>
      <c r="B639" s="175"/>
      <c r="C639" s="176" t="s">
        <v>1373</v>
      </c>
      <c r="D639" s="181"/>
      <c r="E639" s="181"/>
      <c r="F639" s="178"/>
      <c r="G639" s="175"/>
    </row>
    <row r="640" spans="1:7" ht="41.4" x14ac:dyDescent="0.25">
      <c r="A640" s="180" t="s">
        <v>1374</v>
      </c>
      <c r="B640" s="175"/>
      <c r="C640" s="176" t="s">
        <v>1375</v>
      </c>
      <c r="D640" s="181"/>
      <c r="E640" s="181"/>
      <c r="F640" s="178"/>
      <c r="G640" s="175"/>
    </row>
    <row r="641" spans="1:7" ht="41.4" x14ac:dyDescent="0.25">
      <c r="A641" s="201" t="s">
        <v>1376</v>
      </c>
      <c r="B641" s="190"/>
      <c r="C641" s="190" t="s">
        <v>1377</v>
      </c>
      <c r="D641" s="181"/>
      <c r="E641" s="181"/>
      <c r="F641" s="178"/>
      <c r="G641" s="175"/>
    </row>
    <row r="642" spans="1:7" ht="14.4" x14ac:dyDescent="0.25">
      <c r="A642" s="201" t="s">
        <v>1378</v>
      </c>
      <c r="B642" s="189"/>
      <c r="C642" s="192" t="s">
        <v>1379</v>
      </c>
      <c r="D642" s="181"/>
      <c r="E642" s="181"/>
      <c r="F642" s="178"/>
      <c r="G642" s="175"/>
    </row>
    <row r="643" spans="1:7" ht="14.4" x14ac:dyDescent="0.25">
      <c r="A643" s="188" t="s">
        <v>1380</v>
      </c>
      <c r="B643" s="189"/>
      <c r="C643" s="192" t="s">
        <v>1381</v>
      </c>
      <c r="D643" s="181"/>
      <c r="E643" s="181"/>
      <c r="F643" s="178"/>
      <c r="G643" s="175"/>
    </row>
    <row r="644" spans="1:7" ht="14.4" x14ac:dyDescent="0.25">
      <c r="A644" s="188" t="s">
        <v>1382</v>
      </c>
      <c r="B644" s="189"/>
      <c r="C644" s="192" t="s">
        <v>1383</v>
      </c>
      <c r="D644" s="181"/>
      <c r="E644" s="181"/>
      <c r="F644" s="178"/>
      <c r="G644" s="175"/>
    </row>
    <row r="645" spans="1:7" ht="14.4" x14ac:dyDescent="0.25">
      <c r="A645" s="188" t="s">
        <v>1384</v>
      </c>
      <c r="B645" s="189"/>
      <c r="C645" s="192" t="s">
        <v>1385</v>
      </c>
      <c r="D645" s="181"/>
      <c r="E645" s="181"/>
      <c r="F645" s="178"/>
      <c r="G645" s="175"/>
    </row>
    <row r="646" spans="1:7" ht="14.4" x14ac:dyDescent="0.25">
      <c r="A646" s="188" t="s">
        <v>1386</v>
      </c>
      <c r="B646" s="189"/>
      <c r="C646" s="192" t="s">
        <v>1387</v>
      </c>
      <c r="D646" s="181"/>
      <c r="E646" s="181"/>
      <c r="F646" s="185"/>
      <c r="G646" s="175"/>
    </row>
    <row r="647" spans="1:7" ht="27.6" x14ac:dyDescent="0.25">
      <c r="A647" s="180" t="s">
        <v>1388</v>
      </c>
      <c r="B647" s="175"/>
      <c r="C647" s="176" t="s">
        <v>1389</v>
      </c>
      <c r="D647" s="181"/>
      <c r="E647" s="181"/>
      <c r="F647" s="185"/>
      <c r="G647" s="175"/>
    </row>
    <row r="648" spans="1:7" ht="27.6" x14ac:dyDescent="0.25">
      <c r="A648" s="180" t="s">
        <v>1390</v>
      </c>
      <c r="B648" s="175"/>
      <c r="C648" s="176" t="s">
        <v>1391</v>
      </c>
      <c r="D648" s="181"/>
      <c r="E648" s="181"/>
      <c r="F648" s="178"/>
      <c r="G648" s="175"/>
    </row>
    <row r="649" spans="1:7" ht="14.4" thickBot="1" x14ac:dyDescent="0.3">
      <c r="A649" s="278"/>
      <c r="B649" s="213"/>
      <c r="C649" s="289"/>
      <c r="D649" s="215"/>
      <c r="E649" s="215"/>
      <c r="F649" s="216"/>
      <c r="G649" s="213"/>
    </row>
    <row r="650" spans="1:7" ht="17.399999999999999" x14ac:dyDescent="0.25">
      <c r="A650" s="270" t="s">
        <v>1392</v>
      </c>
      <c r="B650" s="271" t="s">
        <v>1393</v>
      </c>
      <c r="C650" s="272"/>
      <c r="D650" s="284"/>
      <c r="E650" s="284"/>
      <c r="F650" s="285"/>
      <c r="G650" s="286"/>
    </row>
    <row r="651" spans="1:7" ht="15.6" x14ac:dyDescent="0.25">
      <c r="A651" s="287"/>
      <c r="B651" s="169" t="s">
        <v>1394</v>
      </c>
      <c r="C651" s="288"/>
      <c r="D651" s="318"/>
      <c r="E651" s="318"/>
      <c r="F651" s="319"/>
      <c r="G651" s="175"/>
    </row>
    <row r="652" spans="1:7" ht="41.4" x14ac:dyDescent="0.25">
      <c r="A652" s="174" t="s">
        <v>1395</v>
      </c>
      <c r="B652" s="175"/>
      <c r="C652" s="176" t="s">
        <v>1396</v>
      </c>
      <c r="D652" s="181"/>
      <c r="E652" s="181"/>
      <c r="F652" s="178"/>
      <c r="G652" s="175"/>
    </row>
    <row r="653" spans="1:7" ht="28.2" x14ac:dyDescent="0.25">
      <c r="A653" s="201" t="s">
        <v>1397</v>
      </c>
      <c r="B653" s="190"/>
      <c r="C653" s="190" t="s">
        <v>1398</v>
      </c>
      <c r="D653" s="181"/>
      <c r="E653" s="181"/>
      <c r="F653" s="178"/>
      <c r="G653" s="175"/>
    </row>
    <row r="654" spans="1:7" ht="14.4" x14ac:dyDescent="0.25">
      <c r="A654" s="201" t="s">
        <v>1399</v>
      </c>
      <c r="B654" s="189"/>
      <c r="C654" s="192" t="s">
        <v>1400</v>
      </c>
      <c r="D654" s="181"/>
      <c r="E654" s="181"/>
      <c r="F654" s="178"/>
      <c r="G654" s="175"/>
    </row>
    <row r="655" spans="1:7" ht="14.4" x14ac:dyDescent="0.25">
      <c r="A655" s="188" t="s">
        <v>1401</v>
      </c>
      <c r="B655" s="189"/>
      <c r="C655" s="192" t="s">
        <v>1402</v>
      </c>
      <c r="D655" s="181"/>
      <c r="E655" s="181"/>
      <c r="F655" s="178"/>
      <c r="G655" s="175"/>
    </row>
    <row r="656" spans="1:7" ht="14.4" x14ac:dyDescent="0.25">
      <c r="A656" s="188" t="s">
        <v>1403</v>
      </c>
      <c r="B656" s="189"/>
      <c r="C656" s="192" t="s">
        <v>1404</v>
      </c>
      <c r="D656" s="181"/>
      <c r="E656" s="181"/>
      <c r="F656" s="178"/>
      <c r="G656" s="175"/>
    </row>
    <row r="657" spans="1:7" ht="27.6" x14ac:dyDescent="0.25">
      <c r="A657" s="174" t="s">
        <v>1405</v>
      </c>
      <c r="B657" s="175"/>
      <c r="C657" s="176" t="s">
        <v>1406</v>
      </c>
      <c r="D657" s="181"/>
      <c r="E657" s="181"/>
      <c r="F657" s="178"/>
      <c r="G657" s="175"/>
    </row>
    <row r="658" spans="1:7" ht="30.75" customHeight="1" x14ac:dyDescent="0.25">
      <c r="A658" s="174" t="s">
        <v>1407</v>
      </c>
      <c r="B658" s="175"/>
      <c r="C658" s="176" t="s">
        <v>1408</v>
      </c>
      <c r="D658" s="181"/>
      <c r="E658" s="181"/>
      <c r="F658" s="178"/>
      <c r="G658" s="175"/>
    </row>
    <row r="659" spans="1:7" ht="55.2" x14ac:dyDescent="0.25">
      <c r="A659" s="174" t="s">
        <v>1409</v>
      </c>
      <c r="B659" s="175"/>
      <c r="C659" s="176" t="s">
        <v>1410</v>
      </c>
      <c r="D659" s="181"/>
      <c r="E659" s="181"/>
      <c r="F659" s="178"/>
      <c r="G659" s="175"/>
    </row>
    <row r="660" spans="1:7" ht="42.6" x14ac:dyDescent="0.25">
      <c r="A660" s="201" t="s">
        <v>1411</v>
      </c>
      <c r="B660" s="190"/>
      <c r="C660" s="192" t="s">
        <v>1412</v>
      </c>
      <c r="D660" s="181"/>
      <c r="E660" s="181"/>
      <c r="F660" s="178"/>
      <c r="G660" s="175"/>
    </row>
    <row r="661" spans="1:7" ht="14.4" x14ac:dyDescent="0.25">
      <c r="A661" s="201" t="s">
        <v>1413</v>
      </c>
      <c r="B661" s="189"/>
      <c r="C661" s="192" t="s">
        <v>1414</v>
      </c>
      <c r="D661" s="181"/>
      <c r="E661" s="181"/>
      <c r="F661" s="178"/>
      <c r="G661" s="175"/>
    </row>
    <row r="662" spans="1:7" ht="43.2" x14ac:dyDescent="0.25">
      <c r="A662" s="188" t="s">
        <v>1415</v>
      </c>
      <c r="B662" s="189"/>
      <c r="C662" s="192" t="s">
        <v>1416</v>
      </c>
      <c r="D662" s="181"/>
      <c r="E662" s="181"/>
      <c r="F662" s="178"/>
      <c r="G662" s="175"/>
    </row>
    <row r="663" spans="1:7" ht="28.8" x14ac:dyDescent="0.25">
      <c r="A663" s="188" t="s">
        <v>1417</v>
      </c>
      <c r="B663" s="189"/>
      <c r="C663" s="192" t="s">
        <v>1418</v>
      </c>
      <c r="D663" s="181"/>
      <c r="E663" s="181"/>
      <c r="F663" s="178"/>
      <c r="G663" s="175"/>
    </row>
    <row r="664" spans="1:7" ht="14.4" x14ac:dyDescent="0.25">
      <c r="A664" s="188" t="s">
        <v>1419</v>
      </c>
      <c r="B664" s="189"/>
      <c r="C664" s="192" t="s">
        <v>1420</v>
      </c>
      <c r="D664" s="181"/>
      <c r="E664" s="181"/>
      <c r="F664" s="178"/>
      <c r="G664" s="175"/>
    </row>
    <row r="665" spans="1:7" ht="14.4" x14ac:dyDescent="0.25">
      <c r="A665" s="188" t="s">
        <v>1421</v>
      </c>
      <c r="B665" s="189"/>
      <c r="C665" s="192" t="s">
        <v>1422</v>
      </c>
      <c r="D665" s="181"/>
      <c r="E665" s="181"/>
      <c r="F665" s="178"/>
      <c r="G665" s="175"/>
    </row>
    <row r="666" spans="1:7" ht="14.4" x14ac:dyDescent="0.25">
      <c r="A666" s="188" t="s">
        <v>1423</v>
      </c>
      <c r="B666" s="189"/>
      <c r="C666" s="192" t="s">
        <v>1424</v>
      </c>
      <c r="D666" s="181"/>
      <c r="E666" s="181"/>
      <c r="F666" s="178"/>
      <c r="G666" s="175"/>
    </row>
    <row r="667" spans="1:7" x14ac:dyDescent="0.25">
      <c r="A667" s="170"/>
      <c r="B667" s="290"/>
      <c r="C667" s="214"/>
      <c r="D667" s="204"/>
      <c r="E667" s="204"/>
      <c r="F667" s="233"/>
      <c r="G667" s="175"/>
    </row>
    <row r="668" spans="1:7" ht="57.6" x14ac:dyDescent="0.25">
      <c r="A668" s="201" t="s">
        <v>1425</v>
      </c>
      <c r="B668" s="190"/>
      <c r="C668" s="192" t="s">
        <v>1426</v>
      </c>
      <c r="D668" s="181"/>
      <c r="E668" s="181"/>
      <c r="F668" s="178"/>
      <c r="G668" s="175"/>
    </row>
    <row r="669" spans="1:7" ht="33" customHeight="1" x14ac:dyDescent="0.25">
      <c r="A669" s="201" t="s">
        <v>1427</v>
      </c>
      <c r="B669" s="189"/>
      <c r="C669" s="192" t="s">
        <v>1428</v>
      </c>
      <c r="D669" s="181"/>
      <c r="E669" s="181"/>
      <c r="F669" s="178"/>
      <c r="G669" s="175"/>
    </row>
    <row r="670" spans="1:7" ht="28.8" x14ac:dyDescent="0.25">
      <c r="A670" s="188" t="s">
        <v>1429</v>
      </c>
      <c r="B670" s="189"/>
      <c r="C670" s="192" t="s">
        <v>1430</v>
      </c>
      <c r="D670" s="181"/>
      <c r="E670" s="181"/>
      <c r="F670" s="178"/>
      <c r="G670" s="175"/>
    </row>
    <row r="671" spans="1:7" ht="28.8" x14ac:dyDescent="0.25">
      <c r="A671" s="188" t="s">
        <v>1431</v>
      </c>
      <c r="B671" s="189"/>
      <c r="C671" s="192" t="s">
        <v>1432</v>
      </c>
      <c r="D671" s="181"/>
      <c r="E671" s="181"/>
      <c r="F671" s="178"/>
      <c r="G671" s="175"/>
    </row>
    <row r="672" spans="1:7" ht="28.8" x14ac:dyDescent="0.25">
      <c r="A672" s="188" t="s">
        <v>1433</v>
      </c>
      <c r="B672" s="189"/>
      <c r="C672" s="192" t="s">
        <v>1434</v>
      </c>
      <c r="D672" s="181"/>
      <c r="E672" s="181"/>
      <c r="F672" s="178"/>
      <c r="G672" s="175"/>
    </row>
    <row r="673" spans="1:7" ht="28.8" x14ac:dyDescent="0.25">
      <c r="A673" s="188" t="s">
        <v>1435</v>
      </c>
      <c r="B673" s="189"/>
      <c r="C673" s="192" t="s">
        <v>1436</v>
      </c>
      <c r="D673" s="181"/>
      <c r="E673" s="181"/>
      <c r="F673" s="178"/>
      <c r="G673" s="175"/>
    </row>
    <row r="674" spans="1:7" ht="57.6" x14ac:dyDescent="0.25">
      <c r="A674" s="188" t="s">
        <v>1437</v>
      </c>
      <c r="B674" s="189"/>
      <c r="C674" s="192" t="s">
        <v>1438</v>
      </c>
      <c r="D674" s="181"/>
      <c r="E674" s="181"/>
      <c r="F674" s="178"/>
      <c r="G674" s="175"/>
    </row>
    <row r="675" spans="1:7" ht="28.8" x14ac:dyDescent="0.25">
      <c r="A675" s="188" t="s">
        <v>1439</v>
      </c>
      <c r="B675" s="189"/>
      <c r="C675" s="192" t="s">
        <v>1440</v>
      </c>
      <c r="D675" s="181"/>
      <c r="E675" s="181"/>
      <c r="F675" s="178"/>
      <c r="G675" s="175"/>
    </row>
    <row r="676" spans="1:7" ht="14.4" x14ac:dyDescent="0.25">
      <c r="A676" s="188" t="s">
        <v>1441</v>
      </c>
      <c r="B676" s="189"/>
      <c r="C676" s="192" t="s">
        <v>1442</v>
      </c>
      <c r="D676" s="181"/>
      <c r="E676" s="181"/>
      <c r="F676" s="178"/>
      <c r="G676" s="175"/>
    </row>
    <row r="677" spans="1:7" ht="43.2" x14ac:dyDescent="0.25">
      <c r="A677" s="188" t="s">
        <v>1443</v>
      </c>
      <c r="B677" s="189"/>
      <c r="C677" s="192" t="s">
        <v>1444</v>
      </c>
      <c r="D677" s="181"/>
      <c r="E677" s="181"/>
      <c r="F677" s="178"/>
      <c r="G677" s="175"/>
    </row>
    <row r="678" spans="1:7" ht="15" customHeight="1" x14ac:dyDescent="0.25">
      <c r="A678" s="174" t="s">
        <v>1445</v>
      </c>
      <c r="B678" s="175"/>
      <c r="C678" s="291" t="s">
        <v>1446</v>
      </c>
      <c r="D678" s="181"/>
      <c r="E678" s="181"/>
      <c r="F678" s="185"/>
      <c r="G678" s="175"/>
    </row>
    <row r="679" spans="1:7" ht="27.6" x14ac:dyDescent="0.25">
      <c r="A679" s="174" t="s">
        <v>1447</v>
      </c>
      <c r="B679" s="175"/>
      <c r="C679" s="176" t="s">
        <v>1448</v>
      </c>
      <c r="D679" s="181"/>
      <c r="E679" s="181"/>
      <c r="F679" s="178"/>
      <c r="G679" s="175"/>
    </row>
    <row r="680" spans="1:7" ht="14.4" thickBot="1" x14ac:dyDescent="0.3">
      <c r="A680" s="278"/>
      <c r="B680" s="213"/>
      <c r="C680" s="289"/>
      <c r="D680" s="215"/>
      <c r="E680" s="215"/>
      <c r="F680" s="216"/>
      <c r="G680" s="213"/>
    </row>
    <row r="681" spans="1:7" ht="17.399999999999999" x14ac:dyDescent="0.25">
      <c r="A681" s="270" t="s">
        <v>1449</v>
      </c>
      <c r="B681" s="271" t="s">
        <v>1450</v>
      </c>
      <c r="C681" s="272"/>
      <c r="D681" s="284"/>
      <c r="E681" s="284"/>
      <c r="F681" s="285"/>
      <c r="G681" s="286"/>
    </row>
    <row r="682" spans="1:7" ht="15.6" x14ac:dyDescent="0.25">
      <c r="A682" s="287"/>
      <c r="B682" s="169" t="s">
        <v>1451</v>
      </c>
      <c r="C682" s="288"/>
      <c r="D682" s="318"/>
      <c r="E682" s="318"/>
      <c r="F682" s="319"/>
      <c r="G682" s="175"/>
    </row>
    <row r="683" spans="1:7" x14ac:dyDescent="0.25">
      <c r="A683" s="170" t="s">
        <v>1452</v>
      </c>
      <c r="B683" s="292" t="s">
        <v>1453</v>
      </c>
      <c r="C683" s="293"/>
      <c r="D683" s="204"/>
      <c r="E683" s="204"/>
      <c r="F683" s="233"/>
      <c r="G683" s="175"/>
    </row>
    <row r="684" spans="1:7" ht="41.4" x14ac:dyDescent="0.25">
      <c r="A684" s="174"/>
      <c r="B684" s="294"/>
      <c r="C684" s="211" t="s">
        <v>1454</v>
      </c>
      <c r="D684" s="181"/>
      <c r="E684" s="181"/>
      <c r="F684" s="178"/>
      <c r="G684" s="175"/>
    </row>
    <row r="685" spans="1:7" ht="30.75" customHeight="1" x14ac:dyDescent="0.25">
      <c r="A685" s="282" t="s">
        <v>1455</v>
      </c>
      <c r="B685" s="312" t="s">
        <v>1456</v>
      </c>
      <c r="C685" s="313"/>
      <c r="D685" s="204"/>
      <c r="E685" s="204"/>
      <c r="F685" s="233"/>
      <c r="G685" s="175"/>
    </row>
    <row r="686" spans="1:7" ht="60" customHeight="1" x14ac:dyDescent="0.25">
      <c r="A686" s="180" t="s">
        <v>1457</v>
      </c>
      <c r="B686" s="294"/>
      <c r="C686" s="293" t="s">
        <v>1458</v>
      </c>
      <c r="D686" s="181"/>
      <c r="E686" s="181"/>
      <c r="F686" s="178"/>
      <c r="G686" s="175"/>
    </row>
    <row r="687" spans="1:7" ht="78.75" customHeight="1" x14ac:dyDescent="0.25">
      <c r="A687" s="180" t="s">
        <v>1459</v>
      </c>
      <c r="B687" s="294"/>
      <c r="C687" s="211" t="s">
        <v>1460</v>
      </c>
      <c r="D687" s="181"/>
      <c r="E687" s="181"/>
      <c r="F687" s="178"/>
      <c r="G687" s="175"/>
    </row>
    <row r="688" spans="1:7" x14ac:dyDescent="0.25">
      <c r="A688" s="180" t="s">
        <v>1461</v>
      </c>
      <c r="B688" s="294"/>
      <c r="C688" s="211" t="s">
        <v>1462</v>
      </c>
      <c r="D688" s="181"/>
      <c r="E688" s="181"/>
      <c r="F688" s="178"/>
      <c r="G688" s="175"/>
    </row>
    <row r="689" spans="1:7" x14ac:dyDescent="0.25">
      <c r="A689" s="282" t="s">
        <v>1463</v>
      </c>
      <c r="B689" s="314" t="s">
        <v>1464</v>
      </c>
      <c r="C689" s="315"/>
      <c r="D689" s="204"/>
      <c r="E689" s="204"/>
      <c r="F689" s="233"/>
      <c r="G689" s="175"/>
    </row>
    <row r="690" spans="1:7" ht="55.2" x14ac:dyDescent="0.25">
      <c r="A690" s="174" t="s">
        <v>1465</v>
      </c>
      <c r="B690" s="294"/>
      <c r="C690" s="211" t="s">
        <v>1466</v>
      </c>
      <c r="D690" s="181"/>
      <c r="E690" s="181"/>
      <c r="F690" s="178"/>
      <c r="G690" s="175"/>
    </row>
    <row r="691" spans="1:7" ht="13.95" customHeight="1" x14ac:dyDescent="0.25">
      <c r="A691" s="282" t="s">
        <v>1467</v>
      </c>
      <c r="B691" s="314" t="s">
        <v>1468</v>
      </c>
      <c r="C691" s="315"/>
      <c r="D691" s="204"/>
      <c r="E691" s="204"/>
      <c r="F691" s="233"/>
      <c r="G691" s="175"/>
    </row>
    <row r="692" spans="1:7" ht="55.2" x14ac:dyDescent="0.25">
      <c r="A692" s="180" t="s">
        <v>1469</v>
      </c>
      <c r="B692" s="175"/>
      <c r="C692" s="211" t="s">
        <v>1470</v>
      </c>
      <c r="D692" s="181"/>
      <c r="E692" s="181"/>
      <c r="F692" s="178"/>
      <c r="G692" s="175"/>
    </row>
    <row r="693" spans="1:7" ht="41.4" x14ac:dyDescent="0.25">
      <c r="A693" s="180" t="s">
        <v>1471</v>
      </c>
      <c r="B693" s="294"/>
      <c r="C693" s="211" t="s">
        <v>1472</v>
      </c>
      <c r="D693" s="181"/>
      <c r="E693" s="181"/>
      <c r="F693" s="178"/>
      <c r="G693" s="175"/>
    </row>
    <row r="694" spans="1:7" ht="15" customHeight="1" x14ac:dyDescent="0.25">
      <c r="A694" s="282" t="s">
        <v>1473</v>
      </c>
      <c r="B694" s="312" t="s">
        <v>1474</v>
      </c>
      <c r="C694" s="313"/>
      <c r="D694" s="204"/>
      <c r="E694" s="204"/>
      <c r="F694" s="233"/>
      <c r="G694" s="175"/>
    </row>
    <row r="695" spans="1:7" ht="55.2" x14ac:dyDescent="0.25">
      <c r="A695" s="180" t="s">
        <v>1475</v>
      </c>
      <c r="B695" s="175"/>
      <c r="C695" s="211" t="s">
        <v>1476</v>
      </c>
      <c r="D695" s="181"/>
      <c r="E695" s="181"/>
      <c r="F695" s="178"/>
      <c r="G695" s="175"/>
    </row>
    <row r="696" spans="1:7" x14ac:dyDescent="0.25">
      <c r="A696" s="282" t="s">
        <v>1477</v>
      </c>
      <c r="B696" s="314" t="s">
        <v>1478</v>
      </c>
      <c r="C696" s="315"/>
      <c r="D696" s="204"/>
      <c r="E696" s="204"/>
      <c r="F696" s="233"/>
      <c r="G696" s="175"/>
    </row>
    <row r="697" spans="1:7" ht="124.2" x14ac:dyDescent="0.25">
      <c r="A697" s="180" t="s">
        <v>1479</v>
      </c>
      <c r="B697" s="294"/>
      <c r="C697" s="211" t="s">
        <v>1480</v>
      </c>
      <c r="D697" s="181"/>
      <c r="E697" s="181"/>
      <c r="F697" s="178"/>
      <c r="G697" s="175"/>
    </row>
    <row r="698" spans="1:7" ht="41.4" x14ac:dyDescent="0.25">
      <c r="A698" s="295" t="s">
        <v>1481</v>
      </c>
      <c r="B698" s="175"/>
      <c r="C698" s="211" t="s">
        <v>1482</v>
      </c>
      <c r="D698" s="181"/>
      <c r="E698" s="181"/>
      <c r="F698" s="178"/>
      <c r="G698" s="175"/>
    </row>
    <row r="699" spans="1:7" ht="41.4" x14ac:dyDescent="0.25">
      <c r="A699" s="180" t="s">
        <v>1483</v>
      </c>
      <c r="B699" s="175"/>
      <c r="C699" s="211" t="s">
        <v>1484</v>
      </c>
      <c r="D699" s="181"/>
      <c r="E699" s="181"/>
      <c r="F699" s="178"/>
      <c r="G699" s="175"/>
    </row>
    <row r="700" spans="1:7" x14ac:dyDescent="0.25">
      <c r="A700" s="170" t="s">
        <v>1485</v>
      </c>
      <c r="B700" s="292" t="s">
        <v>1486</v>
      </c>
      <c r="C700" s="293"/>
      <c r="D700" s="204"/>
      <c r="E700" s="204"/>
      <c r="F700" s="233"/>
      <c r="G700" s="175"/>
    </row>
    <row r="701" spans="1:7" ht="27.6" x14ac:dyDescent="0.25">
      <c r="A701" s="174" t="s">
        <v>1487</v>
      </c>
      <c r="B701" s="294"/>
      <c r="C701" s="211" t="s">
        <v>1488</v>
      </c>
      <c r="D701" s="181"/>
      <c r="E701" s="181"/>
      <c r="F701" s="178"/>
      <c r="G701" s="175"/>
    </row>
    <row r="702" spans="1:7" x14ac:dyDescent="0.25">
      <c r="A702" s="282" t="s">
        <v>1489</v>
      </c>
      <c r="B702" s="314" t="s">
        <v>1490</v>
      </c>
      <c r="C702" s="315"/>
      <c r="D702" s="204"/>
      <c r="E702" s="204"/>
      <c r="F702" s="233"/>
      <c r="G702" s="175"/>
    </row>
    <row r="703" spans="1:7" ht="41.4" x14ac:dyDescent="0.25">
      <c r="A703" s="180" t="s">
        <v>1491</v>
      </c>
      <c r="B703" s="175"/>
      <c r="C703" s="211" t="s">
        <v>1492</v>
      </c>
      <c r="D703" s="181"/>
      <c r="E703" s="181"/>
      <c r="F703" s="178"/>
      <c r="G703" s="175"/>
    </row>
    <row r="704" spans="1:7" ht="41.4" x14ac:dyDescent="0.25">
      <c r="A704" s="180" t="s">
        <v>1493</v>
      </c>
      <c r="B704" s="175"/>
      <c r="C704" s="293" t="s">
        <v>1494</v>
      </c>
      <c r="D704" s="181"/>
      <c r="E704" s="181"/>
      <c r="F704" s="178"/>
      <c r="G704" s="175"/>
    </row>
    <row r="705" spans="1:7" ht="18.75" customHeight="1" x14ac:dyDescent="0.25">
      <c r="A705" s="180" t="s">
        <v>1495</v>
      </c>
      <c r="B705" s="175"/>
      <c r="C705" s="211" t="s">
        <v>1496</v>
      </c>
      <c r="D705" s="181"/>
      <c r="E705" s="181"/>
      <c r="F705" s="178"/>
      <c r="G705" s="175"/>
    </row>
    <row r="706" spans="1:7" ht="27.6" x14ac:dyDescent="0.25">
      <c r="A706" s="180" t="s">
        <v>1497</v>
      </c>
      <c r="B706" s="175"/>
      <c r="C706" s="211" t="s">
        <v>1498</v>
      </c>
      <c r="D706" s="181"/>
      <c r="E706" s="181"/>
      <c r="F706" s="178"/>
      <c r="G706" s="175"/>
    </row>
  </sheetData>
  <sheetProtection sheet="1" selectLockedCells="1"/>
  <autoFilter ref="A2:G648" xr:uid="{00000000-0009-0000-0000-000003000000}"/>
  <dataConsolidate/>
  <mergeCells count="27">
    <mergeCell ref="D651:F651"/>
    <mergeCell ref="D682:F682"/>
    <mergeCell ref="B689:C689"/>
    <mergeCell ref="A1:G1"/>
    <mergeCell ref="D4:F4"/>
    <mergeCell ref="D460:F460"/>
    <mergeCell ref="D325:F325"/>
    <mergeCell ref="D376:F376"/>
    <mergeCell ref="D402:F402"/>
    <mergeCell ref="D441:F441"/>
    <mergeCell ref="D459:F459"/>
    <mergeCell ref="G106:G107"/>
    <mergeCell ref="D66:F66"/>
    <mergeCell ref="D246:F246"/>
    <mergeCell ref="B5:C5"/>
    <mergeCell ref="D148:F148"/>
    <mergeCell ref="B56:C56"/>
    <mergeCell ref="B42:C42"/>
    <mergeCell ref="D627:F627"/>
    <mergeCell ref="D573:F573"/>
    <mergeCell ref="D605:F605"/>
    <mergeCell ref="D572:F572"/>
    <mergeCell ref="B685:C685"/>
    <mergeCell ref="B691:C691"/>
    <mergeCell ref="B694:C694"/>
    <mergeCell ref="B696:C696"/>
    <mergeCell ref="B702:C702"/>
  </mergeCells>
  <pageMargins left="0.23622047244094491" right="0.23622047244094491" top="0.74803149606299213" bottom="0.74803149606299213" header="0.31496062992125984" footer="0.31496062992125984"/>
  <pageSetup paperSize="9" orientation="landscape" r:id="rId1"/>
  <headerFooter>
    <oddHeader>&amp;R&amp;G</oddHeader>
    <oddFooter>&amp;L&amp;"Arial,Standard"&amp;10Autoévaluation Sécurité intégrée&amp;C&amp;"Arial,Standard"&amp;8FO.250.f.V14&amp;R&amp;"Arial,Standard"&amp;10Page &amp;P de &amp;N</oddFooter>
  </headerFooter>
  <rowBreaks count="13" manualBreakCount="13">
    <brk id="64" max="16383" man="1"/>
    <brk id="146" max="16383" man="1"/>
    <brk id="244" max="16383" man="1"/>
    <brk id="323" max="16383" man="1"/>
    <brk id="374" max="16383" man="1"/>
    <brk id="400" max="16383" man="1"/>
    <brk id="439" max="16383" man="1"/>
    <brk id="457" max="16383" man="1"/>
    <brk id="570" max="16383" man="1"/>
    <brk id="603" max="16383" man="1"/>
    <brk id="625" max="16383" man="1"/>
    <brk id="649" max="16383" man="1"/>
    <brk id="680" max="16383" man="1"/>
  </rowBreaks>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B43"/>
  <sheetViews>
    <sheetView zoomScaleNormal="100" workbookViewId="0">
      <pane ySplit="2" topLeftCell="A3" activePane="bottomLeft" state="frozen"/>
      <selection pane="bottomLeft" activeCell="B10" sqref="B10"/>
    </sheetView>
  </sheetViews>
  <sheetFormatPr defaultColWidth="11.44140625" defaultRowHeight="14.4" x14ac:dyDescent="0.3"/>
  <cols>
    <col min="1" max="1" width="13.109375" customWidth="1"/>
    <col min="2" max="2" width="73.5546875" customWidth="1"/>
    <col min="3" max="4" width="11.44140625" customWidth="1"/>
  </cols>
  <sheetData>
    <row r="1" spans="1:2" ht="65.400000000000006" customHeight="1" x14ac:dyDescent="0.3">
      <c r="A1" s="332" t="s">
        <v>1499</v>
      </c>
      <c r="B1" s="333"/>
    </row>
    <row r="2" spans="1:2" x14ac:dyDescent="0.3">
      <c r="A2" s="173" t="s">
        <v>1500</v>
      </c>
      <c r="B2" s="297" t="s">
        <v>1501</v>
      </c>
    </row>
    <row r="3" spans="1:2" x14ac:dyDescent="0.3">
      <c r="A3" s="97" t="s">
        <v>133</v>
      </c>
      <c r="B3" s="65" t="s">
        <v>1502</v>
      </c>
    </row>
    <row r="4" spans="1:2" x14ac:dyDescent="0.3">
      <c r="A4" s="97" t="s">
        <v>144</v>
      </c>
      <c r="B4" s="65" t="s">
        <v>1503</v>
      </c>
    </row>
    <row r="5" spans="1:2" x14ac:dyDescent="0.3">
      <c r="A5" s="97" t="s">
        <v>208</v>
      </c>
      <c r="B5" s="65" t="s">
        <v>1504</v>
      </c>
    </row>
    <row r="6" spans="1:2" x14ac:dyDescent="0.3">
      <c r="A6" s="97" t="s">
        <v>258</v>
      </c>
      <c r="B6" s="65" t="s">
        <v>1505</v>
      </c>
    </row>
    <row r="7" spans="1:2" x14ac:dyDescent="0.3">
      <c r="A7" s="97" t="s">
        <v>1506</v>
      </c>
      <c r="B7" s="65" t="s">
        <v>1507</v>
      </c>
    </row>
    <row r="8" spans="1:2" x14ac:dyDescent="0.3">
      <c r="A8" s="97" t="s">
        <v>1508</v>
      </c>
      <c r="B8" s="65" t="s">
        <v>1509</v>
      </c>
    </row>
    <row r="9" spans="1:2" x14ac:dyDescent="0.3">
      <c r="A9" s="97" t="s">
        <v>1510</v>
      </c>
      <c r="B9" s="65" t="s">
        <v>1511</v>
      </c>
    </row>
    <row r="10" spans="1:2" x14ac:dyDescent="0.3">
      <c r="A10" s="97" t="s">
        <v>282</v>
      </c>
      <c r="B10" s="65" t="s">
        <v>1512</v>
      </c>
    </row>
    <row r="11" spans="1:2" ht="27.6" x14ac:dyDescent="0.3">
      <c r="A11" s="97" t="s">
        <v>294</v>
      </c>
      <c r="B11" s="65" t="s">
        <v>1513</v>
      </c>
    </row>
    <row r="12" spans="1:2" x14ac:dyDescent="0.3">
      <c r="A12" s="97" t="s">
        <v>324</v>
      </c>
      <c r="B12" s="65" t="s">
        <v>1514</v>
      </c>
    </row>
    <row r="13" spans="1:2" x14ac:dyDescent="0.3">
      <c r="A13" s="97" t="s">
        <v>329</v>
      </c>
      <c r="B13" s="65" t="s">
        <v>326</v>
      </c>
    </row>
    <row r="14" spans="1:2" x14ac:dyDescent="0.3">
      <c r="A14" s="97" t="s">
        <v>341</v>
      </c>
      <c r="B14" s="65" t="s">
        <v>1515</v>
      </c>
    </row>
    <row r="15" spans="1:2" x14ac:dyDescent="0.3">
      <c r="A15" s="97" t="s">
        <v>362</v>
      </c>
      <c r="B15" s="65" t="s">
        <v>1516</v>
      </c>
    </row>
    <row r="16" spans="1:2" x14ac:dyDescent="0.3">
      <c r="A16" s="97" t="s">
        <v>371</v>
      </c>
      <c r="B16" s="65" t="s">
        <v>1517</v>
      </c>
    </row>
    <row r="17" spans="1:2" x14ac:dyDescent="0.3">
      <c r="A17" s="97" t="s">
        <v>406</v>
      </c>
      <c r="B17" s="65" t="s">
        <v>1518</v>
      </c>
    </row>
    <row r="18" spans="1:2" x14ac:dyDescent="0.3">
      <c r="A18" s="97" t="s">
        <v>438</v>
      </c>
      <c r="B18" s="65" t="s">
        <v>1519</v>
      </c>
    </row>
    <row r="19" spans="1:2" x14ac:dyDescent="0.3">
      <c r="A19" s="97" t="s">
        <v>453</v>
      </c>
      <c r="B19" s="65" t="s">
        <v>1520</v>
      </c>
    </row>
    <row r="20" spans="1:2" ht="27.6" x14ac:dyDescent="0.3">
      <c r="A20" s="97" t="s">
        <v>463</v>
      </c>
      <c r="B20" s="65" t="s">
        <v>1521</v>
      </c>
    </row>
    <row r="21" spans="1:2" x14ac:dyDescent="0.3">
      <c r="A21" s="97" t="s">
        <v>493</v>
      </c>
      <c r="B21" s="65" t="s">
        <v>1522</v>
      </c>
    </row>
    <row r="22" spans="1:2" x14ac:dyDescent="0.3">
      <c r="A22" s="97" t="s">
        <v>547</v>
      </c>
      <c r="B22" s="65" t="s">
        <v>1523</v>
      </c>
    </row>
    <row r="23" spans="1:2" x14ac:dyDescent="0.3">
      <c r="A23" s="97" t="s">
        <v>594</v>
      </c>
      <c r="B23" s="65" t="s">
        <v>1524</v>
      </c>
    </row>
    <row r="24" spans="1:2" ht="31.5" customHeight="1" x14ac:dyDescent="0.3">
      <c r="A24" s="97" t="s">
        <v>611</v>
      </c>
      <c r="B24" s="65" t="s">
        <v>1525</v>
      </c>
    </row>
    <row r="25" spans="1:2" ht="27.6" x14ac:dyDescent="0.3">
      <c r="A25" s="97" t="s">
        <v>710</v>
      </c>
      <c r="B25" s="65" t="s">
        <v>1526</v>
      </c>
    </row>
    <row r="26" spans="1:2" x14ac:dyDescent="0.3">
      <c r="A26" s="97" t="s">
        <v>721</v>
      </c>
      <c r="B26" s="65" t="s">
        <v>1527</v>
      </c>
    </row>
    <row r="27" spans="1:2" ht="27.6" x14ac:dyDescent="0.3">
      <c r="A27" s="97" t="s">
        <v>736</v>
      </c>
      <c r="B27" s="65" t="s">
        <v>1528</v>
      </c>
    </row>
    <row r="28" spans="1:2" ht="27.6" x14ac:dyDescent="0.3">
      <c r="A28" s="97" t="s">
        <v>745</v>
      </c>
      <c r="B28" s="65" t="s">
        <v>1529</v>
      </c>
    </row>
    <row r="29" spans="1:2" x14ac:dyDescent="0.3">
      <c r="A29" s="97" t="s">
        <v>776</v>
      </c>
      <c r="B29" s="65" t="s">
        <v>1530</v>
      </c>
    </row>
    <row r="30" spans="1:2" x14ac:dyDescent="0.3">
      <c r="A30" s="97" t="s">
        <v>805</v>
      </c>
      <c r="B30" s="65" t="s">
        <v>1531</v>
      </c>
    </row>
    <row r="31" spans="1:2" x14ac:dyDescent="0.3">
      <c r="A31" s="97" t="s">
        <v>820</v>
      </c>
      <c r="B31" s="65" t="s">
        <v>1532</v>
      </c>
    </row>
    <row r="32" spans="1:2" ht="16.5" customHeight="1" x14ac:dyDescent="0.3">
      <c r="A32" s="97" t="s">
        <v>841</v>
      </c>
      <c r="B32" s="65" t="s">
        <v>1533</v>
      </c>
    </row>
    <row r="33" spans="1:2" x14ac:dyDescent="0.3">
      <c r="A33" s="298" t="s">
        <v>861</v>
      </c>
      <c r="B33" s="65" t="s">
        <v>1534</v>
      </c>
    </row>
    <row r="34" spans="1:2" x14ac:dyDescent="0.3">
      <c r="A34" s="97" t="s">
        <v>909</v>
      </c>
      <c r="B34" s="65" t="s">
        <v>1535</v>
      </c>
    </row>
    <row r="35" spans="1:2" x14ac:dyDescent="0.3">
      <c r="A35" s="97" t="s">
        <v>946</v>
      </c>
      <c r="B35" s="65" t="s">
        <v>1536</v>
      </c>
    </row>
    <row r="36" spans="1:2" x14ac:dyDescent="0.3">
      <c r="A36" s="97" t="s">
        <v>971</v>
      </c>
      <c r="B36" s="65" t="s">
        <v>1537</v>
      </c>
    </row>
    <row r="37" spans="1:2" x14ac:dyDescent="0.3">
      <c r="A37" s="97" t="s">
        <v>1001</v>
      </c>
      <c r="B37" s="65" t="s">
        <v>1538</v>
      </c>
    </row>
    <row r="38" spans="1:2" ht="27.6" x14ac:dyDescent="0.3">
      <c r="A38" s="97" t="s">
        <v>1199</v>
      </c>
      <c r="B38" s="65" t="s">
        <v>1539</v>
      </c>
    </row>
    <row r="39" spans="1:2" ht="27.6" x14ac:dyDescent="0.3">
      <c r="A39" s="97" t="s">
        <v>1245</v>
      </c>
      <c r="B39" s="65" t="s">
        <v>1540</v>
      </c>
    </row>
    <row r="40" spans="1:2" x14ac:dyDescent="0.3">
      <c r="A40" s="97" t="s">
        <v>1260</v>
      </c>
      <c r="B40" s="65" t="s">
        <v>1541</v>
      </c>
    </row>
    <row r="41" spans="1:2" x14ac:dyDescent="0.3">
      <c r="A41" s="97" t="s">
        <v>1267</v>
      </c>
      <c r="B41" s="65" t="s">
        <v>1542</v>
      </c>
    </row>
    <row r="42" spans="1:2" x14ac:dyDescent="0.3">
      <c r="A42" s="97" t="s">
        <v>1321</v>
      </c>
      <c r="B42" s="65" t="s">
        <v>1543</v>
      </c>
    </row>
    <row r="43" spans="1:2" x14ac:dyDescent="0.3">
      <c r="A43" s="97" t="s">
        <v>1326</v>
      </c>
      <c r="B43" s="65" t="s">
        <v>1544</v>
      </c>
    </row>
  </sheetData>
  <sheetProtection sheet="1" selectLockedCells="1"/>
  <mergeCells count="1">
    <mergeCell ref="A1:B1"/>
  </mergeCells>
  <pageMargins left="0.70866141732283472" right="0.70866141732283472" top="0.31496062992125984" bottom="0.43307086614173229"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pageSetUpPr fitToPage="1"/>
  </sheetPr>
  <dimension ref="A1:T2868"/>
  <sheetViews>
    <sheetView zoomScale="90" zoomScaleNormal="90" workbookViewId="0">
      <pane ySplit="3" topLeftCell="A159" activePane="bottomLeft" state="frozen"/>
      <selection activeCell="D151" sqref="D151"/>
      <selection pane="bottomLeft" activeCell="V96" sqref="V96"/>
    </sheetView>
  </sheetViews>
  <sheetFormatPr defaultColWidth="11.44140625" defaultRowHeight="14.4" x14ac:dyDescent="0.3"/>
  <cols>
    <col min="1" max="1" width="7.5546875" customWidth="1"/>
    <col min="2" max="2" width="50.109375" customWidth="1"/>
    <col min="3" max="3" width="7.6640625" customWidth="1"/>
    <col min="4" max="4" width="1.33203125" customWidth="1"/>
    <col min="5" max="5" width="25.33203125" bestFit="1" customWidth="1"/>
    <col min="6" max="11" width="3.5546875" customWidth="1"/>
    <col min="12" max="12" width="13.44140625" style="51" customWidth="1"/>
    <col min="13" max="13" width="3.33203125" bestFit="1" customWidth="1"/>
    <col min="14" max="14" width="4.6640625" customWidth="1"/>
    <col min="15" max="15" width="8.5546875" style="57" bestFit="1" customWidth="1"/>
    <col min="16" max="16" width="8.5546875" style="54" bestFit="1" customWidth="1"/>
    <col min="17" max="17" width="6.33203125" customWidth="1"/>
    <col min="18" max="18" width="4.88671875" bestFit="1" customWidth="1"/>
  </cols>
  <sheetData>
    <row r="1" spans="1:20" s="130" customFormat="1" thickBot="1" x14ac:dyDescent="0.35">
      <c r="A1" s="126" t="s">
        <v>1545</v>
      </c>
      <c r="B1" s="8" t="str">
        <f>'Fiche signalétique'!C3</f>
        <v>Exemple SA</v>
      </c>
      <c r="C1" s="127" t="s">
        <v>1546</v>
      </c>
      <c r="D1" s="127"/>
      <c r="E1" s="8" t="s">
        <v>1547</v>
      </c>
      <c r="F1" s="160"/>
      <c r="G1" s="160"/>
      <c r="H1" s="160"/>
      <c r="I1" s="160"/>
      <c r="J1" s="160"/>
      <c r="K1" s="160"/>
      <c r="L1" s="128"/>
      <c r="M1" s="129"/>
      <c r="N1" s="339"/>
      <c r="O1" s="340"/>
      <c r="P1" s="340"/>
      <c r="Q1" s="341"/>
      <c r="R1" s="159"/>
    </row>
    <row r="2" spans="1:20" ht="34.5" customHeight="1" x14ac:dyDescent="0.3">
      <c r="A2" s="335" t="s">
        <v>1548</v>
      </c>
      <c r="B2" s="336"/>
      <c r="C2" s="334" t="s">
        <v>1549</v>
      </c>
      <c r="D2" s="334"/>
      <c r="E2" s="334"/>
      <c r="F2" s="342" t="s">
        <v>1550</v>
      </c>
      <c r="G2" s="343"/>
      <c r="H2" s="343"/>
      <c r="I2" s="343"/>
      <c r="J2" s="343"/>
      <c r="K2" s="344"/>
      <c r="L2" s="113" t="s">
        <v>1551</v>
      </c>
      <c r="M2" s="103" t="s">
        <v>1552</v>
      </c>
      <c r="N2" s="104"/>
      <c r="O2" s="105"/>
      <c r="P2" s="106"/>
      <c r="Q2" s="44"/>
      <c r="R2" s="44"/>
    </row>
    <row r="3" spans="1:20" ht="94.5" customHeight="1" x14ac:dyDescent="0.3">
      <c r="A3" s="337"/>
      <c r="B3" s="338"/>
      <c r="C3" s="40" t="s">
        <v>1553</v>
      </c>
      <c r="D3" s="40"/>
      <c r="E3" s="40" t="s">
        <v>1554</v>
      </c>
      <c r="F3" s="117" t="s">
        <v>1555</v>
      </c>
      <c r="G3" s="117" t="s">
        <v>1556</v>
      </c>
      <c r="H3" s="117" t="s">
        <v>1557</v>
      </c>
      <c r="I3" s="117" t="s">
        <v>1558</v>
      </c>
      <c r="J3" s="117" t="s">
        <v>1559</v>
      </c>
      <c r="K3" s="117" t="s">
        <v>1560</v>
      </c>
      <c r="L3" s="124" t="s">
        <v>1561</v>
      </c>
      <c r="M3" s="32" t="s">
        <v>1562</v>
      </c>
      <c r="N3" s="31" t="s">
        <v>1563</v>
      </c>
      <c r="O3" s="31" t="s">
        <v>1564</v>
      </c>
      <c r="P3" s="53" t="s">
        <v>1565</v>
      </c>
      <c r="Q3" s="45" t="s">
        <v>1566</v>
      </c>
      <c r="R3" s="45" t="s">
        <v>1567</v>
      </c>
    </row>
    <row r="4" spans="1:20" x14ac:dyDescent="0.3">
      <c r="A4" s="7">
        <v>1</v>
      </c>
      <c r="B4" s="7" t="str">
        <f>'Autoévaluation client'!B3</f>
        <v>Ligne de conduite, objectifs et stratégie</v>
      </c>
      <c r="C4" s="30">
        <f>O4/N4</f>
        <v>0</v>
      </c>
      <c r="D4" s="30"/>
      <c r="E4" s="18"/>
      <c r="F4" s="18"/>
      <c r="G4" s="18"/>
      <c r="H4" s="18"/>
      <c r="I4" s="18"/>
      <c r="J4" s="18"/>
      <c r="K4" s="18"/>
      <c r="L4" s="114">
        <f>P4/N4</f>
        <v>0</v>
      </c>
      <c r="M4" s="5"/>
      <c r="N4" s="5">
        <f>SUM(M5,M15,M29,M42,M56)</f>
        <v>17</v>
      </c>
      <c r="O4" s="48">
        <f>SUM(Q5:Q63)</f>
        <v>0</v>
      </c>
      <c r="P4" s="48">
        <f>SUM(R5:R63)</f>
        <v>0</v>
      </c>
      <c r="Q4" s="35"/>
      <c r="R4" s="35"/>
    </row>
    <row r="5" spans="1:20" x14ac:dyDescent="0.3">
      <c r="A5" s="19" t="str">
        <f>'Autoévaluation client'!A5</f>
        <v>1.1.</v>
      </c>
      <c r="B5" s="20" t="str">
        <f>'Autoévaluation client'!B5</f>
        <v>Ligne de conduite de l'entreprise, principes directeurs</v>
      </c>
      <c r="C5" s="21">
        <f>O5/N5</f>
        <v>0</v>
      </c>
      <c r="D5" s="164"/>
      <c r="E5" s="23"/>
      <c r="F5" s="115"/>
      <c r="G5" s="115"/>
      <c r="H5" s="115"/>
      <c r="I5" s="115"/>
      <c r="J5" s="115"/>
      <c r="K5" s="115"/>
      <c r="L5" s="50">
        <f>P5/N5</f>
        <v>0</v>
      </c>
      <c r="M5" s="22">
        <v>3</v>
      </c>
      <c r="N5" s="22">
        <f>SUM(M6:M14)</f>
        <v>25</v>
      </c>
      <c r="O5" s="24">
        <f>SUM(O6:O14)</f>
        <v>0</v>
      </c>
      <c r="P5" s="24">
        <f>SUM(P6:P14)</f>
        <v>0</v>
      </c>
      <c r="Q5" s="52">
        <f>O5/$N5*$M5</f>
        <v>0</v>
      </c>
      <c r="R5" s="52">
        <f>P5/$N5*$M5</f>
        <v>0</v>
      </c>
      <c r="T5" s="158"/>
    </row>
    <row r="6" spans="1:20" x14ac:dyDescent="0.3">
      <c r="A6" s="3" t="str">
        <f>'Autoévaluation client'!A6</f>
        <v>1.1.1.</v>
      </c>
      <c r="B6" s="6" t="str">
        <f>'Autoévaluation client'!C6</f>
        <v>L'entreprise dispose-t-elle d'une charte d'entreprise?</v>
      </c>
      <c r="C6" s="38">
        <f>IF(ISBLANK('Autoévaluation client'!D6),0,1)</f>
        <v>0</v>
      </c>
      <c r="D6" s="165" t="str">
        <f>IF(AND('Autoévaluation client'!D6="",'Autoévaluation client'!E6=""),"*","")</f>
        <v>*</v>
      </c>
      <c r="E6" s="38"/>
      <c r="F6" s="118"/>
      <c r="G6" s="118"/>
      <c r="H6" s="118"/>
      <c r="I6" s="118"/>
      <c r="J6" s="118"/>
      <c r="K6" s="118"/>
      <c r="L6" s="112"/>
      <c r="M6" s="37">
        <v>3</v>
      </c>
      <c r="N6" s="27"/>
      <c r="O6" s="28">
        <f t="shared" ref="O6:O14" si="0">C6*M6</f>
        <v>0</v>
      </c>
      <c r="P6" s="43">
        <f>L6*M6</f>
        <v>0</v>
      </c>
      <c r="Q6" s="36"/>
      <c r="R6" s="27"/>
    </row>
    <row r="7" spans="1:20" ht="26.4" x14ac:dyDescent="0.3">
      <c r="A7" s="3" t="str">
        <f>'Autoévaluation client'!A7</f>
        <v>1.1.2.</v>
      </c>
      <c r="B7" s="6" t="str">
        <f>'Autoévaluation client'!C7</f>
        <v>La sécurité et la santé du personnel font-elles partie de la  charte d'entreprise?</v>
      </c>
      <c r="C7" s="38">
        <f>IF(ISBLANK('Autoévaluation client'!D7),0,1)</f>
        <v>0</v>
      </c>
      <c r="D7" s="165" t="str">
        <f>IF(AND('Autoévaluation client'!D7="",'Autoévaluation client'!E7=""),"*","")</f>
        <v>*</v>
      </c>
      <c r="E7" s="38" t="str">
        <f>IF(ISBLANK('Autoévaluation client'!F7),"",'Autoévaluation client'!F7)</f>
        <v/>
      </c>
      <c r="F7" s="118"/>
      <c r="G7" s="118"/>
      <c r="H7" s="118"/>
      <c r="I7" s="118"/>
      <c r="J7" s="118"/>
      <c r="K7" s="118"/>
      <c r="L7" s="112"/>
      <c r="M7" s="37">
        <v>4</v>
      </c>
      <c r="N7" s="27"/>
      <c r="O7" s="28">
        <f t="shared" si="0"/>
        <v>0</v>
      </c>
      <c r="P7" s="43">
        <f t="shared" ref="P7:P14" si="1">L7*M7</f>
        <v>0</v>
      </c>
      <c r="Q7" s="36"/>
      <c r="R7" s="27"/>
    </row>
    <row r="8" spans="1:20" ht="26.4" x14ac:dyDescent="0.3">
      <c r="A8" s="3" t="str">
        <f>'Autoévaluation client'!A8</f>
        <v>1.1.3.</v>
      </c>
      <c r="B8" s="6" t="str">
        <f>'Autoévaluation client'!C8</f>
        <v>Les collobrateurs sont-ils informés de la philosophie et des conséquences pratiques de la  charte d'entreprise?</v>
      </c>
      <c r="C8" s="38">
        <f>IF(ISBLANK('Autoévaluation client'!D8),0,1)</f>
        <v>0</v>
      </c>
      <c r="D8" s="165" t="str">
        <f>IF(AND('Autoévaluation client'!D8="",'Autoévaluation client'!E8=""),"*","")</f>
        <v>*</v>
      </c>
      <c r="E8" s="38" t="str">
        <f>IF(ISBLANK('Autoévaluation client'!F8),"",'Autoévaluation client'!F8)</f>
        <v/>
      </c>
      <c r="F8" s="118"/>
      <c r="G8" s="118"/>
      <c r="H8" s="118"/>
      <c r="I8" s="118"/>
      <c r="J8" s="118"/>
      <c r="K8" s="118"/>
      <c r="L8" s="112"/>
      <c r="M8" s="37">
        <v>5</v>
      </c>
      <c r="N8" s="27"/>
      <c r="O8" s="28">
        <f t="shared" si="0"/>
        <v>0</v>
      </c>
      <c r="P8" s="43">
        <f t="shared" si="1"/>
        <v>0</v>
      </c>
      <c r="Q8" s="36"/>
      <c r="R8" s="27"/>
    </row>
    <row r="9" spans="1:20" ht="26.4" x14ac:dyDescent="0.3">
      <c r="A9" s="3" t="str">
        <f>'Autoévaluation client'!A9</f>
        <v>1.1.4.</v>
      </c>
      <c r="B9" s="6" t="str">
        <f>'Autoévaluation client'!C9</f>
        <v>Le reflet de la situation dans l'entreprise correspond-il à la charte d'entreprise?</v>
      </c>
      <c r="C9" s="38">
        <f>IF(ISBLANK('Autoévaluation client'!D9),0,1)</f>
        <v>0</v>
      </c>
      <c r="D9" s="165" t="str">
        <f>IF(AND('Autoévaluation client'!D9="",'Autoévaluation client'!E9=""),"*","")</f>
        <v>*</v>
      </c>
      <c r="E9" s="38" t="str">
        <f>IF(ISBLANK('Autoévaluation client'!F9),"",'Autoévaluation client'!F9)</f>
        <v/>
      </c>
      <c r="F9" s="118"/>
      <c r="G9" s="118"/>
      <c r="H9" s="118"/>
      <c r="I9" s="118"/>
      <c r="J9" s="118"/>
      <c r="K9" s="118"/>
      <c r="L9" s="112"/>
      <c r="M9" s="37">
        <v>5</v>
      </c>
      <c r="N9" s="27"/>
      <c r="O9" s="28">
        <f t="shared" si="0"/>
        <v>0</v>
      </c>
      <c r="P9" s="43">
        <f t="shared" si="1"/>
        <v>0</v>
      </c>
      <c r="Q9" s="36"/>
      <c r="R9" s="27"/>
    </row>
    <row r="10" spans="1:20" ht="39.6" x14ac:dyDescent="0.3">
      <c r="A10" s="3" t="str">
        <f>'Autoévaluation client'!A10</f>
        <v>1.1.5.</v>
      </c>
      <c r="B10" s="6" t="str">
        <f>'Autoévaluation client'!C10</f>
        <v>Le comportement des supérieurs dans votre entreprise est-il déterminé par des principes ou des directives de conduite spécifiques? Si oui, lesquels?</v>
      </c>
      <c r="C10" s="38">
        <f>IF(ISBLANK('Autoévaluation client'!D10),0,1)</f>
        <v>0</v>
      </c>
      <c r="D10" s="165" t="str">
        <f>IF(AND('Autoévaluation client'!D10="",'Autoévaluation client'!E10=""),"*","")</f>
        <v>*</v>
      </c>
      <c r="E10" s="38" t="str">
        <f>IF(ISBLANK('Autoévaluation client'!F10),"",'Autoévaluation client'!F10)</f>
        <v/>
      </c>
      <c r="F10" s="118"/>
      <c r="G10" s="118"/>
      <c r="H10" s="118"/>
      <c r="I10" s="118"/>
      <c r="J10" s="118"/>
      <c r="K10" s="118"/>
      <c r="L10" s="112"/>
      <c r="M10" s="37">
        <v>0</v>
      </c>
      <c r="N10" s="27"/>
      <c r="O10" s="28">
        <f t="shared" si="0"/>
        <v>0</v>
      </c>
      <c r="P10" s="43">
        <f t="shared" si="1"/>
        <v>0</v>
      </c>
      <c r="Q10" s="36"/>
      <c r="R10" s="27"/>
    </row>
    <row r="11" spans="1:20" ht="39.6" x14ac:dyDescent="0.3">
      <c r="A11" s="3" t="str">
        <f>'Autoévaluation client'!A11</f>
        <v>1.1.6.</v>
      </c>
      <c r="B11" s="6" t="str">
        <f>'Autoévaluation client'!C11</f>
        <v>La sécurité et la protection de la santé sont-elle expressément intégrées dans les principes ou les directives de conduite?</v>
      </c>
      <c r="C11" s="38">
        <f>IF(ISBLANK('Autoévaluation client'!D11),0,1)</f>
        <v>0</v>
      </c>
      <c r="D11" s="165" t="str">
        <f>IF(AND('Autoévaluation client'!D11="",'Autoévaluation client'!E11=""),"*","")</f>
        <v>*</v>
      </c>
      <c r="E11" s="38" t="str">
        <f>IF(ISBLANK('Autoévaluation client'!F11),"",'Autoévaluation client'!F11)</f>
        <v/>
      </c>
      <c r="F11" s="118"/>
      <c r="G11" s="118"/>
      <c r="H11" s="118"/>
      <c r="I11" s="118"/>
      <c r="J11" s="118"/>
      <c r="K11" s="118"/>
      <c r="L11" s="112"/>
      <c r="M11" s="37">
        <v>3</v>
      </c>
      <c r="N11" s="27"/>
      <c r="O11" s="28">
        <f t="shared" si="0"/>
        <v>0</v>
      </c>
      <c r="P11" s="43">
        <f t="shared" si="1"/>
        <v>0</v>
      </c>
      <c r="Q11" s="36"/>
      <c r="R11" s="27"/>
    </row>
    <row r="12" spans="1:20" ht="26.4" x14ac:dyDescent="0.3">
      <c r="A12" s="3" t="str">
        <f>'Autoévaluation client'!A12</f>
        <v>1.1.7.</v>
      </c>
      <c r="B12" s="6" t="str">
        <f>'Autoévaluation client'!C12</f>
        <v>Est-ce que la société a signé la Charte de sécurité de la Suva?</v>
      </c>
      <c r="C12" s="38">
        <f>IF(ISBLANK('Autoévaluation client'!D12),0,1)</f>
        <v>0</v>
      </c>
      <c r="D12" s="165" t="str">
        <f>IF(AND('Autoévaluation client'!D12="",'Autoévaluation client'!E12=""),"*","")</f>
        <v>*</v>
      </c>
      <c r="E12" s="38" t="str">
        <f>IF(ISBLANK('Autoévaluation client'!F12),"",'Autoévaluation client'!F12)</f>
        <v/>
      </c>
      <c r="F12" s="118"/>
      <c r="G12" s="118"/>
      <c r="H12" s="118"/>
      <c r="I12" s="118"/>
      <c r="J12" s="118"/>
      <c r="K12" s="118"/>
      <c r="L12" s="112"/>
      <c r="M12" s="37">
        <v>2</v>
      </c>
      <c r="N12" s="27"/>
      <c r="O12" s="28">
        <f t="shared" si="0"/>
        <v>0</v>
      </c>
      <c r="P12" s="43">
        <f t="shared" si="1"/>
        <v>0</v>
      </c>
      <c r="Q12" s="36"/>
      <c r="R12" s="27"/>
    </row>
    <row r="13" spans="1:20" ht="52.8" x14ac:dyDescent="0.3">
      <c r="A13" s="3" t="str">
        <f>'Autoévaluation client'!A13</f>
        <v>1.1.8.a</v>
      </c>
      <c r="B13" s="6" t="str">
        <f>'Autoévaluation client'!C13</f>
        <v>L'un des systèmes de management / certifications suivants est-il en vigueur: ISO 9001, ISO 14001, ISO 45001, OHSAS18001 ?
Si oui, lequel?</v>
      </c>
      <c r="C13" s="38">
        <f>IF(ISBLANK('Autoévaluation client'!D13),0,1)</f>
        <v>0</v>
      </c>
      <c r="D13" s="165" t="str">
        <f>IF(AND('Autoévaluation client'!D13="",'Autoévaluation client'!E13=""),"*","")</f>
        <v>*</v>
      </c>
      <c r="E13" s="38" t="str">
        <f>IF(ISBLANK('Autoévaluation client'!F13),"",'Autoévaluation client'!F13)</f>
        <v/>
      </c>
      <c r="F13" s="119"/>
      <c r="G13" s="119"/>
      <c r="H13" s="119"/>
      <c r="I13" s="119"/>
      <c r="J13" s="119"/>
      <c r="K13" s="119"/>
      <c r="L13" s="112"/>
      <c r="M13" s="37">
        <v>3</v>
      </c>
      <c r="N13" s="27"/>
      <c r="O13" s="28">
        <f t="shared" si="0"/>
        <v>0</v>
      </c>
      <c r="P13" s="43">
        <f t="shared" si="1"/>
        <v>0</v>
      </c>
      <c r="Q13" s="36"/>
      <c r="R13" s="27"/>
    </row>
    <row r="14" spans="1:20" ht="39.6" x14ac:dyDescent="0.3">
      <c r="A14" s="3" t="str">
        <f>'Autoévaluation client'!A14</f>
        <v>1.1.8.b</v>
      </c>
      <c r="B14" s="6" t="str">
        <f>'Autoévaluation client'!C14</f>
        <v>Un autre système de management / certifications est-il en vigueur?
Si oui, lequel?</v>
      </c>
      <c r="C14" s="38">
        <f>IF(ISBLANK('Autoévaluation client'!D14),0,1)</f>
        <v>0</v>
      </c>
      <c r="D14" s="165" t="str">
        <f>IF(AND('Autoévaluation client'!D14="",'Autoévaluation client'!E14=""),"*","")</f>
        <v>*</v>
      </c>
      <c r="E14" s="38" t="str">
        <f>IF(ISBLANK('Autoévaluation client'!F14),"",'Autoévaluation client'!F14)</f>
        <v/>
      </c>
      <c r="F14" s="118"/>
      <c r="G14" s="118"/>
      <c r="H14" s="118"/>
      <c r="I14" s="118"/>
      <c r="J14" s="118"/>
      <c r="K14" s="118"/>
      <c r="L14" s="112"/>
      <c r="M14" s="37">
        <v>0</v>
      </c>
      <c r="N14" s="27"/>
      <c r="O14" s="28">
        <f t="shared" si="0"/>
        <v>0</v>
      </c>
      <c r="P14" s="43">
        <f t="shared" si="1"/>
        <v>0</v>
      </c>
      <c r="Q14" s="36"/>
      <c r="R14" s="27"/>
    </row>
    <row r="15" spans="1:20" x14ac:dyDescent="0.3">
      <c r="A15" s="19" t="str">
        <f>'Autoévaluation client'!A15</f>
        <v>1.2.</v>
      </c>
      <c r="B15" s="20" t="str">
        <f>'Autoévaluation client'!B15</f>
        <v>Engagement de la direction</v>
      </c>
      <c r="C15" s="21">
        <f>O15/N15</f>
        <v>0</v>
      </c>
      <c r="D15" s="29"/>
      <c r="E15" s="23"/>
      <c r="F15" s="115"/>
      <c r="G15" s="115"/>
      <c r="H15" s="115"/>
      <c r="I15" s="115"/>
      <c r="J15" s="115"/>
      <c r="K15" s="115"/>
      <c r="L15" s="50">
        <f>P15/N15</f>
        <v>0</v>
      </c>
      <c r="M15" s="22">
        <v>5</v>
      </c>
      <c r="N15" s="22">
        <f>SUM(M16:M28)</f>
        <v>14</v>
      </c>
      <c r="O15" s="24">
        <f>SUM(O16:O28)</f>
        <v>0</v>
      </c>
      <c r="P15" s="24">
        <f>SUM(P16:P28)</f>
        <v>0</v>
      </c>
      <c r="Q15" s="52">
        <f>O15/$N15*$M15</f>
        <v>0</v>
      </c>
      <c r="R15" s="52">
        <f>P15/$N15*$M15</f>
        <v>0</v>
      </c>
    </row>
    <row r="16" spans="1:20" ht="39.6" x14ac:dyDescent="0.3">
      <c r="A16" s="3" t="str">
        <f>'Autoévaluation client'!A16</f>
        <v>1.2.1.</v>
      </c>
      <c r="B16" s="6" t="str">
        <f>'Autoévaluation client'!C16</f>
        <v>La direction de l'entreprise montre-t-elle l'exemple à suivre en matière de sécurité et de santé à l'aide d'exigences, de décisions, de règles et d'instructions concrètes?</v>
      </c>
      <c r="C16" s="38">
        <f>IF(ISBLANK('Autoévaluation client'!D16),0,1)</f>
        <v>0</v>
      </c>
      <c r="D16" s="165" t="str">
        <f>IF(AND('Autoévaluation client'!D16="",'Autoévaluation client'!E16=""),"*","")</f>
        <v>*</v>
      </c>
      <c r="E16" s="38" t="str">
        <f>IF(ISBLANK('Autoévaluation client'!F16),"",'Autoévaluation client'!F16)</f>
        <v/>
      </c>
      <c r="F16" s="118"/>
      <c r="G16" s="118"/>
      <c r="H16" s="118"/>
      <c r="I16" s="118"/>
      <c r="J16" s="118"/>
      <c r="K16" s="118"/>
      <c r="L16" s="112"/>
      <c r="M16" s="37">
        <v>5</v>
      </c>
      <c r="N16" s="27"/>
      <c r="O16" s="28">
        <f t="shared" ref="O16:O28" si="2">M16*C16</f>
        <v>0</v>
      </c>
      <c r="P16" s="43">
        <f t="shared" ref="P16:P27" si="3">L16*M16</f>
        <v>0</v>
      </c>
      <c r="Q16" s="36"/>
      <c r="R16" s="27"/>
    </row>
    <row r="17" spans="1:18" ht="26.4" x14ac:dyDescent="0.3">
      <c r="A17" s="3" t="str">
        <f>'Autoévaluation client'!A17</f>
        <v>1.2.2.</v>
      </c>
      <c r="B17" s="6" t="str">
        <f>'Autoévaluation client'!C17</f>
        <v>Votre entreprise accorde-t-elle à la sécurité au travail la même valeur qu'à la qualité et à la productivité?</v>
      </c>
      <c r="C17" s="38">
        <f>IF(ISBLANK('Autoévaluation client'!D17),0,1)</f>
        <v>0</v>
      </c>
      <c r="D17" s="165" t="str">
        <f>IF(AND('Autoévaluation client'!D17="",'Autoévaluation client'!E17=""),"*","")</f>
        <v>*</v>
      </c>
      <c r="E17" s="38" t="str">
        <f>IF(ISBLANK('Autoévaluation client'!F17),"",'Autoévaluation client'!F17)</f>
        <v/>
      </c>
      <c r="F17" s="118"/>
      <c r="G17" s="118"/>
      <c r="H17" s="118"/>
      <c r="I17" s="118"/>
      <c r="J17" s="118"/>
      <c r="K17" s="118"/>
      <c r="L17" s="112"/>
      <c r="M17" s="37">
        <v>5</v>
      </c>
      <c r="N17" s="27"/>
      <c r="O17" s="28">
        <f t="shared" si="2"/>
        <v>0</v>
      </c>
      <c r="P17" s="43">
        <f t="shared" si="3"/>
        <v>0</v>
      </c>
      <c r="Q17" s="36"/>
      <c r="R17" s="27"/>
    </row>
    <row r="18" spans="1:18" ht="39.6" x14ac:dyDescent="0.3">
      <c r="A18" s="3" t="str">
        <f>'Autoévaluation client'!A18</f>
        <v>1.2.3.</v>
      </c>
      <c r="B18" s="6" t="str">
        <f>'Autoévaluation client'!C18</f>
        <v>La direction aborde-t-elle les situations et les comportements à risque lors de ses inspections dans les entreprises?</v>
      </c>
      <c r="C18" s="38">
        <f>IF(ISBLANK('Autoévaluation client'!D18),0,1)</f>
        <v>0</v>
      </c>
      <c r="D18" s="165" t="str">
        <f>IF(AND('Autoévaluation client'!D18="",'Autoévaluation client'!E18=""),"*","")</f>
        <v>*</v>
      </c>
      <c r="E18" s="38" t="str">
        <f>IF(ISBLANK('Autoévaluation client'!F18),"",'Autoévaluation client'!F18)</f>
        <v/>
      </c>
      <c r="F18" s="118"/>
      <c r="G18" s="118"/>
      <c r="H18" s="118"/>
      <c r="I18" s="118"/>
      <c r="J18" s="118"/>
      <c r="K18" s="118"/>
      <c r="L18" s="112"/>
      <c r="M18" s="37">
        <v>3</v>
      </c>
      <c r="N18" s="27"/>
      <c r="O18" s="28">
        <f t="shared" si="2"/>
        <v>0</v>
      </c>
      <c r="P18" s="43">
        <f t="shared" si="3"/>
        <v>0</v>
      </c>
      <c r="Q18" s="36"/>
      <c r="R18" s="36"/>
    </row>
    <row r="19" spans="1:18" ht="39.6" x14ac:dyDescent="0.3">
      <c r="A19" s="3" t="str">
        <f>'Autoévaluation client'!A19</f>
        <v>1.2.4.</v>
      </c>
      <c r="B19" s="6" t="str">
        <f>'Autoévaluation client'!C19</f>
        <v>Le budget prévoit-il des ressources pour la sécurité au travail
et la protection de la santé?</v>
      </c>
      <c r="C19" s="38">
        <f>IF(ISBLANK('Autoévaluation client'!D19),0,1)</f>
        <v>0</v>
      </c>
      <c r="D19" s="165" t="str">
        <f>IF(AND('Autoévaluation client'!D19="",'Autoévaluation client'!E19=""),"*","")</f>
        <v>*</v>
      </c>
      <c r="E19" s="38" t="str">
        <f>IF(ISBLANK('Autoévaluation client'!F19),"",'Autoévaluation client'!F19)</f>
        <v/>
      </c>
      <c r="F19" s="118"/>
      <c r="G19" s="118"/>
      <c r="H19" s="118"/>
      <c r="I19" s="118"/>
      <c r="J19" s="118"/>
      <c r="K19" s="118"/>
      <c r="L19" s="112"/>
      <c r="M19" s="37">
        <v>1</v>
      </c>
      <c r="N19" s="27"/>
      <c r="O19" s="28">
        <f t="shared" si="2"/>
        <v>0</v>
      </c>
      <c r="P19" s="43">
        <f t="shared" si="3"/>
        <v>0</v>
      </c>
      <c r="Q19" s="36"/>
      <c r="R19" s="27"/>
    </row>
    <row r="20" spans="1:18" ht="26.4" x14ac:dyDescent="0.3">
      <c r="A20" s="3" t="str">
        <f>'Autoévaluation client'!A20</f>
        <v>1.2.5.a</v>
      </c>
      <c r="B20" s="6" t="str">
        <f>'Autoévaluation client'!C20</f>
        <v>La direction soutient-elle dans l'entreprise...
les évaluations du risque?</v>
      </c>
      <c r="C20" s="38">
        <f>IF(ISBLANK('Autoévaluation client'!D20),0,1)</f>
        <v>0</v>
      </c>
      <c r="D20" s="165" t="str">
        <f>IF(AND('Autoévaluation client'!D20="",'Autoévaluation client'!E20=""),"*","")</f>
        <v>*</v>
      </c>
      <c r="E20" s="38" t="str">
        <f>IF(ISBLANK('Autoévaluation client'!F20),"",'Autoévaluation client'!F20)</f>
        <v/>
      </c>
      <c r="F20" s="118"/>
      <c r="G20" s="118"/>
      <c r="H20" s="118"/>
      <c r="I20" s="118"/>
      <c r="J20" s="118"/>
      <c r="K20" s="118"/>
      <c r="L20" s="112"/>
      <c r="M20" s="37">
        <v>0</v>
      </c>
      <c r="N20" s="27"/>
      <c r="O20" s="28">
        <f t="shared" si="2"/>
        <v>0</v>
      </c>
      <c r="P20" s="43">
        <f t="shared" si="3"/>
        <v>0</v>
      </c>
      <c r="Q20" s="36"/>
      <c r="R20" s="27"/>
    </row>
    <row r="21" spans="1:18" x14ac:dyDescent="0.3">
      <c r="A21" s="3" t="str">
        <f>'Autoévaluation client'!A21</f>
        <v>1.2.5.b</v>
      </c>
      <c r="B21" s="6" t="str">
        <f>'Autoévaluation client'!C21</f>
        <v>les audits, les contrôles?</v>
      </c>
      <c r="C21" s="38">
        <f>IF(ISBLANK('Autoévaluation client'!D21),0,1)</f>
        <v>0</v>
      </c>
      <c r="D21" s="165" t="str">
        <f>IF(AND('Autoévaluation client'!D21="",'Autoévaluation client'!E21=""),"*","")</f>
        <v>*</v>
      </c>
      <c r="E21" s="38" t="str">
        <f>IF(ISBLANK('Autoévaluation client'!F21),"",'Autoévaluation client'!F21)</f>
        <v/>
      </c>
      <c r="F21" s="118"/>
      <c r="G21" s="118"/>
      <c r="H21" s="118"/>
      <c r="I21" s="118"/>
      <c r="J21" s="118"/>
      <c r="K21" s="118"/>
      <c r="L21" s="112"/>
      <c r="M21" s="37">
        <v>0</v>
      </c>
      <c r="N21" s="27"/>
      <c r="O21" s="28">
        <f t="shared" si="2"/>
        <v>0</v>
      </c>
      <c r="P21" s="43">
        <f t="shared" si="3"/>
        <v>0</v>
      </c>
      <c r="Q21" s="36"/>
      <c r="R21" s="27"/>
    </row>
    <row r="22" spans="1:18" x14ac:dyDescent="0.3">
      <c r="A22" s="3" t="str">
        <f>'Autoévaluation client'!A22</f>
        <v>1.2.5.c</v>
      </c>
      <c r="B22" s="6" t="str">
        <f>'Autoévaluation client'!C22</f>
        <v>les analyses d'accidents?</v>
      </c>
      <c r="C22" s="38">
        <f>IF(ISBLANK('Autoévaluation client'!D22),0,1)</f>
        <v>0</v>
      </c>
      <c r="D22" s="165" t="str">
        <f>IF(AND('Autoévaluation client'!D22="",'Autoévaluation client'!E22=""),"*","")</f>
        <v>*</v>
      </c>
      <c r="E22" s="38" t="str">
        <f>IF(ISBLANK('Autoévaluation client'!F22),"",'Autoévaluation client'!F22)</f>
        <v/>
      </c>
      <c r="F22" s="118"/>
      <c r="G22" s="118"/>
      <c r="H22" s="118"/>
      <c r="I22" s="118"/>
      <c r="J22" s="118"/>
      <c r="K22" s="118"/>
      <c r="L22" s="112"/>
      <c r="M22" s="37">
        <v>0</v>
      </c>
      <c r="N22" s="27"/>
      <c r="O22" s="28">
        <f t="shared" si="2"/>
        <v>0</v>
      </c>
      <c r="P22" s="43">
        <f t="shared" si="3"/>
        <v>0</v>
      </c>
      <c r="Q22" s="36"/>
      <c r="R22" s="27"/>
    </row>
    <row r="23" spans="1:18" x14ac:dyDescent="0.3">
      <c r="A23" s="3" t="str">
        <f>'Autoévaluation client'!A23</f>
        <v>1.2.5.d</v>
      </c>
      <c r="B23" s="6" t="str">
        <f>'Autoévaluation client'!C23</f>
        <v>la formation des collaborateurs sur le lieu de travail?</v>
      </c>
      <c r="C23" s="38">
        <f>IF(ISBLANK('Autoévaluation client'!D23),0,1)</f>
        <v>0</v>
      </c>
      <c r="D23" s="165" t="str">
        <f>IF(AND('Autoévaluation client'!D23="",'Autoévaluation client'!E23=""),"*","")</f>
        <v>*</v>
      </c>
      <c r="E23" s="38" t="str">
        <f>IF(ISBLANK('Autoévaluation client'!F23),"",'Autoévaluation client'!F23)</f>
        <v/>
      </c>
      <c r="F23" s="118"/>
      <c r="G23" s="118"/>
      <c r="H23" s="118"/>
      <c r="I23" s="118"/>
      <c r="J23" s="118"/>
      <c r="K23" s="118"/>
      <c r="L23" s="112"/>
      <c r="M23" s="37">
        <v>0</v>
      </c>
      <c r="N23" s="27"/>
      <c r="O23" s="28">
        <f t="shared" si="2"/>
        <v>0</v>
      </c>
      <c r="P23" s="43">
        <f t="shared" si="3"/>
        <v>0</v>
      </c>
      <c r="Q23" s="36"/>
      <c r="R23" s="27"/>
    </row>
    <row r="24" spans="1:18" x14ac:dyDescent="0.3">
      <c r="A24" s="3" t="str">
        <f>'Autoévaluation client'!A24</f>
        <v>1.2.5.e</v>
      </c>
      <c r="B24" s="6" t="str">
        <f>'Autoévaluation client'!C24</f>
        <v>la mise en œuvre de mesures adéquates?</v>
      </c>
      <c r="C24" s="38">
        <f>IF(ISBLANK('Autoévaluation client'!D24),0,1)</f>
        <v>0</v>
      </c>
      <c r="D24" s="165" t="str">
        <f>IF(AND('Autoévaluation client'!D24="",'Autoévaluation client'!E24=""),"*","")</f>
        <v>*</v>
      </c>
      <c r="E24" s="38" t="str">
        <f>IF(ISBLANK('Autoévaluation client'!F24),"",'Autoévaluation client'!F24)</f>
        <v/>
      </c>
      <c r="F24" s="118"/>
      <c r="G24" s="118"/>
      <c r="H24" s="118"/>
      <c r="I24" s="118"/>
      <c r="J24" s="118"/>
      <c r="K24" s="118"/>
      <c r="L24" s="112"/>
      <c r="M24" s="37">
        <v>0</v>
      </c>
      <c r="N24" s="27"/>
      <c r="O24" s="28">
        <f t="shared" si="2"/>
        <v>0</v>
      </c>
      <c r="P24" s="43">
        <f t="shared" si="3"/>
        <v>0</v>
      </c>
      <c r="Q24" s="36"/>
      <c r="R24" s="27"/>
    </row>
    <row r="25" spans="1:18" x14ac:dyDescent="0.3">
      <c r="A25" s="3" t="str">
        <f>'Autoévaluation client'!A25</f>
        <v>1.2.5.f</v>
      </c>
      <c r="B25" s="6" t="str">
        <f>'Autoévaluation client'!C25</f>
        <v>les campagnes en faveur de la sécurité au travail?</v>
      </c>
      <c r="C25" s="38">
        <f>IF(ISBLANK('Autoévaluation client'!D25),0,1)</f>
        <v>0</v>
      </c>
      <c r="D25" s="165" t="str">
        <f>IF(AND('Autoévaluation client'!D25="",'Autoévaluation client'!E25=""),"*","")</f>
        <v>*</v>
      </c>
      <c r="E25" s="38" t="str">
        <f>IF(ISBLANK('Autoévaluation client'!F25),"",'Autoévaluation client'!F25)</f>
        <v/>
      </c>
      <c r="F25" s="118"/>
      <c r="G25" s="118"/>
      <c r="H25" s="118"/>
      <c r="I25" s="118"/>
      <c r="J25" s="118"/>
      <c r="K25" s="118"/>
      <c r="L25" s="112"/>
      <c r="M25" s="37">
        <v>0</v>
      </c>
      <c r="N25" s="27"/>
      <c r="O25" s="28">
        <f t="shared" si="2"/>
        <v>0</v>
      </c>
      <c r="P25" s="43">
        <f t="shared" si="3"/>
        <v>0</v>
      </c>
      <c r="Q25" s="36"/>
      <c r="R25" s="27"/>
    </row>
    <row r="26" spans="1:18" x14ac:dyDescent="0.3">
      <c r="A26" s="3" t="str">
        <f>'Autoévaluation client'!A26</f>
        <v>1.2.5.g</v>
      </c>
      <c r="B26" s="6" t="str">
        <f>'Autoévaluation client'!C26</f>
        <v>les campagnes en faveur de la sécurité durant les loisirs?</v>
      </c>
      <c r="C26" s="38">
        <f>IF(ISBLANK('Autoévaluation client'!D26),0,1)</f>
        <v>0</v>
      </c>
      <c r="D26" s="165" t="str">
        <f>IF(AND('Autoévaluation client'!D26="",'Autoévaluation client'!E26=""),"*","")</f>
        <v>*</v>
      </c>
      <c r="E26" s="38" t="str">
        <f>IF(ISBLANK('Autoévaluation client'!F26),"",'Autoévaluation client'!F26)</f>
        <v/>
      </c>
      <c r="F26" s="118"/>
      <c r="G26" s="118"/>
      <c r="H26" s="118"/>
      <c r="I26" s="118"/>
      <c r="J26" s="118"/>
      <c r="K26" s="118"/>
      <c r="L26" s="112"/>
      <c r="M26" s="37">
        <v>0</v>
      </c>
      <c r="N26" s="27"/>
      <c r="O26" s="28">
        <f t="shared" si="2"/>
        <v>0</v>
      </c>
      <c r="P26" s="43">
        <f>L26*M26</f>
        <v>0</v>
      </c>
      <c r="Q26" s="36"/>
      <c r="R26" s="27"/>
    </row>
    <row r="27" spans="1:18" x14ac:dyDescent="0.3">
      <c r="A27" s="3" t="str">
        <f>'Autoévaluation client'!A27</f>
        <v>1.2.5.h</v>
      </c>
      <c r="B27" s="6" t="str">
        <f>'Autoévaluation client'!C27</f>
        <v>la gestion des absences?</v>
      </c>
      <c r="C27" s="38">
        <f>IF(ISBLANK('Autoévaluation client'!D27),0,1)</f>
        <v>0</v>
      </c>
      <c r="D27" s="165" t="str">
        <f>IF(AND('Autoévaluation client'!D27="",'Autoévaluation client'!E27=""),"*","")</f>
        <v>*</v>
      </c>
      <c r="E27" s="38" t="str">
        <f>IF(ISBLANK('Autoévaluation client'!F27),"",'Autoévaluation client'!F27)</f>
        <v/>
      </c>
      <c r="F27" s="118"/>
      <c r="G27" s="118"/>
      <c r="H27" s="118"/>
      <c r="I27" s="118"/>
      <c r="J27" s="118"/>
      <c r="K27" s="118"/>
      <c r="L27" s="112"/>
      <c r="M27" s="37">
        <v>0</v>
      </c>
      <c r="N27" s="27"/>
      <c r="O27" s="28">
        <f t="shared" si="2"/>
        <v>0</v>
      </c>
      <c r="P27" s="43">
        <f t="shared" si="3"/>
        <v>0</v>
      </c>
      <c r="Q27" s="36"/>
      <c r="R27" s="27"/>
    </row>
    <row r="28" spans="1:18" x14ac:dyDescent="0.3">
      <c r="A28" s="3" t="str">
        <f>'Autoévaluation client'!A28</f>
        <v>1.2.5.i</v>
      </c>
      <c r="B28" s="6" t="str">
        <f>'Autoévaluation client'!C28</f>
        <v>autres? Si oui, lesquels?</v>
      </c>
      <c r="C28" s="38">
        <f>IF(ISBLANK('Autoévaluation client'!D28),0,1)</f>
        <v>0</v>
      </c>
      <c r="D28" s="165" t="str">
        <f>IF(AND('Autoévaluation client'!D28="",'Autoévaluation client'!E28=""),"*","")</f>
        <v>*</v>
      </c>
      <c r="E28" s="38" t="str">
        <f>IF(ISBLANK('Autoévaluation client'!F28),"",'Autoévaluation client'!F28)</f>
        <v/>
      </c>
      <c r="F28" s="118"/>
      <c r="G28" s="118"/>
      <c r="H28" s="118"/>
      <c r="I28" s="118"/>
      <c r="J28" s="118"/>
      <c r="K28" s="118"/>
      <c r="L28" s="112"/>
      <c r="M28" s="37">
        <v>0</v>
      </c>
      <c r="N28" s="27"/>
      <c r="O28" s="28">
        <f t="shared" si="2"/>
        <v>0</v>
      </c>
      <c r="P28" s="43">
        <f>L28*M28</f>
        <v>0</v>
      </c>
      <c r="Q28" s="36"/>
      <c r="R28" s="27"/>
    </row>
    <row r="29" spans="1:18" x14ac:dyDescent="0.3">
      <c r="A29" s="26" t="str">
        <f>'Autoévaluation client'!A29</f>
        <v>1.3.</v>
      </c>
      <c r="B29" s="25" t="str">
        <f>'Autoévaluation client'!B29</f>
        <v>Engagement des supérieurs hiérarchiques</v>
      </c>
      <c r="C29" s="21">
        <f>O29/N29</f>
        <v>0</v>
      </c>
      <c r="D29" s="29"/>
      <c r="E29" s="23"/>
      <c r="F29" s="115"/>
      <c r="G29" s="115"/>
      <c r="H29" s="115"/>
      <c r="I29" s="115"/>
      <c r="J29" s="115"/>
      <c r="K29" s="115"/>
      <c r="L29" s="50">
        <f>P29/N29</f>
        <v>0</v>
      </c>
      <c r="M29" s="22">
        <v>5</v>
      </c>
      <c r="N29" s="22">
        <f>SUM(M30:M41)</f>
        <v>21</v>
      </c>
      <c r="O29" s="24">
        <f>SUM(O30:O41)</f>
        <v>0</v>
      </c>
      <c r="P29" s="24">
        <f>SUM(P30:P41)</f>
        <v>0</v>
      </c>
      <c r="Q29" s="52">
        <f>O29/$N29*$M29</f>
        <v>0</v>
      </c>
      <c r="R29" s="52">
        <f>P29/$N29*$M29</f>
        <v>0</v>
      </c>
    </row>
    <row r="30" spans="1:18" ht="52.8" x14ac:dyDescent="0.3">
      <c r="A30" s="3" t="str">
        <f>'Autoévaluation client'!A30</f>
        <v>1.3.1.a</v>
      </c>
      <c r="B30" s="6" t="str">
        <f>'Autoévaluation client'!C30</f>
        <v>Les supérieurs hiérarchiques promeuvent-ils la sécurité et la santé : 
en se conformant aux prescriptions de sécurité (par ex. le port de l'équipement de protection individuelle (EPI))?</v>
      </c>
      <c r="C30" s="38">
        <f>IF(ISBLANK('Autoévaluation client'!D30),0,1)</f>
        <v>0</v>
      </c>
      <c r="D30" s="165" t="str">
        <f>IF(AND('Autoévaluation client'!D30="",'Autoévaluation client'!E30=""),"*","")</f>
        <v>*</v>
      </c>
      <c r="E30" s="39" t="str">
        <f>IF(ISBLANK('Autoévaluation client'!F30),"",'Autoévaluation client'!F30)</f>
        <v/>
      </c>
      <c r="F30" s="118"/>
      <c r="G30" s="118"/>
      <c r="H30" s="118"/>
      <c r="I30" s="118"/>
      <c r="J30" s="118"/>
      <c r="K30" s="118"/>
      <c r="L30" s="112"/>
      <c r="M30" s="37">
        <v>5</v>
      </c>
      <c r="N30" s="27"/>
      <c r="O30" s="28">
        <f t="shared" ref="O30:O41" si="4">M30*C30</f>
        <v>0</v>
      </c>
      <c r="P30" s="43">
        <f t="shared" ref="P30:P41" si="5">L30*M30</f>
        <v>0</v>
      </c>
      <c r="Q30" s="36"/>
      <c r="R30" s="27"/>
    </row>
    <row r="31" spans="1:18" ht="26.4" x14ac:dyDescent="0.3">
      <c r="A31" s="3" t="str">
        <f>'Autoévaluation client'!A31</f>
        <v>1.3.1.b</v>
      </c>
      <c r="B31" s="6" t="str">
        <f>'Autoévaluation client'!C31</f>
        <v>en faisant respecter l'observation des prescriptions de sécurité?</v>
      </c>
      <c r="C31" s="38">
        <f>IF(ISBLANK('Autoévaluation client'!D31),0,1)</f>
        <v>0</v>
      </c>
      <c r="D31" s="165" t="str">
        <f>IF(AND('Autoévaluation client'!D31="",'Autoévaluation client'!E31=""),"*","")</f>
        <v>*</v>
      </c>
      <c r="E31" s="39" t="str">
        <f>IF(ISBLANK('Autoévaluation client'!F31),"",'Autoévaluation client'!F31)</f>
        <v/>
      </c>
      <c r="F31" s="118"/>
      <c r="G31" s="118"/>
      <c r="H31" s="118"/>
      <c r="I31" s="118"/>
      <c r="J31" s="118"/>
      <c r="K31" s="118"/>
      <c r="L31" s="112"/>
      <c r="M31" s="37">
        <v>5</v>
      </c>
      <c r="N31" s="27"/>
      <c r="O31" s="28">
        <f t="shared" si="4"/>
        <v>0</v>
      </c>
      <c r="P31" s="43">
        <f t="shared" si="5"/>
        <v>0</v>
      </c>
      <c r="Q31" s="36"/>
      <c r="R31" s="27"/>
    </row>
    <row r="32" spans="1:18" x14ac:dyDescent="0.3">
      <c r="A32" s="3" t="str">
        <f>'Autoévaluation client'!A32</f>
        <v>1.3.1.c</v>
      </c>
      <c r="B32" s="6" t="str">
        <f>'Autoévaluation client'!C32</f>
        <v>par d'autres formes d'incitations? Si oui, lesquelles?</v>
      </c>
      <c r="C32" s="38">
        <f>IF(ISBLANK('Autoévaluation client'!D32),0,1)</f>
        <v>0</v>
      </c>
      <c r="D32" s="165" t="str">
        <f>IF(AND('Autoévaluation client'!D32="",'Autoévaluation client'!E32=""),"*","")</f>
        <v>*</v>
      </c>
      <c r="E32" s="39" t="str">
        <f>IF(ISBLANK('Autoévaluation client'!F32),"",'Autoévaluation client'!F32)</f>
        <v/>
      </c>
      <c r="F32" s="118"/>
      <c r="G32" s="118"/>
      <c r="H32" s="118"/>
      <c r="I32" s="118"/>
      <c r="J32" s="118"/>
      <c r="K32" s="118"/>
      <c r="L32" s="112"/>
      <c r="M32" s="37">
        <v>0</v>
      </c>
      <c r="N32" s="27"/>
      <c r="O32" s="28">
        <f t="shared" si="4"/>
        <v>0</v>
      </c>
      <c r="P32" s="43">
        <f t="shared" si="5"/>
        <v>0</v>
      </c>
      <c r="Q32" s="36"/>
      <c r="R32" s="27"/>
    </row>
    <row r="33" spans="1:18" ht="39.6" x14ac:dyDescent="0.3">
      <c r="A33" s="3" t="str">
        <f>'Autoévaluation client'!A33</f>
        <v>1.3.2.a</v>
      </c>
      <c r="B33" s="6" t="str">
        <f>'Autoévaluation client'!C33</f>
        <v>Les supérieurs hiérarchiques de l'entreprise s'engagent-ils pour la sécurité et la santé des employés, en réalisant...
des évaluations de risque?</v>
      </c>
      <c r="C33" s="38">
        <f>IF(ISBLANK('Autoévaluation client'!D33),0,1)</f>
        <v>0</v>
      </c>
      <c r="D33" s="165" t="str">
        <f>IF(AND('Autoévaluation client'!D33="",'Autoévaluation client'!E33=""),"*","")</f>
        <v>*</v>
      </c>
      <c r="E33" s="39" t="str">
        <f>IF(ISBLANK('Autoévaluation client'!F33),"",'Autoévaluation client'!F33)</f>
        <v/>
      </c>
      <c r="F33" s="118"/>
      <c r="G33" s="118"/>
      <c r="H33" s="118"/>
      <c r="I33" s="118"/>
      <c r="J33" s="118"/>
      <c r="K33" s="118"/>
      <c r="L33" s="112"/>
      <c r="M33" s="37">
        <v>0</v>
      </c>
      <c r="N33" s="27"/>
      <c r="O33" s="28">
        <f t="shared" si="4"/>
        <v>0</v>
      </c>
      <c r="P33" s="43">
        <f t="shared" si="5"/>
        <v>0</v>
      </c>
      <c r="Q33" s="36"/>
      <c r="R33" s="36"/>
    </row>
    <row r="34" spans="1:18" x14ac:dyDescent="0.3">
      <c r="A34" s="3" t="str">
        <f>'Autoévaluation client'!A34</f>
        <v>1.3.2.b</v>
      </c>
      <c r="B34" s="6" t="str">
        <f>'Autoévaluation client'!C34</f>
        <v>des audits, des contrôles?</v>
      </c>
      <c r="C34" s="38">
        <f>IF(ISBLANK('Autoévaluation client'!D34),0,1)</f>
        <v>0</v>
      </c>
      <c r="D34" s="165" t="str">
        <f>IF(AND('Autoévaluation client'!D34="",'Autoévaluation client'!E34=""),"*","")</f>
        <v>*</v>
      </c>
      <c r="E34" s="39" t="str">
        <f>IF(ISBLANK('Autoévaluation client'!F34),"",'Autoévaluation client'!F34)</f>
        <v/>
      </c>
      <c r="F34" s="118"/>
      <c r="G34" s="118"/>
      <c r="H34" s="118"/>
      <c r="I34" s="118"/>
      <c r="J34" s="118"/>
      <c r="K34" s="118"/>
      <c r="L34" s="112"/>
      <c r="M34" s="37">
        <v>2</v>
      </c>
      <c r="N34" s="27"/>
      <c r="O34" s="28">
        <f t="shared" si="4"/>
        <v>0</v>
      </c>
      <c r="P34" s="43">
        <f t="shared" si="5"/>
        <v>0</v>
      </c>
      <c r="Q34" s="36"/>
      <c r="R34" s="27"/>
    </row>
    <row r="35" spans="1:18" x14ac:dyDescent="0.3">
      <c r="A35" s="3" t="str">
        <f>'Autoévaluation client'!A35</f>
        <v>1.3.2.c</v>
      </c>
      <c r="B35" s="6" t="str">
        <f>'Autoévaluation client'!C35</f>
        <v>des analyses d'accidents?</v>
      </c>
      <c r="C35" s="38">
        <f>IF(ISBLANK('Autoévaluation client'!D35),0,1)</f>
        <v>0</v>
      </c>
      <c r="D35" s="165" t="str">
        <f>IF(AND('Autoévaluation client'!D35="",'Autoévaluation client'!E35=""),"*","")</f>
        <v>*</v>
      </c>
      <c r="E35" s="39" t="str">
        <f>IF(ISBLANK('Autoévaluation client'!F35),"",'Autoévaluation client'!F35)</f>
        <v/>
      </c>
      <c r="F35" s="118"/>
      <c r="G35" s="118"/>
      <c r="H35" s="118"/>
      <c r="I35" s="118"/>
      <c r="J35" s="118"/>
      <c r="K35" s="118"/>
      <c r="L35" s="112"/>
      <c r="M35" s="37">
        <v>2</v>
      </c>
      <c r="N35" s="27"/>
      <c r="O35" s="28">
        <f t="shared" si="4"/>
        <v>0</v>
      </c>
      <c r="P35" s="43">
        <f t="shared" si="5"/>
        <v>0</v>
      </c>
      <c r="Q35" s="36"/>
      <c r="R35" s="27"/>
    </row>
    <row r="36" spans="1:18" x14ac:dyDescent="0.3">
      <c r="A36" s="3" t="str">
        <f>'Autoévaluation client'!A36</f>
        <v>1.3.2.d</v>
      </c>
      <c r="B36" s="6" t="str">
        <f>'Autoévaluation client'!C36</f>
        <v>de la formation des collaborateurs à la place de travail?</v>
      </c>
      <c r="C36" s="38">
        <f>IF(ISBLANK('Autoévaluation client'!D36),0,1)</f>
        <v>0</v>
      </c>
      <c r="D36" s="165" t="str">
        <f>IF(AND('Autoévaluation client'!D36="",'Autoévaluation client'!E36=""),"*","")</f>
        <v>*</v>
      </c>
      <c r="E36" s="39" t="str">
        <f>IF(ISBLANK('Autoévaluation client'!F36),"",'Autoévaluation client'!F36)</f>
        <v/>
      </c>
      <c r="F36" s="118"/>
      <c r="G36" s="118"/>
      <c r="H36" s="118"/>
      <c r="I36" s="118"/>
      <c r="J36" s="118"/>
      <c r="K36" s="118"/>
      <c r="L36" s="112"/>
      <c r="M36" s="37">
        <v>2</v>
      </c>
      <c r="N36" s="27"/>
      <c r="O36" s="28">
        <f t="shared" si="4"/>
        <v>0</v>
      </c>
      <c r="P36" s="43">
        <f t="shared" si="5"/>
        <v>0</v>
      </c>
      <c r="Q36" s="36"/>
      <c r="R36" s="27"/>
    </row>
    <row r="37" spans="1:18" x14ac:dyDescent="0.3">
      <c r="A37" s="3" t="str">
        <f>'Autoévaluation client'!A37</f>
        <v>1.3.2.e</v>
      </c>
      <c r="B37" s="6" t="str">
        <f>'Autoévaluation client'!C37</f>
        <v>des campagnes en faveur de la sécurité au travail?</v>
      </c>
      <c r="C37" s="38">
        <f>IF(ISBLANK('Autoévaluation client'!D37),0,1)</f>
        <v>0</v>
      </c>
      <c r="D37" s="165" t="str">
        <f>IF(AND('Autoévaluation client'!D37="",'Autoévaluation client'!E37=""),"*","")</f>
        <v>*</v>
      </c>
      <c r="E37" s="39" t="str">
        <f>IF(ISBLANK('Autoévaluation client'!F37),"",'Autoévaluation client'!F37)</f>
        <v/>
      </c>
      <c r="F37" s="118"/>
      <c r="G37" s="118"/>
      <c r="H37" s="118"/>
      <c r="I37" s="118"/>
      <c r="J37" s="118"/>
      <c r="K37" s="118"/>
      <c r="L37" s="112"/>
      <c r="M37" s="37">
        <v>0</v>
      </c>
      <c r="N37" s="27"/>
      <c r="O37" s="28">
        <f t="shared" si="4"/>
        <v>0</v>
      </c>
      <c r="P37" s="43">
        <f t="shared" si="5"/>
        <v>0</v>
      </c>
      <c r="Q37" s="36"/>
      <c r="R37" s="27"/>
    </row>
    <row r="38" spans="1:18" x14ac:dyDescent="0.3">
      <c r="A38" s="3" t="str">
        <f>'Autoévaluation client'!A38</f>
        <v>1.3.2.f</v>
      </c>
      <c r="B38" s="6" t="str">
        <f>'Autoévaluation client'!C38</f>
        <v>des campagnes en faveur de la sécurité durant les loisirs?</v>
      </c>
      <c r="C38" s="38">
        <f>IF(ISBLANK('Autoévaluation client'!D38),0,1)</f>
        <v>0</v>
      </c>
      <c r="D38" s="165" t="str">
        <f>IF(AND('Autoévaluation client'!D38="",'Autoévaluation client'!E38=""),"*","")</f>
        <v>*</v>
      </c>
      <c r="E38" s="39" t="str">
        <f>IF(ISBLANK('Autoévaluation client'!F38),"",'Autoévaluation client'!F38)</f>
        <v/>
      </c>
      <c r="F38" s="118"/>
      <c r="G38" s="118"/>
      <c r="H38" s="118"/>
      <c r="I38" s="118"/>
      <c r="J38" s="118"/>
      <c r="K38" s="118"/>
      <c r="L38" s="112"/>
      <c r="M38" s="37">
        <v>0</v>
      </c>
      <c r="N38" s="27"/>
      <c r="O38" s="28">
        <f t="shared" si="4"/>
        <v>0</v>
      </c>
      <c r="P38" s="43">
        <f t="shared" si="5"/>
        <v>0</v>
      </c>
      <c r="Q38" s="36"/>
      <c r="R38" s="27"/>
    </row>
    <row r="39" spans="1:18" x14ac:dyDescent="0.3">
      <c r="A39" s="3" t="str">
        <f>'Autoévaluation client'!A39</f>
        <v>1.3.2.g</v>
      </c>
      <c r="B39" s="6" t="str">
        <f>'Autoévaluation client'!C39</f>
        <v>la gestion des absences?</v>
      </c>
      <c r="C39" s="38">
        <f>IF(ISBLANK('Autoévaluation client'!D39),0,1)</f>
        <v>0</v>
      </c>
      <c r="D39" s="165" t="str">
        <f>IF(AND('Autoévaluation client'!D39="",'Autoévaluation client'!E39=""),"*","")</f>
        <v>*</v>
      </c>
      <c r="E39" s="39" t="str">
        <f>IF(ISBLANK('Autoévaluation client'!F39),"",'Autoévaluation client'!F39)</f>
        <v/>
      </c>
      <c r="F39" s="118"/>
      <c r="G39" s="118"/>
      <c r="H39" s="118"/>
      <c r="I39" s="118"/>
      <c r="J39" s="118"/>
      <c r="K39" s="118"/>
      <c r="L39" s="112"/>
      <c r="M39" s="37">
        <v>2</v>
      </c>
      <c r="N39" s="27"/>
      <c r="O39" s="28">
        <f t="shared" si="4"/>
        <v>0</v>
      </c>
      <c r="P39" s="43">
        <f t="shared" si="5"/>
        <v>0</v>
      </c>
      <c r="Q39" s="36"/>
      <c r="R39" s="27"/>
    </row>
    <row r="40" spans="1:18" x14ac:dyDescent="0.3">
      <c r="A40" s="3" t="str">
        <f>'Autoévaluation client'!A40</f>
        <v>1.3.2.h</v>
      </c>
      <c r="B40" s="6" t="str">
        <f>'Autoévaluation client'!C40</f>
        <v>d'autres actions? Si oui, lesquelles?</v>
      </c>
      <c r="C40" s="38">
        <f>IF(ISBLANK('Autoévaluation client'!D40),0,1)</f>
        <v>0</v>
      </c>
      <c r="D40" s="165" t="str">
        <f>IF(AND('Autoévaluation client'!D40="",'Autoévaluation client'!E40=""),"*","")</f>
        <v>*</v>
      </c>
      <c r="E40" s="39" t="str">
        <f>IF(ISBLANK('Autoévaluation client'!F40),"",'Autoévaluation client'!F40)</f>
        <v/>
      </c>
      <c r="F40" s="118"/>
      <c r="G40" s="118"/>
      <c r="H40" s="118"/>
      <c r="I40" s="118"/>
      <c r="J40" s="118"/>
      <c r="K40" s="118"/>
      <c r="L40" s="112"/>
      <c r="M40" s="37">
        <v>0</v>
      </c>
      <c r="N40" s="27"/>
      <c r="O40" s="28">
        <f t="shared" si="4"/>
        <v>0</v>
      </c>
      <c r="P40" s="43">
        <f t="shared" si="5"/>
        <v>0</v>
      </c>
      <c r="Q40" s="36"/>
      <c r="R40" s="27"/>
    </row>
    <row r="41" spans="1:18" ht="39.6" x14ac:dyDescent="0.3">
      <c r="A41" s="3" t="str">
        <f>'Autoévaluation client'!A41</f>
        <v>1.3.3</v>
      </c>
      <c r="B41" s="6" t="str">
        <f>'Autoévaluation client'!C41</f>
        <v>Les supérieurs hiérarchiques connaissent-ils les droits et les obligations résultant des exigences légales en matière de sécurité et de santé?</v>
      </c>
      <c r="C41" s="38">
        <f>IF(ISBLANK('Autoévaluation client'!D41),0,1)</f>
        <v>0</v>
      </c>
      <c r="D41" s="165" t="str">
        <f>IF(AND('Autoévaluation client'!D41="",'Autoévaluation client'!E41=""),"*","")</f>
        <v>*</v>
      </c>
      <c r="E41" s="39" t="str">
        <f>IF(ISBLANK('Autoévaluation client'!F41),"",'Autoévaluation client'!F41)</f>
        <v/>
      </c>
      <c r="F41" s="118"/>
      <c r="G41" s="118"/>
      <c r="H41" s="118"/>
      <c r="I41" s="118"/>
      <c r="J41" s="118"/>
      <c r="K41" s="118"/>
      <c r="L41" s="112"/>
      <c r="M41" s="37">
        <v>3</v>
      </c>
      <c r="N41" s="27"/>
      <c r="O41" s="28">
        <f t="shared" si="4"/>
        <v>0</v>
      </c>
      <c r="P41" s="43">
        <f t="shared" si="5"/>
        <v>0</v>
      </c>
      <c r="Q41" s="36"/>
      <c r="R41" s="27"/>
    </row>
    <row r="42" spans="1:18" x14ac:dyDescent="0.3">
      <c r="A42" s="19" t="str">
        <f>'Autoévaluation client'!A42</f>
        <v>1.4.</v>
      </c>
      <c r="B42" s="25" t="str">
        <f>'Autoévaluation client'!B42</f>
        <v>Objectifs de sécurité</v>
      </c>
      <c r="C42" s="21">
        <f>O42/N42</f>
        <v>0</v>
      </c>
      <c r="D42" s="29"/>
      <c r="E42" s="29"/>
      <c r="F42" s="115"/>
      <c r="G42" s="115"/>
      <c r="H42" s="115"/>
      <c r="I42" s="115"/>
      <c r="J42" s="115"/>
      <c r="K42" s="115"/>
      <c r="L42" s="50">
        <f>P42/N42</f>
        <v>0</v>
      </c>
      <c r="M42" s="22">
        <v>2</v>
      </c>
      <c r="N42" s="22">
        <f>SUM(M43:M55)</f>
        <v>21</v>
      </c>
      <c r="O42" s="24">
        <f>SUM(O43:O55)</f>
        <v>0</v>
      </c>
      <c r="P42" s="24">
        <f>SUM(P43:P55)</f>
        <v>0</v>
      </c>
      <c r="Q42" s="52">
        <f>O42/$N42*$M42</f>
        <v>0</v>
      </c>
      <c r="R42" s="52">
        <f>P42/$N42*$M42</f>
        <v>0</v>
      </c>
    </row>
    <row r="43" spans="1:18" ht="81" customHeight="1" x14ac:dyDescent="0.3">
      <c r="A43" s="3" t="str">
        <f>'Autoévaluation client'!A43</f>
        <v>1.4.1.a</v>
      </c>
      <c r="B43" s="6" t="str">
        <f>'Autoévaluation client'!C43</f>
        <v>Existe-t-il des objectifs mesurables concernant la limitation de la fréquence* des événements suivants:
* Fréquence = nombre d'événements par rapport au temps de travail productif ou nombre d'événements par rapport au nombre de salariés à plein temps durant une période donnée.
Accidents professionnels / maladies professionnels?</v>
      </c>
      <c r="C43" s="38">
        <f>IF(ISBLANK('Autoévaluation client'!D43),0,1)</f>
        <v>0</v>
      </c>
      <c r="D43" s="165" t="str">
        <f>IF(AND('Autoévaluation client'!D43="",'Autoévaluation client'!E43=""),"*","")</f>
        <v>*</v>
      </c>
      <c r="E43" s="39" t="str">
        <f>IF(ISBLANK('Autoévaluation client'!F43),"",'Autoévaluation client'!F43)</f>
        <v/>
      </c>
      <c r="F43" s="118"/>
      <c r="G43" s="118"/>
      <c r="H43" s="118"/>
      <c r="I43" s="118"/>
      <c r="J43" s="118"/>
      <c r="K43" s="118"/>
      <c r="L43" s="112"/>
      <c r="M43" s="37">
        <v>5</v>
      </c>
      <c r="N43" s="27"/>
      <c r="O43" s="28">
        <f t="shared" ref="O43:O55" si="6">M43*C43</f>
        <v>0</v>
      </c>
      <c r="P43" s="43">
        <f t="shared" ref="P43:P55" si="7">L43*M43</f>
        <v>0</v>
      </c>
      <c r="Q43" s="36"/>
      <c r="R43" s="27"/>
    </row>
    <row r="44" spans="1:18" x14ac:dyDescent="0.3">
      <c r="A44" s="3" t="str">
        <f>'Autoévaluation client'!A44</f>
        <v>1.4.1.b</v>
      </c>
      <c r="B44" s="6" t="str">
        <f>'Autoévaluation client'!C44</f>
        <v>Accidents non professionnels?</v>
      </c>
      <c r="C44" s="38">
        <f>IF(ISBLANK('Autoévaluation client'!D44),0,1)</f>
        <v>0</v>
      </c>
      <c r="D44" s="165" t="str">
        <f>IF(AND('Autoévaluation client'!D44="",'Autoévaluation client'!E44=""),"*","")</f>
        <v>*</v>
      </c>
      <c r="E44" s="39" t="str">
        <f>IF(ISBLANK('Autoévaluation client'!F44),"",'Autoévaluation client'!F44)</f>
        <v/>
      </c>
      <c r="F44" s="118"/>
      <c r="G44" s="118"/>
      <c r="H44" s="118"/>
      <c r="I44" s="118"/>
      <c r="J44" s="118"/>
      <c r="K44" s="118"/>
      <c r="L44" s="112"/>
      <c r="M44" s="37">
        <v>3</v>
      </c>
      <c r="N44" s="27"/>
      <c r="O44" s="28">
        <f t="shared" si="6"/>
        <v>0</v>
      </c>
      <c r="P44" s="43">
        <f t="shared" si="7"/>
        <v>0</v>
      </c>
      <c r="Q44" s="36"/>
      <c r="R44" s="27"/>
    </row>
    <row r="45" spans="1:18" x14ac:dyDescent="0.3">
      <c r="A45" s="3" t="str">
        <f>'Autoévaluation client'!A45</f>
        <v>1.4.1.c</v>
      </c>
      <c r="B45" s="6" t="str">
        <f>'Autoévaluation client'!C45</f>
        <v>Maladies?</v>
      </c>
      <c r="C45" s="38">
        <f>IF(ISBLANK('Autoévaluation client'!D45),0,1)</f>
        <v>0</v>
      </c>
      <c r="D45" s="165" t="str">
        <f>IF(AND('Autoévaluation client'!D45="",'Autoévaluation client'!E45=""),"*","")</f>
        <v>*</v>
      </c>
      <c r="E45" s="39" t="str">
        <f>IF(ISBLANK('Autoévaluation client'!F45),"",'Autoévaluation client'!F45)</f>
        <v/>
      </c>
      <c r="F45" s="118"/>
      <c r="G45" s="118"/>
      <c r="H45" s="118"/>
      <c r="I45" s="118"/>
      <c r="J45" s="118"/>
      <c r="K45" s="118"/>
      <c r="L45" s="112"/>
      <c r="M45" s="37">
        <v>2</v>
      </c>
      <c r="N45" s="27"/>
      <c r="O45" s="28">
        <f t="shared" si="6"/>
        <v>0</v>
      </c>
      <c r="P45" s="43">
        <f t="shared" si="7"/>
        <v>0</v>
      </c>
      <c r="Q45" s="36"/>
      <c r="R45" s="27"/>
    </row>
    <row r="46" spans="1:18" x14ac:dyDescent="0.3">
      <c r="A46" s="3" t="str">
        <f>'Autoévaluation client'!A46</f>
        <v>1.4.1.d</v>
      </c>
      <c r="B46" s="6" t="str">
        <f>'Autoévaluation client'!C46</f>
        <v>Dommages matériels?</v>
      </c>
      <c r="C46" s="38">
        <f>IF(ISBLANK('Autoévaluation client'!D46),0,1)</f>
        <v>0</v>
      </c>
      <c r="D46" s="165" t="str">
        <f>IF(AND('Autoévaluation client'!D46="",'Autoévaluation client'!E46=""),"*","")</f>
        <v>*</v>
      </c>
      <c r="E46" s="39" t="str">
        <f>IF(ISBLANK('Autoévaluation client'!F46),"",'Autoévaluation client'!F46)</f>
        <v/>
      </c>
      <c r="F46" s="118"/>
      <c r="G46" s="118"/>
      <c r="H46" s="118"/>
      <c r="I46" s="118"/>
      <c r="J46" s="118"/>
      <c r="K46" s="118"/>
      <c r="L46" s="112"/>
      <c r="M46" s="37">
        <v>3</v>
      </c>
      <c r="N46" s="27"/>
      <c r="O46" s="28">
        <f t="shared" si="6"/>
        <v>0</v>
      </c>
      <c r="P46" s="43">
        <f t="shared" si="7"/>
        <v>0</v>
      </c>
      <c r="Q46" s="36"/>
      <c r="R46" s="27"/>
    </row>
    <row r="47" spans="1:18" x14ac:dyDescent="0.3">
      <c r="A47" s="3" t="str">
        <f>'Autoévaluation client'!A47</f>
        <v>1.4.1.e</v>
      </c>
      <c r="B47" s="6" t="str">
        <f>'Autoévaluation client'!C47</f>
        <v>Perturbations?</v>
      </c>
      <c r="C47" s="38">
        <f>IF(ISBLANK('Autoévaluation client'!D47),0,1)</f>
        <v>0</v>
      </c>
      <c r="D47" s="165" t="str">
        <f>IF(AND('Autoévaluation client'!D47="",'Autoévaluation client'!E47=""),"*","")</f>
        <v>*</v>
      </c>
      <c r="E47" s="39" t="str">
        <f>IF(ISBLANK('Autoévaluation client'!F47),"",'Autoévaluation client'!F47)</f>
        <v/>
      </c>
      <c r="F47" s="118"/>
      <c r="G47" s="118"/>
      <c r="H47" s="118"/>
      <c r="I47" s="118"/>
      <c r="J47" s="118"/>
      <c r="K47" s="118"/>
      <c r="L47" s="112"/>
      <c r="M47" s="37">
        <v>0</v>
      </c>
      <c r="N47" s="27"/>
      <c r="O47" s="28">
        <f t="shared" si="6"/>
        <v>0</v>
      </c>
      <c r="P47" s="43">
        <f t="shared" si="7"/>
        <v>0</v>
      </c>
      <c r="Q47" s="36"/>
      <c r="R47" s="27"/>
    </row>
    <row r="48" spans="1:18" x14ac:dyDescent="0.3">
      <c r="A48" s="3" t="str">
        <f>'Autoévaluation client'!A48</f>
        <v>1.4.1.f</v>
      </c>
      <c r="B48" s="6" t="str">
        <f>'Autoévaluation client'!C48</f>
        <v>Autres événements? Si oui, lesquels?</v>
      </c>
      <c r="C48" s="38">
        <f>IF(ISBLANK('Autoévaluation client'!D48),0,1)</f>
        <v>0</v>
      </c>
      <c r="D48" s="165" t="str">
        <f>IF(AND('Autoévaluation client'!D48="",'Autoévaluation client'!E48=""),"*","")</f>
        <v>*</v>
      </c>
      <c r="E48" s="39" t="str">
        <f>IF(ISBLANK('Autoévaluation client'!F48),"",'Autoévaluation client'!F48)</f>
        <v/>
      </c>
      <c r="F48" s="118"/>
      <c r="G48" s="118"/>
      <c r="H48" s="118"/>
      <c r="I48" s="118"/>
      <c r="J48" s="118"/>
      <c r="K48" s="118"/>
      <c r="L48" s="112"/>
      <c r="M48" s="37">
        <v>0</v>
      </c>
      <c r="N48" s="27"/>
      <c r="O48" s="28">
        <f t="shared" si="6"/>
        <v>0</v>
      </c>
      <c r="P48" s="43">
        <f t="shared" si="7"/>
        <v>0</v>
      </c>
      <c r="Q48" s="36"/>
      <c r="R48" s="36"/>
    </row>
    <row r="49" spans="1:18" ht="39.6" x14ac:dyDescent="0.3">
      <c r="A49" s="3" t="str">
        <f>'Autoévaluation client'!A49</f>
        <v>1.4.2.a</v>
      </c>
      <c r="B49" s="6" t="str">
        <f>'Autoévaluation client'!C49</f>
        <v>Existe-t-il des objectifs mesurables visant à restreindre la durée des absences consécutives à...
des accidents professionnels / maladies professionnels?</v>
      </c>
      <c r="C49" s="38">
        <f>IF(ISBLANK('Autoévaluation client'!D49),0,1)</f>
        <v>0</v>
      </c>
      <c r="D49" s="165" t="str">
        <f>IF(AND('Autoévaluation client'!D49="",'Autoévaluation client'!E49=""),"*","")</f>
        <v>*</v>
      </c>
      <c r="E49" s="39" t="str">
        <f>IF(ISBLANK('Autoévaluation client'!F49),"",'Autoévaluation client'!F49)</f>
        <v/>
      </c>
      <c r="F49" s="118"/>
      <c r="G49" s="118"/>
      <c r="H49" s="118"/>
      <c r="I49" s="118"/>
      <c r="J49" s="118"/>
      <c r="K49" s="118"/>
      <c r="L49" s="112"/>
      <c r="M49" s="37">
        <v>1</v>
      </c>
      <c r="N49" s="27"/>
      <c r="O49" s="28">
        <f t="shared" si="6"/>
        <v>0</v>
      </c>
      <c r="P49" s="43">
        <f t="shared" si="7"/>
        <v>0</v>
      </c>
      <c r="Q49" s="36"/>
      <c r="R49" s="27"/>
    </row>
    <row r="50" spans="1:18" x14ac:dyDescent="0.3">
      <c r="A50" s="3" t="str">
        <f>'Autoévaluation client'!A50</f>
        <v>1.4.2.b</v>
      </c>
      <c r="B50" s="6" t="str">
        <f>'Autoévaluation client'!C50</f>
        <v>des accidents non professionnels?</v>
      </c>
      <c r="C50" s="38">
        <f>IF(ISBLANK('Autoévaluation client'!D50),0,1)</f>
        <v>0</v>
      </c>
      <c r="D50" s="165" t="str">
        <f>IF(AND('Autoévaluation client'!D50="",'Autoévaluation client'!E50=""),"*","")</f>
        <v>*</v>
      </c>
      <c r="E50" s="39" t="str">
        <f>IF(ISBLANK('Autoévaluation client'!F50),"",'Autoévaluation client'!F50)</f>
        <v/>
      </c>
      <c r="F50" s="119"/>
      <c r="G50" s="119"/>
      <c r="H50" s="119"/>
      <c r="I50" s="119"/>
      <c r="J50" s="119"/>
      <c r="K50" s="119"/>
      <c r="L50" s="112"/>
      <c r="M50" s="37">
        <v>1</v>
      </c>
      <c r="N50" s="27"/>
      <c r="O50" s="28">
        <f t="shared" si="6"/>
        <v>0</v>
      </c>
      <c r="P50" s="43">
        <f t="shared" si="7"/>
        <v>0</v>
      </c>
      <c r="Q50" s="36"/>
      <c r="R50" s="27"/>
    </row>
    <row r="51" spans="1:18" x14ac:dyDescent="0.3">
      <c r="A51" s="3" t="str">
        <f>'Autoévaluation client'!A51</f>
        <v>1.4.2.c</v>
      </c>
      <c r="B51" s="6" t="str">
        <f>'Autoévaluation client'!C51</f>
        <v>des maladies?</v>
      </c>
      <c r="C51" s="38">
        <f>IF(ISBLANK('Autoévaluation client'!D51),0,1)</f>
        <v>0</v>
      </c>
      <c r="D51" s="165" t="str">
        <f>IF(AND('Autoévaluation client'!D51="",'Autoévaluation client'!E51=""),"*","")</f>
        <v>*</v>
      </c>
      <c r="E51" s="39" t="str">
        <f>IF(ISBLANK('Autoévaluation client'!F51),"",'Autoévaluation client'!F51)</f>
        <v/>
      </c>
      <c r="F51" s="118"/>
      <c r="G51" s="118"/>
      <c r="H51" s="118"/>
      <c r="I51" s="118"/>
      <c r="J51" s="118"/>
      <c r="K51" s="118"/>
      <c r="L51" s="112"/>
      <c r="M51" s="37">
        <v>3</v>
      </c>
      <c r="N51" s="27"/>
      <c r="O51" s="28">
        <f t="shared" si="6"/>
        <v>0</v>
      </c>
      <c r="P51" s="43">
        <f t="shared" si="7"/>
        <v>0</v>
      </c>
      <c r="Q51" s="36"/>
      <c r="R51" s="27"/>
    </row>
    <row r="52" spans="1:18" x14ac:dyDescent="0.3">
      <c r="A52" s="3" t="str">
        <f>'Autoévaluation client'!A52</f>
        <v>1.4.2.d</v>
      </c>
      <c r="B52" s="6" t="str">
        <f>'Autoévaluation client'!C52</f>
        <v>d'autres événements? Si oui, lesquels?</v>
      </c>
      <c r="C52" s="38">
        <f>IF(ISBLANK('Autoévaluation client'!D52),0,1)</f>
        <v>0</v>
      </c>
      <c r="D52" s="165" t="str">
        <f>IF(AND('Autoévaluation client'!D52="",'Autoévaluation client'!E52=""),"*","")</f>
        <v>*</v>
      </c>
      <c r="E52" s="39" t="str">
        <f>IF(ISBLANK('Autoévaluation client'!F52),"",'Autoévaluation client'!F52)</f>
        <v/>
      </c>
      <c r="F52" s="118"/>
      <c r="G52" s="118"/>
      <c r="H52" s="118"/>
      <c r="I52" s="118"/>
      <c r="J52" s="118"/>
      <c r="K52" s="118"/>
      <c r="L52" s="112"/>
      <c r="M52" s="37">
        <v>0</v>
      </c>
      <c r="N52" s="27"/>
      <c r="O52" s="28">
        <f t="shared" si="6"/>
        <v>0</v>
      </c>
      <c r="P52" s="43">
        <f t="shared" si="7"/>
        <v>0</v>
      </c>
      <c r="Q52" s="36"/>
      <c r="R52" s="27"/>
    </row>
    <row r="53" spans="1:18" ht="26.4" x14ac:dyDescent="0.3">
      <c r="A53" s="3" t="str">
        <f>'Autoévaluation client'!A53</f>
        <v>1.4.3.</v>
      </c>
      <c r="B53" s="6" t="str">
        <f>'Autoévaluation client'!C53</f>
        <v>Vos objectifs en matière de sécurité et de santé s'appliquent-ils à l'entreprise dans son ensemble?</v>
      </c>
      <c r="C53" s="38">
        <f>IF(ISBLANK('Autoévaluation client'!D53),0,1)</f>
        <v>0</v>
      </c>
      <c r="D53" s="165" t="str">
        <f>IF(AND('Autoévaluation client'!D53="",'Autoévaluation client'!E53=""),"*","")</f>
        <v>*</v>
      </c>
      <c r="E53" s="39" t="str">
        <f>IF(ISBLANK('Autoévaluation client'!F53),"",'Autoévaluation client'!F53)</f>
        <v/>
      </c>
      <c r="F53" s="118"/>
      <c r="G53" s="118"/>
      <c r="H53" s="118"/>
      <c r="I53" s="118"/>
      <c r="J53" s="118"/>
      <c r="K53" s="118"/>
      <c r="L53" s="112"/>
      <c r="M53" s="37">
        <v>1</v>
      </c>
      <c r="N53" s="27"/>
      <c r="O53" s="28">
        <f t="shared" si="6"/>
        <v>0</v>
      </c>
      <c r="P53" s="43">
        <f t="shared" si="7"/>
        <v>0</v>
      </c>
      <c r="Q53" s="36"/>
      <c r="R53" s="27"/>
    </row>
    <row r="54" spans="1:18" ht="28.5" customHeight="1" x14ac:dyDescent="0.3">
      <c r="A54" s="3" t="str">
        <f>'Autoévaluation client'!A54</f>
        <v>1.4.4.</v>
      </c>
      <c r="B54" s="6" t="str">
        <f>'Autoévaluation client'!C54</f>
        <v>Vos objectifs en matière de sécurité et de santé s'appliquent-ils à des unités d'organisation spécifiques?</v>
      </c>
      <c r="C54" s="38">
        <f>IF(ISBLANK('Autoévaluation client'!D54),0,1)</f>
        <v>0</v>
      </c>
      <c r="D54" s="165" t="str">
        <f>IF(AND('Autoévaluation client'!D54="",'Autoévaluation client'!E54=""),"*","")</f>
        <v>*</v>
      </c>
      <c r="E54" s="39" t="str">
        <f>IF(ISBLANK('Autoévaluation client'!F54),"",'Autoévaluation client'!F54)</f>
        <v/>
      </c>
      <c r="F54" s="118"/>
      <c r="G54" s="118"/>
      <c r="H54" s="118"/>
      <c r="I54" s="118"/>
      <c r="J54" s="118"/>
      <c r="K54" s="118"/>
      <c r="L54" s="112"/>
      <c r="M54" s="37">
        <v>1</v>
      </c>
      <c r="N54" s="27"/>
      <c r="O54" s="28">
        <f t="shared" si="6"/>
        <v>0</v>
      </c>
      <c r="P54" s="43">
        <f t="shared" si="7"/>
        <v>0</v>
      </c>
      <c r="Q54" s="36"/>
      <c r="R54" s="27"/>
    </row>
    <row r="55" spans="1:18" ht="26.4" x14ac:dyDescent="0.3">
      <c r="A55" s="3" t="str">
        <f>'Autoévaluation client'!A55</f>
        <v>1.4.5.</v>
      </c>
      <c r="B55" s="6" t="str">
        <f>'Autoévaluation client'!C55</f>
        <v>Avez-vous la possibilité de comparer les résultats avec des entreprises similaires (même branche)? Si oui, lesquelles?</v>
      </c>
      <c r="C55" s="38">
        <f>IF(ISBLANK('Autoévaluation client'!D55),0,1)</f>
        <v>0</v>
      </c>
      <c r="D55" s="165" t="str">
        <f>IF(AND('Autoévaluation client'!D55="",'Autoévaluation client'!E55=""),"*","")</f>
        <v>*</v>
      </c>
      <c r="E55" s="39" t="str">
        <f>IF(ISBLANK('Autoévaluation client'!F55),"",'Autoévaluation client'!F55)</f>
        <v/>
      </c>
      <c r="F55" s="118"/>
      <c r="G55" s="118"/>
      <c r="H55" s="118"/>
      <c r="I55" s="118"/>
      <c r="J55" s="118"/>
      <c r="K55" s="118"/>
      <c r="L55" s="112"/>
      <c r="M55" s="37">
        <v>1</v>
      </c>
      <c r="N55" s="27"/>
      <c r="O55" s="28">
        <f t="shared" si="6"/>
        <v>0</v>
      </c>
      <c r="P55" s="43">
        <f t="shared" si="7"/>
        <v>0</v>
      </c>
      <c r="Q55" s="36"/>
      <c r="R55" s="27"/>
    </row>
    <row r="56" spans="1:18" x14ac:dyDescent="0.3">
      <c r="A56" s="19" t="str">
        <f>'Autoévaluation client'!A56</f>
        <v>1.5.</v>
      </c>
      <c r="B56" s="25" t="str">
        <f>'Autoévaluation client'!B56</f>
        <v>Elaboration et contrôle des objectifs, stratégie</v>
      </c>
      <c r="C56" s="21">
        <f>O56/N56</f>
        <v>0</v>
      </c>
      <c r="D56" s="29"/>
      <c r="E56" s="29"/>
      <c r="F56" s="115"/>
      <c r="G56" s="115"/>
      <c r="H56" s="115"/>
      <c r="I56" s="115"/>
      <c r="J56" s="115"/>
      <c r="K56" s="115"/>
      <c r="L56" s="50">
        <f>P56/N56</f>
        <v>0</v>
      </c>
      <c r="M56" s="22">
        <v>2</v>
      </c>
      <c r="N56" s="22">
        <f>SUM(M57:M63)</f>
        <v>17</v>
      </c>
      <c r="O56" s="24">
        <f>SUM(O57:O63)</f>
        <v>0</v>
      </c>
      <c r="P56" s="24">
        <f>SUM(P57:P63)</f>
        <v>0</v>
      </c>
      <c r="Q56" s="52">
        <f>O56/$N56*$M56</f>
        <v>0</v>
      </c>
      <c r="R56" s="52">
        <f>P56/$N56*$M56</f>
        <v>0</v>
      </c>
    </row>
    <row r="57" spans="1:18" ht="26.4" x14ac:dyDescent="0.3">
      <c r="A57" s="3" t="str">
        <f>'Autoévaluation client'!A57</f>
        <v>1.5.1.</v>
      </c>
      <c r="B57" s="6" t="str">
        <f>'Autoévaluation client'!C57</f>
        <v>Un processus est-il défini pour l'élaboration des objectifs de sécurité?</v>
      </c>
      <c r="C57" s="38">
        <f>IF(ISBLANK('Autoévaluation client'!D57),0,1)</f>
        <v>0</v>
      </c>
      <c r="D57" s="165" t="str">
        <f>IF(AND('Autoévaluation client'!D57="",'Autoévaluation client'!E57=""),"*","")</f>
        <v>*</v>
      </c>
      <c r="E57" s="39" t="str">
        <f>IF(ISBLANK('Autoévaluation client'!F57),"",'Autoévaluation client'!F57)</f>
        <v/>
      </c>
      <c r="F57" s="118"/>
      <c r="G57" s="118"/>
      <c r="H57" s="118"/>
      <c r="I57" s="118"/>
      <c r="J57" s="118"/>
      <c r="K57" s="118"/>
      <c r="L57" s="112"/>
      <c r="M57" s="37">
        <v>3</v>
      </c>
      <c r="N57" s="28"/>
      <c r="O57" s="28">
        <f t="shared" ref="O57:O63" si="8">M57*C57</f>
        <v>0</v>
      </c>
      <c r="P57" s="43">
        <f t="shared" ref="P57:P63" si="9">L57*M57</f>
        <v>0</v>
      </c>
      <c r="Q57" s="36"/>
      <c r="R57" s="27"/>
    </row>
    <row r="58" spans="1:18" ht="26.4" x14ac:dyDescent="0.3">
      <c r="A58" s="3" t="str">
        <f>'Autoévaluation client'!A58</f>
        <v>1.5.2.</v>
      </c>
      <c r="B58" s="6" t="str">
        <f>'Autoévaluation client'!C58</f>
        <v>Un engagement pour l'amélioration continue du système de sécurité est-elle contenue dans les objectifs?</v>
      </c>
      <c r="C58" s="38">
        <f>IF(ISBLANK('Autoévaluation client'!D58),0,1)</f>
        <v>0</v>
      </c>
      <c r="D58" s="165" t="str">
        <f>IF(AND('Autoévaluation client'!D58="",'Autoévaluation client'!E58=""),"*","")</f>
        <v>*</v>
      </c>
      <c r="E58" s="39" t="str">
        <f>IF(ISBLANK('Autoévaluation client'!F58),"",'Autoévaluation client'!F58)</f>
        <v/>
      </c>
      <c r="F58" s="118"/>
      <c r="G58" s="118"/>
      <c r="H58" s="118"/>
      <c r="I58" s="118"/>
      <c r="J58" s="118"/>
      <c r="K58" s="118"/>
      <c r="L58" s="112"/>
      <c r="M58" s="37">
        <v>3</v>
      </c>
      <c r="N58" s="27"/>
      <c r="O58" s="28">
        <f t="shared" si="8"/>
        <v>0</v>
      </c>
      <c r="P58" s="43">
        <f t="shared" si="9"/>
        <v>0</v>
      </c>
      <c r="Q58" s="36"/>
      <c r="R58" s="27"/>
    </row>
    <row r="59" spans="1:18" ht="26.4" x14ac:dyDescent="0.3">
      <c r="A59" s="3" t="str">
        <f>'Autoévaluation client'!A59</f>
        <v>1.5.3.</v>
      </c>
      <c r="B59" s="6" t="str">
        <f>'Autoévaluation client'!C59</f>
        <v>Les cadres, ou leur représentants, participent-ils à l'élaboration des objectifs de sécurité?</v>
      </c>
      <c r="C59" s="38">
        <f>IF(ISBLANK('Autoévaluation client'!D59),0,1)</f>
        <v>0</v>
      </c>
      <c r="D59" s="165" t="str">
        <f>IF(AND('Autoévaluation client'!D59="",'Autoévaluation client'!E59=""),"*","")</f>
        <v>*</v>
      </c>
      <c r="E59" s="39" t="str">
        <f>IF(ISBLANK('Autoévaluation client'!F59),"",'Autoévaluation client'!F59)</f>
        <v/>
      </c>
      <c r="F59" s="118"/>
      <c r="G59" s="118"/>
      <c r="H59" s="118"/>
      <c r="I59" s="118"/>
      <c r="J59" s="118"/>
      <c r="K59" s="118"/>
      <c r="L59" s="112"/>
      <c r="M59" s="37">
        <v>4</v>
      </c>
      <c r="N59" s="27"/>
      <c r="O59" s="28">
        <f t="shared" si="8"/>
        <v>0</v>
      </c>
      <c r="P59" s="43">
        <f t="shared" si="9"/>
        <v>0</v>
      </c>
      <c r="Q59" s="36"/>
      <c r="R59" s="27"/>
    </row>
    <row r="60" spans="1:18" ht="52.8" x14ac:dyDescent="0.3">
      <c r="A60" s="3" t="str">
        <f>'Autoévaluation client'!A60</f>
        <v xml:space="preserve">1.5.4. </v>
      </c>
      <c r="B60" s="6" t="str">
        <f>'Autoévaluation client'!C60</f>
        <v>Les écarts par rapport aux objectifs sont-ils constatés à temps par le biais d'un relevé des événements (ou d'une évaluation intermédiaire des objectifs en cours d'année) s'appliquant à l'entreprise dans son ensemble?</v>
      </c>
      <c r="C60" s="38">
        <f>IF(ISBLANK('Autoévaluation client'!D60),0,1)</f>
        <v>0</v>
      </c>
      <c r="D60" s="165" t="str">
        <f>IF(AND('Autoévaluation client'!D60="",'Autoévaluation client'!E60=""),"*","")</f>
        <v>*</v>
      </c>
      <c r="E60" s="39" t="str">
        <f>IF(ISBLANK('Autoévaluation client'!F60),"",'Autoévaluation client'!F60)</f>
        <v/>
      </c>
      <c r="F60" s="118"/>
      <c r="G60" s="118"/>
      <c r="H60" s="118"/>
      <c r="I60" s="118"/>
      <c r="J60" s="118"/>
      <c r="K60" s="118"/>
      <c r="L60" s="112"/>
      <c r="M60" s="37">
        <v>1</v>
      </c>
      <c r="N60" s="27"/>
      <c r="O60" s="28">
        <f t="shared" si="8"/>
        <v>0</v>
      </c>
      <c r="P60" s="43">
        <f t="shared" si="9"/>
        <v>0</v>
      </c>
      <c r="Q60" s="36"/>
      <c r="R60" s="27"/>
    </row>
    <row r="61" spans="1:18" ht="66" x14ac:dyDescent="0.3">
      <c r="A61" s="3" t="str">
        <f>'Autoévaluation client'!A61</f>
        <v>1.5.5.</v>
      </c>
      <c r="B61" s="6" t="str">
        <f>'Autoévaluation client'!C61</f>
        <v>Les écarts par rapport aux objectifs sont-ils constatés à temps par le biais d'un relevé des événements (ou d'une évaluation intermédiaire des objectifs en cours d'année) s'appliquant à des unités d'organisation spécifiques (secteur, division)?</v>
      </c>
      <c r="C61" s="38">
        <f>IF(ISBLANK('Autoévaluation client'!D61),0,1)</f>
        <v>0</v>
      </c>
      <c r="D61" s="165" t="str">
        <f>IF(AND('Autoévaluation client'!D61="",'Autoévaluation client'!E61=""),"*","")</f>
        <v>*</v>
      </c>
      <c r="E61" s="39" t="str">
        <f>IF(ISBLANK('Autoévaluation client'!F61),"",'Autoévaluation client'!F61)</f>
        <v/>
      </c>
      <c r="F61" s="118"/>
      <c r="G61" s="118"/>
      <c r="H61" s="118"/>
      <c r="I61" s="118"/>
      <c r="J61" s="118"/>
      <c r="K61" s="118"/>
      <c r="L61" s="112"/>
      <c r="M61" s="37">
        <v>1</v>
      </c>
      <c r="N61" s="27"/>
      <c r="O61" s="28">
        <f t="shared" si="8"/>
        <v>0</v>
      </c>
      <c r="P61" s="43">
        <f t="shared" si="9"/>
        <v>0</v>
      </c>
      <c r="Q61" s="36"/>
      <c r="R61" s="27"/>
    </row>
    <row r="62" spans="1:18" ht="39.6" x14ac:dyDescent="0.3">
      <c r="A62" s="3" t="str">
        <f>'Autoévaluation client'!A62</f>
        <v>1.5.6.</v>
      </c>
      <c r="B62" s="6" t="str">
        <f>'Autoévaluation client'!C62</f>
        <v>Lorsque les objectifs ne sont pas atteints, en tirez-vous les conséquences et prenez-vous les mesures correctrices nécessaires? Si oui, lesquelles?</v>
      </c>
      <c r="C62" s="38">
        <f>IF(ISBLANK('Autoévaluation client'!D62),0,1)</f>
        <v>0</v>
      </c>
      <c r="D62" s="165" t="str">
        <f>IF(AND('Autoévaluation client'!D62="",'Autoévaluation client'!E62=""),"*","")</f>
        <v>*</v>
      </c>
      <c r="E62" s="39" t="str">
        <f>IF(ISBLANK('Autoévaluation client'!F62),"",'Autoévaluation client'!F62)</f>
        <v/>
      </c>
      <c r="F62" s="118"/>
      <c r="G62" s="118"/>
      <c r="H62" s="118"/>
      <c r="I62" s="118"/>
      <c r="J62" s="118"/>
      <c r="K62" s="118"/>
      <c r="L62" s="112"/>
      <c r="M62" s="37">
        <v>3</v>
      </c>
      <c r="N62" s="27"/>
      <c r="O62" s="28">
        <f t="shared" si="8"/>
        <v>0</v>
      </c>
      <c r="P62" s="43">
        <f t="shared" si="9"/>
        <v>0</v>
      </c>
      <c r="Q62" s="36"/>
      <c r="R62" s="27"/>
    </row>
    <row r="63" spans="1:18" ht="66" x14ac:dyDescent="0.3">
      <c r="A63" s="3" t="str">
        <f>'Autoévaluation client'!A63</f>
        <v>1.5.7.</v>
      </c>
      <c r="B63" s="6" t="str">
        <f>'Autoévaluation client'!C63</f>
        <v>Disposez-vous d'une stratégie de sécurité qui vous aide à atteindre vos objectifs de sécurité (p. ex. paquets de mesures prévus à moyen terme, futures tendances, exigences et attentes des parties intéressées) ? Si oui, laquelle?</v>
      </c>
      <c r="C63" s="38">
        <f>IF(ISBLANK('Autoévaluation client'!D63),0,1)</f>
        <v>0</v>
      </c>
      <c r="D63" s="165" t="str">
        <f>IF(AND('Autoévaluation client'!D63="",'Autoévaluation client'!E63=""),"*","")</f>
        <v>*</v>
      </c>
      <c r="E63" s="39" t="str">
        <f>IF(ISBLANK('Autoévaluation client'!F63),"",'Autoévaluation client'!F63)</f>
        <v/>
      </c>
      <c r="F63" s="118"/>
      <c r="G63" s="118"/>
      <c r="H63" s="118"/>
      <c r="I63" s="118"/>
      <c r="J63" s="118"/>
      <c r="K63" s="118"/>
      <c r="L63" s="112"/>
      <c r="M63" s="37">
        <v>2</v>
      </c>
      <c r="N63" s="27"/>
      <c r="O63" s="28">
        <f t="shared" si="8"/>
        <v>0</v>
      </c>
      <c r="P63" s="43">
        <f t="shared" si="9"/>
        <v>0</v>
      </c>
      <c r="Q63" s="36"/>
      <c r="R63" s="58"/>
    </row>
    <row r="64" spans="1:18" x14ac:dyDescent="0.3">
      <c r="A64" s="7" t="str">
        <f>'Autoévaluation client'!A65</f>
        <v>2.</v>
      </c>
      <c r="B64" s="7" t="str">
        <f>'Autoévaluation client'!B65</f>
        <v>Organisation</v>
      </c>
      <c r="C64" s="30">
        <f>O64/N64</f>
        <v>0</v>
      </c>
      <c r="D64" s="18"/>
      <c r="E64" s="18"/>
      <c r="F64" s="18"/>
      <c r="G64" s="18"/>
      <c r="H64" s="18"/>
      <c r="I64" s="18"/>
      <c r="J64" s="18"/>
      <c r="K64" s="18"/>
      <c r="L64" s="114">
        <f>P64/N64</f>
        <v>0</v>
      </c>
      <c r="M64" s="5"/>
      <c r="N64" s="5">
        <f>SUM(M65,M106,M127)</f>
        <v>7</v>
      </c>
      <c r="O64" s="48">
        <f>SUM(Q65,Q106,Q127)</f>
        <v>0</v>
      </c>
      <c r="P64" s="48">
        <f>SUM(R65,R106,R127)</f>
        <v>0</v>
      </c>
      <c r="Q64" s="35"/>
      <c r="R64" s="35"/>
    </row>
    <row r="65" spans="1:18" x14ac:dyDescent="0.3">
      <c r="A65" s="19" t="str">
        <f>'Autoévaluation client'!A67</f>
        <v>2.1.</v>
      </c>
      <c r="B65" s="20" t="str">
        <f>'Autoévaluation client'!B67</f>
        <v>Organisation de l'entreprise</v>
      </c>
      <c r="C65" s="21">
        <f>O65/N65</f>
        <v>0</v>
      </c>
      <c r="D65" s="23" t="str">
        <f>IF(ISBLANK('Autoévaluation client'!E67),"",'Autoévaluation client'!E67)</f>
        <v/>
      </c>
      <c r="E65" s="23"/>
      <c r="F65" s="115"/>
      <c r="G65" s="115"/>
      <c r="H65" s="115"/>
      <c r="I65" s="115"/>
      <c r="J65" s="115"/>
      <c r="K65" s="115"/>
      <c r="L65" s="50">
        <f>P65/N65</f>
        <v>0</v>
      </c>
      <c r="M65" s="23">
        <v>3</v>
      </c>
      <c r="N65" s="22">
        <f>SUM(M66,M73,M91,M103)</f>
        <v>7</v>
      </c>
      <c r="O65" s="24">
        <f>SUM(Q66,Q73,Q91,Q103)</f>
        <v>0</v>
      </c>
      <c r="P65" s="24">
        <f>SUM(R66,R73,R91,R103)</f>
        <v>0</v>
      </c>
      <c r="Q65" s="52">
        <f>O65/$N65*$M65</f>
        <v>0</v>
      </c>
      <c r="R65" s="52">
        <f>P65/$N65*$M65</f>
        <v>0</v>
      </c>
    </row>
    <row r="66" spans="1:18" x14ac:dyDescent="0.3">
      <c r="A66" s="23" t="str">
        <f>'Autoévaluation client'!A68</f>
        <v>2.1.1</v>
      </c>
      <c r="B66" s="23" t="str">
        <f>'Autoévaluation client'!C68</f>
        <v>Type d'organisation</v>
      </c>
      <c r="C66" s="21">
        <f>O66/N66</f>
        <v>0</v>
      </c>
      <c r="D66" s="23" t="str">
        <f>IF(ISBLANK('Autoévaluation client'!E68),"",'Autoévaluation client'!E68)</f>
        <v/>
      </c>
      <c r="E66" s="23"/>
      <c r="F66" s="115"/>
      <c r="G66" s="115"/>
      <c r="H66" s="115"/>
      <c r="I66" s="115"/>
      <c r="J66" s="115"/>
      <c r="K66" s="115"/>
      <c r="L66" s="50">
        <f>P66/N66</f>
        <v>0</v>
      </c>
      <c r="M66" s="23">
        <v>1</v>
      </c>
      <c r="N66" s="41">
        <f>MAX(M67:M72)</f>
        <v>1</v>
      </c>
      <c r="O66" s="55">
        <f>MAX(O67:O72)</f>
        <v>0</v>
      </c>
      <c r="P66" s="55">
        <f>MAX(P67:P72)</f>
        <v>0</v>
      </c>
      <c r="Q66" s="52">
        <f>O66/N66*M66</f>
        <v>0</v>
      </c>
      <c r="R66" s="52">
        <f>P66/N66*$M66</f>
        <v>0</v>
      </c>
    </row>
    <row r="67" spans="1:18" ht="38.25" customHeight="1" x14ac:dyDescent="0.3">
      <c r="A67" s="3" t="str">
        <f>'Autoévaluation client'!A69</f>
        <v>2.1.1.1.a</v>
      </c>
      <c r="B67" s="6" t="str">
        <f>'Autoévaluation client'!C69</f>
        <v>Quel type d’organisation structurelle existe dans votre entreprise:
Organisation hiérarchique?</v>
      </c>
      <c r="C67" s="38">
        <f>IF(ISBLANK('Autoévaluation client'!D69),0,1)</f>
        <v>0</v>
      </c>
      <c r="D67" s="165" t="str">
        <f>IF(AND('Autoévaluation client'!D69="",'Autoévaluation client'!E69=""),"*","")</f>
        <v>*</v>
      </c>
      <c r="E67" s="39" t="str">
        <f>IF(ISBLANK('Autoévaluation client'!F69),"",'Autoévaluation client'!F69)</f>
        <v/>
      </c>
      <c r="F67" s="118"/>
      <c r="G67" s="118"/>
      <c r="H67" s="118"/>
      <c r="I67" s="118"/>
      <c r="J67" s="118"/>
      <c r="K67" s="118"/>
      <c r="L67" s="112"/>
      <c r="M67" s="37">
        <v>1</v>
      </c>
      <c r="N67" s="27"/>
      <c r="O67" s="28">
        <f t="shared" ref="O67:O72" si="10">C67*M67</f>
        <v>0</v>
      </c>
      <c r="P67" s="43">
        <f t="shared" ref="P67:P71" si="11">L67*M67</f>
        <v>0</v>
      </c>
      <c r="Q67" s="36"/>
      <c r="R67" s="27"/>
    </row>
    <row r="68" spans="1:18" x14ac:dyDescent="0.3">
      <c r="A68" s="3" t="str">
        <f>'Autoévaluation client'!A70</f>
        <v>2.1.1.2.b</v>
      </c>
      <c r="B68" s="6" t="str">
        <f>'Autoévaluation client'!C70</f>
        <v>Organisation d’état-major de ligne?</v>
      </c>
      <c r="C68" s="38">
        <f>IF(ISBLANK('Autoévaluation client'!D70),0,1)</f>
        <v>0</v>
      </c>
      <c r="D68" s="165" t="str">
        <f>IF(AND('Autoévaluation client'!D70="",'Autoévaluation client'!E70=""),"*","")</f>
        <v>*</v>
      </c>
      <c r="E68" s="39" t="str">
        <f>IF(ISBLANK('Autoévaluation client'!F70),"",'Autoévaluation client'!F70)</f>
        <v/>
      </c>
      <c r="F68" s="118"/>
      <c r="G68" s="118"/>
      <c r="H68" s="118"/>
      <c r="I68" s="118"/>
      <c r="J68" s="118"/>
      <c r="K68" s="118"/>
      <c r="L68" s="112"/>
      <c r="M68" s="37">
        <v>1</v>
      </c>
      <c r="N68" s="27"/>
      <c r="O68" s="28">
        <f t="shared" si="10"/>
        <v>0</v>
      </c>
      <c r="P68" s="43">
        <f t="shared" si="11"/>
        <v>0</v>
      </c>
      <c r="Q68" s="36"/>
      <c r="R68" s="27"/>
    </row>
    <row r="69" spans="1:18" x14ac:dyDescent="0.3">
      <c r="A69" s="3" t="str">
        <f>'Autoévaluation client'!A71</f>
        <v>2.1.1.2.c</v>
      </c>
      <c r="B69" s="6" t="str">
        <f>'Autoévaluation client'!C71</f>
        <v>Organisation fonctionnelle?</v>
      </c>
      <c r="C69" s="38">
        <f>IF(ISBLANK('Autoévaluation client'!D71),0,1)</f>
        <v>0</v>
      </c>
      <c r="D69" s="165" t="str">
        <f>IF(AND('Autoévaluation client'!D71="",'Autoévaluation client'!E71=""),"*","")</f>
        <v>*</v>
      </c>
      <c r="E69" s="39" t="str">
        <f>IF(ISBLANK('Autoévaluation client'!F71),"",'Autoévaluation client'!F71)</f>
        <v/>
      </c>
      <c r="F69" s="118"/>
      <c r="G69" s="118"/>
      <c r="H69" s="118"/>
      <c r="I69" s="118"/>
      <c r="J69" s="118"/>
      <c r="K69" s="118"/>
      <c r="L69" s="112"/>
      <c r="M69" s="37">
        <v>1</v>
      </c>
      <c r="N69" s="27"/>
      <c r="O69" s="28">
        <f t="shared" si="10"/>
        <v>0</v>
      </c>
      <c r="P69" s="43">
        <f t="shared" si="11"/>
        <v>0</v>
      </c>
      <c r="Q69" s="36"/>
      <c r="R69" s="27"/>
    </row>
    <row r="70" spans="1:18" x14ac:dyDescent="0.3">
      <c r="A70" s="3" t="str">
        <f>'Autoévaluation client'!A72</f>
        <v>2.1.1.2.d</v>
      </c>
      <c r="B70" s="6" t="str">
        <f>'Autoévaluation client'!C72</f>
        <v>Organisation matricielle?</v>
      </c>
      <c r="C70" s="38">
        <f>IF(ISBLANK('Autoévaluation client'!D72),0,1)</f>
        <v>0</v>
      </c>
      <c r="D70" s="165" t="str">
        <f>IF(AND('Autoévaluation client'!D72="",'Autoévaluation client'!E72=""),"*","")</f>
        <v>*</v>
      </c>
      <c r="E70" s="39" t="str">
        <f>IF(ISBLANK('Autoévaluation client'!F72),"",'Autoévaluation client'!F72)</f>
        <v/>
      </c>
      <c r="F70" s="118"/>
      <c r="G70" s="118"/>
      <c r="H70" s="118"/>
      <c r="I70" s="118"/>
      <c r="J70" s="118"/>
      <c r="K70" s="118"/>
      <c r="L70" s="112"/>
      <c r="M70" s="37">
        <v>1</v>
      </c>
      <c r="N70" s="27"/>
      <c r="O70" s="28">
        <f t="shared" si="10"/>
        <v>0</v>
      </c>
      <c r="P70" s="43">
        <f t="shared" si="11"/>
        <v>0</v>
      </c>
      <c r="Q70" s="36"/>
      <c r="R70" s="27"/>
    </row>
    <row r="71" spans="1:18" x14ac:dyDescent="0.3">
      <c r="A71" s="3" t="str">
        <f>'Autoévaluation client'!A73</f>
        <v>2.1.1.2.e</v>
      </c>
      <c r="B71" s="6" t="str">
        <f>'Autoévaluation client'!C73</f>
        <v>Organisation de projets?</v>
      </c>
      <c r="C71" s="38">
        <f>IF(ISBLANK('Autoévaluation client'!D73),0,1)</f>
        <v>0</v>
      </c>
      <c r="D71" s="165" t="str">
        <f>IF(AND('Autoévaluation client'!D73="",'Autoévaluation client'!E73=""),"*","")</f>
        <v>*</v>
      </c>
      <c r="E71" s="39" t="str">
        <f>IF(ISBLANK('Autoévaluation client'!F73),"",'Autoévaluation client'!F73)</f>
        <v/>
      </c>
      <c r="F71" s="120"/>
      <c r="G71" s="120"/>
      <c r="H71" s="120"/>
      <c r="I71" s="120"/>
      <c r="J71" s="120"/>
      <c r="K71" s="120"/>
      <c r="L71" s="112"/>
      <c r="M71" s="37">
        <v>1</v>
      </c>
      <c r="N71" s="27"/>
      <c r="O71" s="28">
        <f t="shared" si="10"/>
        <v>0</v>
      </c>
      <c r="P71" s="43">
        <f t="shared" si="11"/>
        <v>0</v>
      </c>
      <c r="Q71" s="36"/>
      <c r="R71" s="27"/>
    </row>
    <row r="72" spans="1:18" x14ac:dyDescent="0.3">
      <c r="A72" s="3" t="str">
        <f>'Autoévaluation client'!A74</f>
        <v>2.1.1.2.f</v>
      </c>
      <c r="B72" s="6" t="str">
        <f>'Autoévaluation client'!C74</f>
        <v>Autre forme? Si oui, laquelle?</v>
      </c>
      <c r="C72" s="38">
        <f>IF(ISBLANK('Autoévaluation client'!D74),0,1)</f>
        <v>0</v>
      </c>
      <c r="D72" s="165" t="str">
        <f>IF(AND('Autoévaluation client'!D74="",'Autoévaluation client'!E74=""),"*","")</f>
        <v>*</v>
      </c>
      <c r="E72" s="39" t="str">
        <f>IF(ISBLANK('Autoévaluation client'!F74),"",'Autoévaluation client'!F74)</f>
        <v/>
      </c>
      <c r="F72" s="120"/>
      <c r="G72" s="120"/>
      <c r="H72" s="120"/>
      <c r="I72" s="120"/>
      <c r="J72" s="120"/>
      <c r="K72" s="120"/>
      <c r="L72" s="112"/>
      <c r="M72" s="37">
        <v>1</v>
      </c>
      <c r="N72" s="27"/>
      <c r="O72" s="28">
        <f t="shared" si="10"/>
        <v>0</v>
      </c>
      <c r="P72" s="43">
        <f>L72*M72</f>
        <v>0</v>
      </c>
      <c r="Q72" s="36"/>
      <c r="R72" s="36"/>
    </row>
    <row r="73" spans="1:18" x14ac:dyDescent="0.3">
      <c r="A73" s="23" t="str">
        <f>'Autoévaluation client'!A75</f>
        <v>2.1.2.</v>
      </c>
      <c r="B73" s="23" t="str">
        <f>'Autoévaluation client'!C75</f>
        <v>Tâches, compétences, responsabilités</v>
      </c>
      <c r="C73" s="21">
        <f>O73/N73</f>
        <v>0</v>
      </c>
      <c r="D73" s="23" t="str">
        <f>IF(ISBLANK('Autoévaluation client'!E75),"",'Autoévaluation client'!E75)</f>
        <v/>
      </c>
      <c r="E73" s="23" t="str">
        <f>IF(ISBLANK('Autoévaluation client'!F75),"",'Autoévaluation client'!F75)</f>
        <v/>
      </c>
      <c r="F73" s="115"/>
      <c r="G73" s="115"/>
      <c r="H73" s="115"/>
      <c r="I73" s="115"/>
      <c r="J73" s="115"/>
      <c r="K73" s="115"/>
      <c r="L73" s="50">
        <f>P73/N73</f>
        <v>0</v>
      </c>
      <c r="M73" s="23">
        <v>3</v>
      </c>
      <c r="N73" s="23">
        <f>SUM(M74:M90)</f>
        <v>21</v>
      </c>
      <c r="O73" s="56">
        <f>SUM(O74:O90)</f>
        <v>0</v>
      </c>
      <c r="P73" s="56">
        <f>SUM(P74:P90)</f>
        <v>0</v>
      </c>
      <c r="Q73" s="52">
        <f>O73/$N73*$M73</f>
        <v>0</v>
      </c>
      <c r="R73" s="52">
        <f>P73/$N73*$M73</f>
        <v>0</v>
      </c>
    </row>
    <row r="74" spans="1:18" ht="39.6" x14ac:dyDescent="0.3">
      <c r="A74" s="3" t="str">
        <f>'Autoévaluation client'!A76</f>
        <v>2.1.2.1.</v>
      </c>
      <c r="B74" s="6" t="str">
        <f>'Autoévaluation client'!C76</f>
        <v>Les compétences et les responsabilités concernant la sécurité et la santé des collaborateurs sont-elles définies par écrit?</v>
      </c>
      <c r="C74" s="38">
        <f>IF(ISBLANK('Autoévaluation client'!D76),0,1)</f>
        <v>0</v>
      </c>
      <c r="D74" s="165" t="str">
        <f>IF(AND('Autoévaluation client'!D76="",'Autoévaluation client'!E76=""),"*","")</f>
        <v>*</v>
      </c>
      <c r="E74" s="39" t="str">
        <f>IF(ISBLANK('Autoévaluation client'!F76),"",'Autoévaluation client'!F76)</f>
        <v/>
      </c>
      <c r="F74" s="120"/>
      <c r="G74" s="120"/>
      <c r="H74" s="120"/>
      <c r="I74" s="120"/>
      <c r="J74" s="120"/>
      <c r="K74" s="120"/>
      <c r="L74" s="112"/>
      <c r="M74" s="37">
        <v>4</v>
      </c>
      <c r="N74" s="27"/>
      <c r="O74" s="28">
        <f t="shared" ref="O74:O90" si="12">C74*M74</f>
        <v>0</v>
      </c>
      <c r="P74" s="43">
        <f t="shared" ref="P74:P90" si="13">L74*M74</f>
        <v>0</v>
      </c>
      <c r="Q74" s="36"/>
      <c r="R74" s="27"/>
    </row>
    <row r="75" spans="1:18" ht="26.4" x14ac:dyDescent="0.3">
      <c r="A75" s="3" t="str">
        <f>'Autoévaluation client'!A77</f>
        <v>2.1.2.2.a</v>
      </c>
      <c r="B75" s="6" t="str">
        <f>'Autoévaluation client'!C77</f>
        <v>Votre entreprise dispose-t-elle de documents d'organisation tels que: Descriptions des postes de travail?</v>
      </c>
      <c r="C75" s="38">
        <f>IF(ISBLANK('Autoévaluation client'!D77),0,1)</f>
        <v>0</v>
      </c>
      <c r="D75" s="165" t="str">
        <f>IF(AND('Autoévaluation client'!D77="",'Autoévaluation client'!E77=""),"*","")</f>
        <v>*</v>
      </c>
      <c r="E75" s="39" t="str">
        <f>IF(ISBLANK('Autoévaluation client'!F77),"",'Autoévaluation client'!F77)</f>
        <v/>
      </c>
      <c r="F75" s="120"/>
      <c r="G75" s="120"/>
      <c r="H75" s="120"/>
      <c r="I75" s="120"/>
      <c r="J75" s="120"/>
      <c r="K75" s="120"/>
      <c r="L75" s="112"/>
      <c r="M75" s="37">
        <v>2</v>
      </c>
      <c r="N75" s="27"/>
      <c r="O75" s="28">
        <f t="shared" si="12"/>
        <v>0</v>
      </c>
      <c r="P75" s="43">
        <f t="shared" si="13"/>
        <v>0</v>
      </c>
      <c r="Q75" s="36"/>
      <c r="R75" s="27"/>
    </row>
    <row r="76" spans="1:18" x14ac:dyDescent="0.3">
      <c r="A76" s="3" t="str">
        <f>'Autoévaluation client'!A78</f>
        <v>2.1.2.2.b</v>
      </c>
      <c r="B76" s="6" t="str">
        <f>'Autoévaluation client'!C78</f>
        <v>Cahiers des charges?</v>
      </c>
      <c r="C76" s="38">
        <f>IF(ISBLANK('Autoévaluation client'!D78),0,1)</f>
        <v>0</v>
      </c>
      <c r="D76" s="165" t="str">
        <f>IF(AND('Autoévaluation client'!D78="",'Autoévaluation client'!E78=""),"*","")</f>
        <v>*</v>
      </c>
      <c r="E76" s="39" t="str">
        <f>IF(ISBLANK('Autoévaluation client'!F78),"",'Autoévaluation client'!F78)</f>
        <v/>
      </c>
      <c r="F76" s="120"/>
      <c r="G76" s="120"/>
      <c r="H76" s="120"/>
      <c r="I76" s="120"/>
      <c r="J76" s="120"/>
      <c r="K76" s="120"/>
      <c r="L76" s="112"/>
      <c r="M76" s="37">
        <v>1</v>
      </c>
      <c r="N76" s="27"/>
      <c r="O76" s="28">
        <f t="shared" si="12"/>
        <v>0</v>
      </c>
      <c r="P76" s="43">
        <f t="shared" si="13"/>
        <v>0</v>
      </c>
      <c r="Q76" s="36"/>
      <c r="R76" s="27"/>
    </row>
    <row r="77" spans="1:18" x14ac:dyDescent="0.3">
      <c r="A77" s="3" t="str">
        <f>'Autoévaluation client'!A79</f>
        <v>2.1.2.2.c</v>
      </c>
      <c r="B77" s="6" t="str">
        <f>'Autoévaluation client'!C79</f>
        <v>Diagrammes fonctionnels</v>
      </c>
      <c r="C77" s="38">
        <f>IF(ISBLANK('Autoévaluation client'!D79),0,1)</f>
        <v>0</v>
      </c>
      <c r="D77" s="165" t="str">
        <f>IF(AND('Autoévaluation client'!D79="",'Autoévaluation client'!E79=""),"*","")</f>
        <v>*</v>
      </c>
      <c r="E77" s="39" t="str">
        <f>IF(ISBLANK('Autoévaluation client'!F79),"",'Autoévaluation client'!F79)</f>
        <v/>
      </c>
      <c r="F77" s="120"/>
      <c r="G77" s="120"/>
      <c r="H77" s="120"/>
      <c r="I77" s="120"/>
      <c r="J77" s="120"/>
      <c r="K77" s="120"/>
      <c r="L77" s="112"/>
      <c r="M77" s="37">
        <v>0</v>
      </c>
      <c r="N77" s="27"/>
      <c r="O77" s="28">
        <f t="shared" si="12"/>
        <v>0</v>
      </c>
      <c r="P77" s="43">
        <f t="shared" si="13"/>
        <v>0</v>
      </c>
      <c r="Q77" s="36"/>
      <c r="R77" s="27"/>
    </row>
    <row r="78" spans="1:18" x14ac:dyDescent="0.3">
      <c r="A78" s="3" t="str">
        <f>'Autoévaluation client'!A80</f>
        <v>2.1.2.2.d</v>
      </c>
      <c r="B78" s="6" t="str">
        <f>'Autoévaluation client'!C80</f>
        <v>Règlements?</v>
      </c>
      <c r="C78" s="38">
        <f>IF(ISBLANK('Autoévaluation client'!D80),0,1)</f>
        <v>0</v>
      </c>
      <c r="D78" s="165" t="str">
        <f>IF(AND('Autoévaluation client'!D80="",'Autoévaluation client'!E80=""),"*","")</f>
        <v>*</v>
      </c>
      <c r="E78" s="39" t="str">
        <f>IF(ISBLANK('Autoévaluation client'!F80),"",'Autoévaluation client'!F80)</f>
        <v/>
      </c>
      <c r="F78" s="120"/>
      <c r="G78" s="120"/>
      <c r="H78" s="120"/>
      <c r="I78" s="120"/>
      <c r="J78" s="120"/>
      <c r="K78" s="120"/>
      <c r="L78" s="112"/>
      <c r="M78" s="37">
        <v>2</v>
      </c>
      <c r="N78" s="27"/>
      <c r="O78" s="28">
        <f t="shared" si="12"/>
        <v>0</v>
      </c>
      <c r="P78" s="43">
        <f t="shared" si="13"/>
        <v>0</v>
      </c>
      <c r="Q78" s="36"/>
      <c r="R78" s="27"/>
    </row>
    <row r="79" spans="1:18" x14ac:dyDescent="0.3">
      <c r="A79" s="3" t="str">
        <f>'Autoévaluation client'!A81</f>
        <v>2.1.2.2.e</v>
      </c>
      <c r="B79" s="6" t="str">
        <f>'Autoévaluation client'!C81</f>
        <v>Contrats de travail individuels?</v>
      </c>
      <c r="C79" s="38">
        <f>IF(ISBLANK('Autoévaluation client'!D81),0,1)</f>
        <v>0</v>
      </c>
      <c r="D79" s="165" t="str">
        <f>IF(AND('Autoévaluation client'!D81="",'Autoévaluation client'!E81=""),"*","")</f>
        <v>*</v>
      </c>
      <c r="E79" s="39" t="str">
        <f>IF(ISBLANK('Autoévaluation client'!F81),"",'Autoévaluation client'!F81)</f>
        <v/>
      </c>
      <c r="F79" s="120"/>
      <c r="G79" s="120"/>
      <c r="H79" s="120"/>
      <c r="I79" s="120"/>
      <c r="J79" s="120"/>
      <c r="K79" s="120"/>
      <c r="L79" s="112"/>
      <c r="M79" s="37">
        <v>2</v>
      </c>
      <c r="N79" s="27"/>
      <c r="O79" s="28">
        <f t="shared" si="12"/>
        <v>0</v>
      </c>
      <c r="P79" s="43">
        <f t="shared" si="13"/>
        <v>0</v>
      </c>
      <c r="Q79" s="36"/>
      <c r="R79" s="27"/>
    </row>
    <row r="80" spans="1:18" x14ac:dyDescent="0.3">
      <c r="A80" s="3" t="str">
        <f>'Autoévaluation client'!A82</f>
        <v>2.1.2.2.f</v>
      </c>
      <c r="B80" s="6" t="str">
        <f>'Autoévaluation client'!C82</f>
        <v>Contrats de travail collectifs?</v>
      </c>
      <c r="C80" s="38">
        <f>IF(ISBLANK('Autoévaluation client'!D82),0,1)</f>
        <v>0</v>
      </c>
      <c r="D80" s="165" t="str">
        <f>IF(AND('Autoévaluation client'!D82="",'Autoévaluation client'!E82=""),"*","")</f>
        <v>*</v>
      </c>
      <c r="E80" s="39" t="str">
        <f>IF(ISBLANK('Autoévaluation client'!F82),"",'Autoévaluation client'!F82)</f>
        <v/>
      </c>
      <c r="F80" s="120"/>
      <c r="G80" s="120"/>
      <c r="H80" s="120"/>
      <c r="I80" s="120"/>
      <c r="J80" s="120"/>
      <c r="K80" s="120"/>
      <c r="L80" s="112"/>
      <c r="M80" s="37">
        <v>0</v>
      </c>
      <c r="N80" s="27"/>
      <c r="O80" s="28">
        <f t="shared" si="12"/>
        <v>0</v>
      </c>
      <c r="P80" s="43">
        <f t="shared" si="13"/>
        <v>0</v>
      </c>
      <c r="Q80" s="36"/>
      <c r="R80" s="27"/>
    </row>
    <row r="81" spans="1:18" x14ac:dyDescent="0.3">
      <c r="A81" s="3" t="str">
        <f>'Autoévaluation client'!A83</f>
        <v>2.1.2.2.g</v>
      </c>
      <c r="B81" s="6" t="str">
        <f>'Autoévaluation client'!C83</f>
        <v>Contrats d'entreprise?</v>
      </c>
      <c r="C81" s="38">
        <f>IF(ISBLANK('Autoévaluation client'!D83),0,1)</f>
        <v>0</v>
      </c>
      <c r="D81" s="165" t="str">
        <f>IF(AND('Autoévaluation client'!D83="",'Autoévaluation client'!E83=""),"*","")</f>
        <v>*</v>
      </c>
      <c r="E81" s="39" t="str">
        <f>IF(ISBLANK('Autoévaluation client'!F83),"",'Autoévaluation client'!F83)</f>
        <v/>
      </c>
      <c r="F81" s="120"/>
      <c r="G81" s="120"/>
      <c r="H81" s="120"/>
      <c r="I81" s="120"/>
      <c r="J81" s="120"/>
      <c r="K81" s="120"/>
      <c r="L81" s="112"/>
      <c r="M81" s="37">
        <v>1</v>
      </c>
      <c r="N81" s="27"/>
      <c r="O81" s="28">
        <f t="shared" si="12"/>
        <v>0</v>
      </c>
      <c r="P81" s="43">
        <f t="shared" si="13"/>
        <v>0</v>
      </c>
      <c r="Q81" s="36"/>
      <c r="R81" s="27"/>
    </row>
    <row r="82" spans="1:18" x14ac:dyDescent="0.3">
      <c r="A82" s="3" t="str">
        <f>'Autoévaluation client'!A84</f>
        <v>2.1.2.2.h</v>
      </c>
      <c r="B82" s="6" t="str">
        <f>'Autoévaluation client'!C84</f>
        <v>Autres documents d'organisation? Si oui, lesquels?</v>
      </c>
      <c r="C82" s="38">
        <f>IF(ISBLANK('Autoévaluation client'!D84),0,1)</f>
        <v>0</v>
      </c>
      <c r="D82" s="165" t="str">
        <f>IF(AND('Autoévaluation client'!D84="",'Autoévaluation client'!E84=""),"*","")</f>
        <v>*</v>
      </c>
      <c r="E82" s="39" t="str">
        <f>IF(ISBLANK('Autoévaluation client'!F84),"",'Autoévaluation client'!F84)</f>
        <v/>
      </c>
      <c r="F82" s="120"/>
      <c r="G82" s="120"/>
      <c r="H82" s="120"/>
      <c r="I82" s="120"/>
      <c r="J82" s="120"/>
      <c r="K82" s="120"/>
      <c r="L82" s="112"/>
      <c r="M82" s="37">
        <v>0</v>
      </c>
      <c r="N82" s="27"/>
      <c r="O82" s="28">
        <f t="shared" si="12"/>
        <v>0</v>
      </c>
      <c r="P82" s="43">
        <f t="shared" si="13"/>
        <v>0</v>
      </c>
      <c r="Q82" s="36"/>
      <c r="R82" s="27"/>
    </row>
    <row r="83" spans="1:18" ht="52.8" x14ac:dyDescent="0.3">
      <c r="A83" s="3" t="str">
        <f>'Autoévaluation client'!A85</f>
        <v>2.1.2.3.a</v>
      </c>
      <c r="B83" s="6" t="str">
        <f>'Autoévaluation client'!C85</f>
        <v>Les tâches, compétences, responsabilités (obligations et droits) concernant la sécurité et la santé font-elles partie des documents suivants: 
Descriptions des postes?</v>
      </c>
      <c r="C83" s="38">
        <f>IF(ISBLANK('Autoévaluation client'!D85),0,1)</f>
        <v>0</v>
      </c>
      <c r="D83" s="165" t="str">
        <f>IF(AND('Autoévaluation client'!D85="",'Autoévaluation client'!E85=""),"*","")</f>
        <v>*</v>
      </c>
      <c r="E83" s="39" t="str">
        <f>IF(ISBLANK('Autoévaluation client'!F85),"",'Autoévaluation client'!F85)</f>
        <v/>
      </c>
      <c r="F83" s="120"/>
      <c r="G83" s="120"/>
      <c r="H83" s="120"/>
      <c r="I83" s="120"/>
      <c r="J83" s="120"/>
      <c r="K83" s="120"/>
      <c r="L83" s="112"/>
      <c r="M83" s="37">
        <v>5</v>
      </c>
      <c r="N83" s="27"/>
      <c r="O83" s="28">
        <f t="shared" si="12"/>
        <v>0</v>
      </c>
      <c r="P83" s="43">
        <f t="shared" si="13"/>
        <v>0</v>
      </c>
      <c r="Q83" s="36"/>
      <c r="R83" s="27"/>
    </row>
    <row r="84" spans="1:18" x14ac:dyDescent="0.3">
      <c r="A84" s="3" t="str">
        <f>'Autoévaluation client'!A86</f>
        <v>2.1.2.3.b</v>
      </c>
      <c r="B84" s="6" t="str">
        <f>'Autoévaluation client'!C86</f>
        <v>Cahiers des charges?</v>
      </c>
      <c r="C84" s="38">
        <f>IF(ISBLANK('Autoévaluation client'!D86),0,1)</f>
        <v>0</v>
      </c>
      <c r="D84" s="165" t="str">
        <f>IF(AND('Autoévaluation client'!D86="",'Autoévaluation client'!E86=""),"*","")</f>
        <v>*</v>
      </c>
      <c r="E84" s="39" t="str">
        <f>IF(ISBLANK('Autoévaluation client'!F86),"",'Autoévaluation client'!F86)</f>
        <v/>
      </c>
      <c r="F84" s="120"/>
      <c r="G84" s="120"/>
      <c r="H84" s="120"/>
      <c r="I84" s="120"/>
      <c r="J84" s="120"/>
      <c r="K84" s="120"/>
      <c r="L84" s="112"/>
      <c r="M84" s="37">
        <v>1</v>
      </c>
      <c r="N84" s="27"/>
      <c r="O84" s="28">
        <f t="shared" si="12"/>
        <v>0</v>
      </c>
      <c r="P84" s="43">
        <f t="shared" si="13"/>
        <v>0</v>
      </c>
      <c r="Q84" s="36"/>
      <c r="R84" s="27"/>
    </row>
    <row r="85" spans="1:18" x14ac:dyDescent="0.3">
      <c r="A85" s="3" t="str">
        <f>'Autoévaluation client'!A87</f>
        <v>2.1.2.3.c</v>
      </c>
      <c r="B85" s="6" t="str">
        <f>'Autoévaluation client'!C87</f>
        <v>Diagrammes fonctionnels</v>
      </c>
      <c r="C85" s="38">
        <f>IF(ISBLANK('Autoévaluation client'!D87),0,1)</f>
        <v>0</v>
      </c>
      <c r="D85" s="165" t="str">
        <f>IF(AND('Autoévaluation client'!D87="",'Autoévaluation client'!E87=""),"*","")</f>
        <v>*</v>
      </c>
      <c r="E85" s="39" t="str">
        <f>IF(ISBLANK('Autoévaluation client'!F87),"",'Autoévaluation client'!F87)</f>
        <v/>
      </c>
      <c r="F85" s="120"/>
      <c r="G85" s="120"/>
      <c r="H85" s="120"/>
      <c r="I85" s="120"/>
      <c r="J85" s="120"/>
      <c r="K85" s="120"/>
      <c r="L85" s="112"/>
      <c r="M85" s="37">
        <v>0</v>
      </c>
      <c r="N85" s="27"/>
      <c r="O85" s="28">
        <f t="shared" si="12"/>
        <v>0</v>
      </c>
      <c r="P85" s="43">
        <f t="shared" si="13"/>
        <v>0</v>
      </c>
      <c r="Q85" s="36"/>
      <c r="R85" s="36"/>
    </row>
    <row r="86" spans="1:18" x14ac:dyDescent="0.3">
      <c r="A86" s="3" t="str">
        <f>'Autoévaluation client'!A88</f>
        <v>2.1.2.3.d</v>
      </c>
      <c r="B86" s="6" t="str">
        <f>'Autoévaluation client'!C88</f>
        <v>Règlements?</v>
      </c>
      <c r="C86" s="38">
        <f>IF(ISBLANK('Autoévaluation client'!D88),0,1)</f>
        <v>0</v>
      </c>
      <c r="D86" s="165" t="str">
        <f>IF(AND('Autoévaluation client'!D88="",'Autoévaluation client'!E88=""),"*","")</f>
        <v>*</v>
      </c>
      <c r="E86" s="39" t="str">
        <f>IF(ISBLANK('Autoévaluation client'!F88),"",'Autoévaluation client'!F88)</f>
        <v/>
      </c>
      <c r="F86" s="118"/>
      <c r="G86" s="118"/>
      <c r="H86" s="118"/>
      <c r="I86" s="118"/>
      <c r="J86" s="118"/>
      <c r="K86" s="118"/>
      <c r="L86" s="112"/>
      <c r="M86" s="37">
        <v>2</v>
      </c>
      <c r="N86" s="27"/>
      <c r="O86" s="28">
        <f t="shared" si="12"/>
        <v>0</v>
      </c>
      <c r="P86" s="43">
        <f t="shared" si="13"/>
        <v>0</v>
      </c>
      <c r="Q86" s="36"/>
      <c r="R86" s="27"/>
    </row>
    <row r="87" spans="1:18" x14ac:dyDescent="0.3">
      <c r="A87" s="3" t="str">
        <f>'Autoévaluation client'!A89</f>
        <v>2.1.2.3.e</v>
      </c>
      <c r="B87" s="6" t="str">
        <f>'Autoévaluation client'!C89</f>
        <v>Contrats de travail individuels?</v>
      </c>
      <c r="C87" s="38">
        <f>IF(ISBLANK('Autoévaluation client'!D89),0,1)</f>
        <v>0</v>
      </c>
      <c r="D87" s="165" t="str">
        <f>IF(AND('Autoévaluation client'!D89="",'Autoévaluation client'!E89=""),"*","")</f>
        <v>*</v>
      </c>
      <c r="E87" s="39" t="str">
        <f>IF(ISBLANK('Autoévaluation client'!F89),"",'Autoévaluation client'!F89)</f>
        <v/>
      </c>
      <c r="F87" s="120"/>
      <c r="G87" s="120"/>
      <c r="H87" s="120"/>
      <c r="I87" s="120"/>
      <c r="J87" s="120"/>
      <c r="K87" s="120"/>
      <c r="L87" s="112"/>
      <c r="M87" s="37">
        <v>0</v>
      </c>
      <c r="N87" s="27"/>
      <c r="O87" s="28">
        <f t="shared" si="12"/>
        <v>0</v>
      </c>
      <c r="P87" s="43">
        <f t="shared" si="13"/>
        <v>0</v>
      </c>
      <c r="Q87" s="36"/>
      <c r="R87" s="27"/>
    </row>
    <row r="88" spans="1:18" x14ac:dyDescent="0.3">
      <c r="A88" s="3" t="str">
        <f>'Autoévaluation client'!A90</f>
        <v>2.1.2.3.f</v>
      </c>
      <c r="B88" s="6" t="str">
        <f>'Autoévaluation client'!C90</f>
        <v>Contrats de travail collectifs?</v>
      </c>
      <c r="C88" s="38">
        <f>IF(ISBLANK('Autoévaluation client'!D90),0,1)</f>
        <v>0</v>
      </c>
      <c r="D88" s="165" t="str">
        <f>IF(AND('Autoévaluation client'!D90="",'Autoévaluation client'!E90=""),"*","")</f>
        <v>*</v>
      </c>
      <c r="E88" s="39" t="str">
        <f>IF(ISBLANK('Autoévaluation client'!F90),"",'Autoévaluation client'!F90)</f>
        <v/>
      </c>
      <c r="F88" s="118"/>
      <c r="G88" s="118"/>
      <c r="H88" s="118"/>
      <c r="I88" s="118"/>
      <c r="J88" s="118"/>
      <c r="K88" s="118"/>
      <c r="L88" s="112"/>
      <c r="M88" s="37">
        <v>0</v>
      </c>
      <c r="N88" s="27"/>
      <c r="O88" s="28">
        <f t="shared" si="12"/>
        <v>0</v>
      </c>
      <c r="P88" s="43">
        <f t="shared" si="13"/>
        <v>0</v>
      </c>
      <c r="Q88" s="36"/>
      <c r="R88" s="27"/>
    </row>
    <row r="89" spans="1:18" x14ac:dyDescent="0.3">
      <c r="A89" s="3" t="str">
        <f>'Autoévaluation client'!A91</f>
        <v>2.1.2.3.g</v>
      </c>
      <c r="B89" s="6" t="str">
        <f>'Autoévaluation client'!C91</f>
        <v>Contrats d'entreprise?</v>
      </c>
      <c r="C89" s="38">
        <f>IF(ISBLANK('Autoévaluation client'!D91),0,1)</f>
        <v>0</v>
      </c>
      <c r="D89" s="165" t="str">
        <f>IF(AND('Autoévaluation client'!D91="",'Autoévaluation client'!E91=""),"*","")</f>
        <v>*</v>
      </c>
      <c r="E89" s="39" t="str">
        <f>IF(ISBLANK('Autoévaluation client'!F91),"",'Autoévaluation client'!F91)</f>
        <v/>
      </c>
      <c r="F89" s="118"/>
      <c r="G89" s="118"/>
      <c r="H89" s="118"/>
      <c r="I89" s="118"/>
      <c r="J89" s="118"/>
      <c r="K89" s="118"/>
      <c r="L89" s="112"/>
      <c r="M89" s="37">
        <v>1</v>
      </c>
      <c r="N89" s="27"/>
      <c r="O89" s="28">
        <f t="shared" si="12"/>
        <v>0</v>
      </c>
      <c r="P89" s="43">
        <f t="shared" si="13"/>
        <v>0</v>
      </c>
      <c r="Q89" s="36"/>
      <c r="R89" s="27"/>
    </row>
    <row r="90" spans="1:18" x14ac:dyDescent="0.3">
      <c r="A90" s="3" t="str">
        <f>'Autoévaluation client'!A92</f>
        <v>2.1.2.3.h</v>
      </c>
      <c r="B90" s="6" t="str">
        <f>'Autoévaluation client'!C92</f>
        <v>Autres documents d'organisation? Si oui, lesquels?</v>
      </c>
      <c r="C90" s="38">
        <f>IF(ISBLANK('Autoévaluation client'!D92),0,1)</f>
        <v>0</v>
      </c>
      <c r="D90" s="165" t="str">
        <f>IF(AND('Autoévaluation client'!D92="",'Autoévaluation client'!E92=""),"*","")</f>
        <v>*</v>
      </c>
      <c r="E90" s="39" t="str">
        <f>IF(ISBLANK('Autoévaluation client'!F92),"",'Autoévaluation client'!F92)</f>
        <v/>
      </c>
      <c r="F90" s="118"/>
      <c r="G90" s="118"/>
      <c r="H90" s="118"/>
      <c r="I90" s="118"/>
      <c r="J90" s="118"/>
      <c r="K90" s="118"/>
      <c r="L90" s="112"/>
      <c r="M90" s="37">
        <v>0</v>
      </c>
      <c r="N90" s="27"/>
      <c r="O90" s="28">
        <f t="shared" si="12"/>
        <v>0</v>
      </c>
      <c r="P90" s="43">
        <f t="shared" si="13"/>
        <v>0</v>
      </c>
      <c r="Q90" s="36"/>
      <c r="R90" s="27"/>
    </row>
    <row r="91" spans="1:18" x14ac:dyDescent="0.3">
      <c r="A91" s="23" t="str">
        <f>'Autoévaluation client'!A93</f>
        <v>2.1.3.</v>
      </c>
      <c r="B91" s="23" t="str">
        <f>'Autoévaluation client'!C93</f>
        <v>Planification et organisation du travail</v>
      </c>
      <c r="C91" s="21">
        <f>O91/N91</f>
        <v>0</v>
      </c>
      <c r="D91" s="23" t="str">
        <f>IF(ISBLANK('Autoévaluation client'!E93),"",'Autoévaluation client'!E93)</f>
        <v/>
      </c>
      <c r="E91" s="23" t="str">
        <f>IF(ISBLANK('Autoévaluation client'!F93),"",'Autoévaluation client'!F93)</f>
        <v/>
      </c>
      <c r="F91" s="115"/>
      <c r="G91" s="115"/>
      <c r="H91" s="115"/>
      <c r="I91" s="115"/>
      <c r="J91" s="115"/>
      <c r="K91" s="115"/>
      <c r="L91" s="50">
        <f>P91/N91</f>
        <v>0</v>
      </c>
      <c r="M91" s="23">
        <v>2</v>
      </c>
      <c r="N91" s="23">
        <f>SUM(M92:M102)</f>
        <v>17</v>
      </c>
      <c r="O91" s="56">
        <f>SUM(O92:O102)</f>
        <v>0</v>
      </c>
      <c r="P91" s="56">
        <f>SUM(P92:P102)</f>
        <v>0</v>
      </c>
      <c r="Q91" s="52">
        <f>O91/$N91*$M91</f>
        <v>0</v>
      </c>
      <c r="R91" s="52">
        <f>P91/$N91*$M91</f>
        <v>0</v>
      </c>
    </row>
    <row r="92" spans="1:18" ht="39.6" x14ac:dyDescent="0.3">
      <c r="A92" s="3" t="str">
        <f>'Autoévaluation client'!A94</f>
        <v>2.1.3.1.a</v>
      </c>
      <c r="B92" s="6" t="str">
        <f>'Autoévaluation client'!C94</f>
        <v>La planification, le calcul, l'organisation et la préparation des ordres de travail sont-ils effectués par :
Les supérieurs hiérarchiques?</v>
      </c>
      <c r="C92" s="38">
        <f>IF(ISBLANK('Autoévaluation client'!D94),0,1)</f>
        <v>0</v>
      </c>
      <c r="D92" s="165" t="str">
        <f>IF(AND('Autoévaluation client'!D94="",'Autoévaluation client'!E94=""),"*","")</f>
        <v>*</v>
      </c>
      <c r="E92" s="39" t="str">
        <f>IF(ISBLANK('Autoévaluation client'!F94),"",'Autoévaluation client'!F94)</f>
        <v/>
      </c>
      <c r="F92" s="118"/>
      <c r="G92" s="118"/>
      <c r="H92" s="118"/>
      <c r="I92" s="118"/>
      <c r="J92" s="118"/>
      <c r="K92" s="118"/>
      <c r="L92" s="112"/>
      <c r="M92" s="37">
        <v>3</v>
      </c>
      <c r="N92" s="27"/>
      <c r="O92" s="28">
        <f t="shared" ref="O92:O102" si="14">C92*M92</f>
        <v>0</v>
      </c>
      <c r="P92" s="43">
        <f t="shared" ref="P92:P102" si="15">L92*M92</f>
        <v>0</v>
      </c>
      <c r="Q92" s="36"/>
      <c r="R92" s="27"/>
    </row>
    <row r="93" spans="1:18" x14ac:dyDescent="0.3">
      <c r="A93" s="3" t="str">
        <f>'Autoévaluation client'!A95</f>
        <v>2.1.3.1.b</v>
      </c>
      <c r="B93" s="6" t="str">
        <f>'Autoévaluation client'!C95</f>
        <v>Des teams de projet?</v>
      </c>
      <c r="C93" s="38">
        <f>IF(ISBLANK('Autoévaluation client'!D95),0,1)</f>
        <v>0</v>
      </c>
      <c r="D93" s="165" t="str">
        <f>IF(AND('Autoévaluation client'!D95="",'Autoévaluation client'!E95=""),"*","")</f>
        <v>*</v>
      </c>
      <c r="E93" s="39" t="str">
        <f>IF(ISBLANK('Autoévaluation client'!F95),"",'Autoévaluation client'!F95)</f>
        <v/>
      </c>
      <c r="F93" s="118"/>
      <c r="G93" s="118"/>
      <c r="H93" s="118"/>
      <c r="I93" s="118"/>
      <c r="J93" s="118"/>
      <c r="K93" s="118"/>
      <c r="L93" s="112"/>
      <c r="M93" s="37">
        <v>0</v>
      </c>
      <c r="N93" s="27"/>
      <c r="O93" s="28">
        <f t="shared" si="14"/>
        <v>0</v>
      </c>
      <c r="P93" s="43">
        <f t="shared" si="15"/>
        <v>0</v>
      </c>
      <c r="Q93" s="36"/>
      <c r="R93" s="27"/>
    </row>
    <row r="94" spans="1:18" ht="26.4" x14ac:dyDescent="0.3">
      <c r="A94" s="3" t="str">
        <f>'Autoévaluation client'!A96</f>
        <v>2.1.3.1.c</v>
      </c>
      <c r="B94" s="6" t="str">
        <f>'Autoévaluation client'!C96</f>
        <v>D’une unité organisationnelle spéciale (AVOR / Préparation du travail)?</v>
      </c>
      <c r="C94" s="38">
        <f>IF(ISBLANK('Autoévaluation client'!D96),0,1)</f>
        <v>0</v>
      </c>
      <c r="D94" s="165" t="str">
        <f>IF(AND('Autoévaluation client'!D96="",'Autoévaluation client'!E96=""),"*","")</f>
        <v>*</v>
      </c>
      <c r="E94" s="39" t="str">
        <f>IF(ISBLANK('Autoévaluation client'!F96),"",'Autoévaluation client'!F96)</f>
        <v/>
      </c>
      <c r="F94" s="118"/>
      <c r="G94" s="118"/>
      <c r="H94" s="118"/>
      <c r="I94" s="118"/>
      <c r="J94" s="118"/>
      <c r="K94" s="118"/>
      <c r="L94" s="112"/>
      <c r="M94" s="37">
        <v>0</v>
      </c>
      <c r="N94" s="27"/>
      <c r="O94" s="28">
        <f t="shared" si="14"/>
        <v>0</v>
      </c>
      <c r="P94" s="43">
        <f t="shared" si="15"/>
        <v>0</v>
      </c>
      <c r="Q94" s="36"/>
      <c r="R94" s="27"/>
    </row>
    <row r="95" spans="1:18" ht="26.4" x14ac:dyDescent="0.3">
      <c r="A95" s="3" t="str">
        <f>'Autoévaluation client'!A97</f>
        <v>2.1.3.1.d</v>
      </c>
      <c r="B95" s="6" t="str">
        <f>'Autoévaluation client'!C97</f>
        <v>Autres organes/personnes? Si oui,  quels organes/personnes?</v>
      </c>
      <c r="C95" s="38">
        <f>IF(ISBLANK('Autoévaluation client'!D97),0,1)</f>
        <v>0</v>
      </c>
      <c r="D95" s="165" t="str">
        <f>IF(AND('Autoévaluation client'!D97="",'Autoévaluation client'!E97=""),"*","")</f>
        <v>*</v>
      </c>
      <c r="E95" s="39" t="str">
        <f>IF(ISBLANK('Autoévaluation client'!F97),"",'Autoévaluation client'!F97)</f>
        <v/>
      </c>
      <c r="F95" s="118"/>
      <c r="G95" s="118"/>
      <c r="H95" s="118"/>
      <c r="I95" s="118"/>
      <c r="J95" s="118"/>
      <c r="K95" s="118"/>
      <c r="L95" s="112"/>
      <c r="M95" s="37">
        <v>0</v>
      </c>
      <c r="N95" s="27"/>
      <c r="O95" s="28">
        <f t="shared" si="14"/>
        <v>0</v>
      </c>
      <c r="P95" s="43">
        <f t="shared" si="15"/>
        <v>0</v>
      </c>
      <c r="Q95" s="36"/>
      <c r="R95" s="27"/>
    </row>
    <row r="96" spans="1:18" ht="52.8" x14ac:dyDescent="0.3">
      <c r="A96" s="3" t="str">
        <f>'Autoévaluation client'!A98</f>
        <v>2.1.3.2.</v>
      </c>
      <c r="B96" s="6" t="str">
        <f>'Autoévaluation client'!C98</f>
        <v>Des aspects de la sécurité au travail et de la protection de la santé sont-ils pris en considération au cours des phases de la planification, de l'organisation et de la préparation du travail?</v>
      </c>
      <c r="C96" s="38">
        <f>IF(ISBLANK('Autoévaluation client'!D98),0,1)</f>
        <v>0</v>
      </c>
      <c r="D96" s="165" t="str">
        <f>IF(AND('Autoévaluation client'!D98="",'Autoévaluation client'!E98=""),"*","")</f>
        <v>*</v>
      </c>
      <c r="E96" s="39" t="str">
        <f>IF(ISBLANK('Autoévaluation client'!F98),"",'Autoévaluation client'!F98)</f>
        <v/>
      </c>
      <c r="F96" s="120"/>
      <c r="G96" s="120"/>
      <c r="H96" s="120"/>
      <c r="I96" s="120"/>
      <c r="J96" s="120"/>
      <c r="K96" s="120"/>
      <c r="L96" s="112"/>
      <c r="M96" s="37">
        <v>5</v>
      </c>
      <c r="N96" s="27"/>
      <c r="O96" s="28">
        <f t="shared" si="14"/>
        <v>0</v>
      </c>
      <c r="P96" s="43">
        <f t="shared" si="15"/>
        <v>0</v>
      </c>
      <c r="Q96" s="36"/>
      <c r="R96" s="27"/>
    </row>
    <row r="97" spans="1:18" ht="26.4" x14ac:dyDescent="0.3">
      <c r="A97" s="3" t="str">
        <f>'Autoévaluation client'!A99</f>
        <v>2.1.3.3.</v>
      </c>
      <c r="B97" s="6" t="str">
        <f>'Autoévaluation client'!C99</f>
        <v>Existe-t-il une séparation stricte entre la planification, l'organisation, la préparation et l'exécution des travaux?</v>
      </c>
      <c r="C97" s="38">
        <f>IF(ISBLANK('Autoévaluation client'!D99),0,1)</f>
        <v>0</v>
      </c>
      <c r="D97" s="165" t="str">
        <f>IF(AND('Autoévaluation client'!D99="",'Autoévaluation client'!E99=""),"*","")</f>
        <v>*</v>
      </c>
      <c r="E97" s="39" t="str">
        <f>IF(ISBLANK('Autoévaluation client'!F99),"",'Autoévaluation client'!F99)</f>
        <v/>
      </c>
      <c r="F97" s="118"/>
      <c r="G97" s="118"/>
      <c r="H97" s="118"/>
      <c r="I97" s="118"/>
      <c r="J97" s="118"/>
      <c r="K97" s="118"/>
      <c r="L97" s="112"/>
      <c r="M97" s="37">
        <v>0</v>
      </c>
      <c r="N97" s="27"/>
      <c r="O97" s="28">
        <f t="shared" si="14"/>
        <v>0</v>
      </c>
      <c r="P97" s="43">
        <f t="shared" si="15"/>
        <v>0</v>
      </c>
      <c r="Q97" s="36"/>
      <c r="R97" s="27"/>
    </row>
    <row r="98" spans="1:18" ht="26.4" x14ac:dyDescent="0.3">
      <c r="A98" s="3" t="str">
        <f>'Autoévaluation client'!A100</f>
        <v>2.1.3.4.</v>
      </c>
      <c r="B98" s="6" t="str">
        <f>'Autoévaluation client'!C100</f>
        <v>Le niveau opérationnel est impliqué dans la préparation au travail?</v>
      </c>
      <c r="C98" s="38">
        <f>IF(ISBLANK('Autoévaluation client'!D100),0,1)</f>
        <v>0</v>
      </c>
      <c r="D98" s="165" t="str">
        <f>IF(AND('Autoévaluation client'!D100="",'Autoévaluation client'!E100=""),"*","")</f>
        <v>*</v>
      </c>
      <c r="E98" s="39" t="str">
        <f>IF(ISBLANK('Autoévaluation client'!F100),"",'Autoévaluation client'!F100)</f>
        <v/>
      </c>
      <c r="F98" s="118"/>
      <c r="G98" s="118"/>
      <c r="H98" s="118"/>
      <c r="I98" s="118"/>
      <c r="J98" s="118"/>
      <c r="K98" s="118"/>
      <c r="L98" s="112"/>
      <c r="M98" s="37">
        <v>0</v>
      </c>
      <c r="N98" s="27"/>
      <c r="O98" s="28">
        <f t="shared" si="14"/>
        <v>0</v>
      </c>
      <c r="P98" s="43">
        <f t="shared" si="15"/>
        <v>0</v>
      </c>
      <c r="Q98" s="36"/>
      <c r="R98" s="27"/>
    </row>
    <row r="99" spans="1:18" x14ac:dyDescent="0.3">
      <c r="A99" s="3" t="str">
        <f>'Autoévaluation client'!A101</f>
        <v>2.1.3.5.</v>
      </c>
      <c r="B99" s="6" t="str">
        <f>'Autoévaluation client'!C101</f>
        <v>Le travail à exécuter est-il expliqué et discuté?</v>
      </c>
      <c r="C99" s="38">
        <f>IF(ISBLANK('Autoévaluation client'!D101),0,1)</f>
        <v>0</v>
      </c>
      <c r="D99" s="165" t="str">
        <f>IF(AND('Autoévaluation client'!D101="",'Autoévaluation client'!E101=""),"*","")</f>
        <v>*</v>
      </c>
      <c r="E99" s="39" t="str">
        <f>IF(ISBLANK('Autoévaluation client'!F101),"",'Autoévaluation client'!F101)</f>
        <v/>
      </c>
      <c r="F99" s="118"/>
      <c r="G99" s="118"/>
      <c r="H99" s="118"/>
      <c r="I99" s="118"/>
      <c r="J99" s="118"/>
      <c r="K99" s="118"/>
      <c r="L99" s="112"/>
      <c r="M99" s="37">
        <v>3</v>
      </c>
      <c r="N99" s="27"/>
      <c r="O99" s="28">
        <f t="shared" si="14"/>
        <v>0</v>
      </c>
      <c r="P99" s="43">
        <f t="shared" si="15"/>
        <v>0</v>
      </c>
      <c r="Q99" s="36"/>
      <c r="R99" s="27"/>
    </row>
    <row r="100" spans="1:18" ht="26.4" x14ac:dyDescent="0.3">
      <c r="A100" s="3" t="str">
        <f>'Autoévaluation client'!A102</f>
        <v>2.1.3.6.</v>
      </c>
      <c r="B100" s="6" t="str">
        <f>'Autoévaluation client'!C102</f>
        <v>La sécurité et la protection de la santé sont-elles intégrées dans le travail à exécuter?</v>
      </c>
      <c r="C100" s="38">
        <f>IF(ISBLANK('Autoévaluation client'!D102),0,1)</f>
        <v>0</v>
      </c>
      <c r="D100" s="165" t="str">
        <f>IF(AND('Autoévaluation client'!D102="",'Autoévaluation client'!E102=""),"*","")</f>
        <v>*</v>
      </c>
      <c r="E100" s="39" t="str">
        <f>IF(ISBLANK('Autoévaluation client'!F102),"",'Autoévaluation client'!F102)</f>
        <v/>
      </c>
      <c r="F100" s="118"/>
      <c r="G100" s="118"/>
      <c r="H100" s="118"/>
      <c r="I100" s="118"/>
      <c r="J100" s="118"/>
      <c r="K100" s="118"/>
      <c r="L100" s="112"/>
      <c r="M100" s="37">
        <v>3</v>
      </c>
      <c r="N100" s="27"/>
      <c r="O100" s="28">
        <f t="shared" si="14"/>
        <v>0</v>
      </c>
      <c r="P100" s="43">
        <f t="shared" si="15"/>
        <v>0</v>
      </c>
      <c r="Q100" s="36"/>
      <c r="R100" s="27"/>
    </row>
    <row r="101" spans="1:18" ht="26.4" x14ac:dyDescent="0.3">
      <c r="A101" s="3" t="str">
        <f>'Autoévaluation client'!A103</f>
        <v>2.1.3.7.</v>
      </c>
      <c r="B101" s="6" t="str">
        <f>'Autoévaluation client'!C103</f>
        <v>Les ordres de travail sont-ils donnés et documentés sous forme écrite ?</v>
      </c>
      <c r="C101" s="38">
        <f>IF(ISBLANK('Autoévaluation client'!D103),0,1)</f>
        <v>0</v>
      </c>
      <c r="D101" s="165" t="str">
        <f>IF(AND('Autoévaluation client'!D103="",'Autoévaluation client'!E103=""),"*","")</f>
        <v>*</v>
      </c>
      <c r="E101" s="39" t="str">
        <f>IF(ISBLANK('Autoévaluation client'!F103),"",'Autoévaluation client'!F103)</f>
        <v/>
      </c>
      <c r="F101" s="118"/>
      <c r="G101" s="118"/>
      <c r="H101" s="118"/>
      <c r="I101" s="118"/>
      <c r="J101" s="118"/>
      <c r="K101" s="118"/>
      <c r="L101" s="112"/>
      <c r="M101" s="37">
        <v>2</v>
      </c>
      <c r="N101" s="27"/>
      <c r="O101" s="28">
        <f t="shared" si="14"/>
        <v>0</v>
      </c>
      <c r="P101" s="43">
        <f t="shared" si="15"/>
        <v>0</v>
      </c>
      <c r="Q101" s="36"/>
      <c r="R101" s="27"/>
    </row>
    <row r="102" spans="1:18" ht="26.4" x14ac:dyDescent="0.3">
      <c r="A102" s="3" t="str">
        <f>'Autoévaluation client'!A104</f>
        <v>2.1.3.8.</v>
      </c>
      <c r="B102" s="6" t="str">
        <f>'Autoévaluation client'!C104</f>
        <v>Les instructions de travail écrites font-elles référence à des mesures de sécurité et de protection de la santé?</v>
      </c>
      <c r="C102" s="38">
        <f>IF(ISBLANK('Autoévaluation client'!D104),0,1)</f>
        <v>0</v>
      </c>
      <c r="D102" s="165" t="str">
        <f>IF(AND('Autoévaluation client'!D104="",'Autoévaluation client'!E104=""),"*","")</f>
        <v>*</v>
      </c>
      <c r="E102" s="39" t="str">
        <f>IF(ISBLANK('Autoévaluation client'!F104),"",'Autoévaluation client'!F104)</f>
        <v/>
      </c>
      <c r="F102" s="118"/>
      <c r="G102" s="118"/>
      <c r="H102" s="118"/>
      <c r="I102" s="118"/>
      <c r="J102" s="118"/>
      <c r="K102" s="118"/>
      <c r="L102" s="112"/>
      <c r="M102" s="37">
        <v>1</v>
      </c>
      <c r="N102" s="27"/>
      <c r="O102" s="28">
        <f t="shared" si="14"/>
        <v>0</v>
      </c>
      <c r="P102" s="43">
        <f t="shared" si="15"/>
        <v>0</v>
      </c>
      <c r="Q102" s="36"/>
      <c r="R102" s="27"/>
    </row>
    <row r="103" spans="1:18" x14ac:dyDescent="0.3">
      <c r="A103" s="23" t="str">
        <f>'Autoévaluation client'!A105</f>
        <v>2.1.4.</v>
      </c>
      <c r="B103" s="23" t="str">
        <f>'Autoévaluation client'!C105</f>
        <v>Règlement d'entreprise</v>
      </c>
      <c r="C103" s="21">
        <f>O103/N103</f>
        <v>0</v>
      </c>
      <c r="D103" s="23" t="str">
        <f>IF(ISBLANK('Autoévaluation client'!E105),"",'Autoévaluation client'!E105)</f>
        <v/>
      </c>
      <c r="E103" s="23" t="str">
        <f>IF(ISBLANK('Autoévaluation client'!F105),"",'Autoévaluation client'!F105)</f>
        <v/>
      </c>
      <c r="F103" s="115"/>
      <c r="G103" s="115"/>
      <c r="H103" s="115"/>
      <c r="I103" s="115"/>
      <c r="J103" s="115"/>
      <c r="K103" s="115"/>
      <c r="L103" s="50">
        <f>P103/N103</f>
        <v>0</v>
      </c>
      <c r="M103" s="23">
        <v>1</v>
      </c>
      <c r="N103" s="41">
        <f>MAX(M104:M105)</f>
        <v>1</v>
      </c>
      <c r="O103" s="55">
        <f>MAX(O104:O105)</f>
        <v>0</v>
      </c>
      <c r="P103" s="55">
        <f>MAX(P104:P105)</f>
        <v>0</v>
      </c>
      <c r="Q103" s="52">
        <f>O103/N103*M103</f>
        <v>0</v>
      </c>
      <c r="R103" s="52">
        <f>P103/N103*$M103</f>
        <v>0</v>
      </c>
    </row>
    <row r="104" spans="1:18" ht="26.4" x14ac:dyDescent="0.3">
      <c r="A104" s="3" t="str">
        <f>'Autoévaluation client'!A106</f>
        <v>2.1.4.1.</v>
      </c>
      <c r="B104" s="6" t="str">
        <f>'Autoévaluation client'!C106</f>
        <v>Votre entreprise dispose-t-elle d'un règlement d'entreprise obligatoire conformément à la loi sur le travail?</v>
      </c>
      <c r="C104" s="38">
        <f>IF(ISBLANK('Autoévaluation client'!D106),0,1)</f>
        <v>0</v>
      </c>
      <c r="D104" s="165" t="str">
        <f>IF(AND('Autoévaluation client'!D106="",'Autoévaluation client'!E106=""),"*","")</f>
        <v>*</v>
      </c>
      <c r="E104" s="39" t="str">
        <f>IF(ISBLANK('Autoévaluation client'!F106),"",'Autoévaluation client'!F106)</f>
        <v/>
      </c>
      <c r="F104" s="118"/>
      <c r="G104" s="118"/>
      <c r="H104" s="118"/>
      <c r="I104" s="118"/>
      <c r="J104" s="118"/>
      <c r="K104" s="118"/>
      <c r="L104" s="112"/>
      <c r="M104" s="37">
        <v>1</v>
      </c>
      <c r="N104" s="27"/>
      <c r="O104" s="28">
        <f>C104*M104</f>
        <v>0</v>
      </c>
      <c r="P104" s="43">
        <f t="shared" ref="P104:P105" si="16">L104*M104</f>
        <v>0</v>
      </c>
      <c r="Q104" s="36"/>
      <c r="R104" s="27"/>
    </row>
    <row r="105" spans="1:18" ht="52.8" x14ac:dyDescent="0.3">
      <c r="A105" s="3" t="str">
        <f>'Autoévaluation client'!A107</f>
        <v>2.1.4.2.</v>
      </c>
      <c r="B105" s="6" t="str">
        <f>'Autoévaluation client'!C107</f>
        <v>Votre entreprise dispose-t-elle d'un règlement d'entreprise volontaire?
Si oui, quel est le contenu du texte concernant la sécurité et la promotion de la santé des collaborateurs?</v>
      </c>
      <c r="C105" s="38">
        <f>IF(ISBLANK('Autoévaluation client'!D107),0,1)</f>
        <v>0</v>
      </c>
      <c r="D105" s="165" t="str">
        <f>IF(AND('Autoévaluation client'!D107="",'Autoévaluation client'!E107=""),"*","")</f>
        <v>*</v>
      </c>
      <c r="E105" s="39" t="str">
        <f>IF(ISBLANK('Autoévaluation client'!F107),"",'Autoévaluation client'!F107)</f>
        <v/>
      </c>
      <c r="F105" s="120"/>
      <c r="G105" s="120"/>
      <c r="H105" s="120"/>
      <c r="I105" s="120"/>
      <c r="J105" s="120"/>
      <c r="K105" s="120"/>
      <c r="L105" s="112"/>
      <c r="M105" s="37">
        <v>1</v>
      </c>
      <c r="N105" s="27"/>
      <c r="O105" s="28">
        <f>C105*M105</f>
        <v>0</v>
      </c>
      <c r="P105" s="43">
        <f t="shared" si="16"/>
        <v>0</v>
      </c>
      <c r="Q105" s="36"/>
      <c r="R105" s="36"/>
    </row>
    <row r="106" spans="1:18" x14ac:dyDescent="0.3">
      <c r="A106" s="19" t="str">
        <f>'Autoévaluation client'!A108</f>
        <v>2.2</v>
      </c>
      <c r="B106" s="20" t="str">
        <f>'Autoévaluation client'!B108</f>
        <v>Organisation de la sécurité</v>
      </c>
      <c r="C106" s="21">
        <f>O106/N106</f>
        <v>0</v>
      </c>
      <c r="D106" s="23" t="str">
        <f>IF(ISBLANK('Autoévaluation client'!E108),"",'Autoévaluation client'!E108)</f>
        <v/>
      </c>
      <c r="E106" s="23" t="str">
        <f>IF(ISBLANK('Autoévaluation client'!F108),"",'Autoévaluation client'!F108)</f>
        <v/>
      </c>
      <c r="F106" s="115"/>
      <c r="G106" s="115"/>
      <c r="H106" s="115"/>
      <c r="I106" s="115"/>
      <c r="J106" s="115"/>
      <c r="K106" s="115"/>
      <c r="L106" s="50">
        <f>P106/N106</f>
        <v>0</v>
      </c>
      <c r="M106" s="23">
        <v>3</v>
      </c>
      <c r="N106" s="22">
        <f>SUM(M107,M119,M123)</f>
        <v>8</v>
      </c>
      <c r="O106" s="24">
        <f>SUM(Q107,Q119,Q123)</f>
        <v>0</v>
      </c>
      <c r="P106" s="24">
        <f>SUM(R107,R119,R123)</f>
        <v>0</v>
      </c>
      <c r="Q106" s="52">
        <f>O106/$N106*$M106</f>
        <v>0</v>
      </c>
      <c r="R106" s="52">
        <f>P106/$N106*$M106</f>
        <v>0</v>
      </c>
    </row>
    <row r="107" spans="1:18" x14ac:dyDescent="0.3">
      <c r="A107" s="23" t="str">
        <f>'Autoévaluation client'!A109</f>
        <v>2.2.1.</v>
      </c>
      <c r="B107" s="23" t="str">
        <f>'Autoévaluation client'!C109</f>
        <v>Structure de l'organisation</v>
      </c>
      <c r="C107" s="21">
        <f>O107/N107</f>
        <v>0</v>
      </c>
      <c r="D107" s="23" t="str">
        <f>IF(ISBLANK('Autoévaluation client'!E109),"",'Autoévaluation client'!E109)</f>
        <v/>
      </c>
      <c r="E107" s="23" t="str">
        <f>IF(ISBLANK('Autoévaluation client'!F109),"",'Autoévaluation client'!F109)</f>
        <v/>
      </c>
      <c r="F107" s="115"/>
      <c r="G107" s="115"/>
      <c r="H107" s="115"/>
      <c r="I107" s="115"/>
      <c r="J107" s="115"/>
      <c r="K107" s="115"/>
      <c r="L107" s="50">
        <f>P107/N107</f>
        <v>0</v>
      </c>
      <c r="M107" s="23">
        <v>2</v>
      </c>
      <c r="N107" s="41">
        <f>SUM(M108:M112,MAX(M113:M114),M115:M118)</f>
        <v>22</v>
      </c>
      <c r="O107" s="55">
        <f>SUM(O108:O112,MAX(O113:O114),O115:O118)</f>
        <v>0</v>
      </c>
      <c r="P107" s="55">
        <f>SUM(P108:P112,MAX(P113:P114),P115:P118)</f>
        <v>0</v>
      </c>
      <c r="Q107" s="52">
        <f>O107/N107*M107</f>
        <v>0</v>
      </c>
      <c r="R107" s="52">
        <f>P107/N107*$M107</f>
        <v>0</v>
      </c>
    </row>
    <row r="108" spans="1:18" ht="26.4" x14ac:dyDescent="0.3">
      <c r="A108" s="3" t="str">
        <f>'Autoévaluation client'!A110</f>
        <v>2.2.1.1.</v>
      </c>
      <c r="B108" s="6" t="str">
        <f>'Autoévaluation client'!C110</f>
        <v>Un membre de la direction est-il chargé de la sécurité au travail et de la protection de la santé?</v>
      </c>
      <c r="C108" s="38">
        <f>IF(ISBLANK('Autoévaluation client'!D110),0,1)</f>
        <v>0</v>
      </c>
      <c r="D108" s="165" t="str">
        <f>IF(AND('Autoévaluation client'!D110="",'Autoévaluation client'!E110=""),"*","")</f>
        <v>*</v>
      </c>
      <c r="E108" s="39" t="str">
        <f>IF(ISBLANK('Autoévaluation client'!F110),"",'Autoévaluation client'!F110)</f>
        <v/>
      </c>
      <c r="F108" s="120"/>
      <c r="G108" s="120"/>
      <c r="H108" s="120"/>
      <c r="I108" s="120"/>
      <c r="J108" s="120"/>
      <c r="K108" s="120"/>
      <c r="L108" s="112"/>
      <c r="M108" s="37">
        <v>3</v>
      </c>
      <c r="N108" s="27"/>
      <c r="O108" s="28">
        <f t="shared" ref="O108:O118" si="17">C108*M108</f>
        <v>0</v>
      </c>
      <c r="P108" s="43">
        <f t="shared" ref="P108:P118" si="18">L108*M108</f>
        <v>0</v>
      </c>
      <c r="Q108" s="36"/>
      <c r="R108" s="27"/>
    </row>
    <row r="109" spans="1:18" ht="26.4" x14ac:dyDescent="0.3">
      <c r="A109" s="3" t="str">
        <f>'Autoévaluation client'!A111</f>
        <v>2.2.1.2.</v>
      </c>
      <c r="B109" s="6" t="str">
        <f>'Autoévaluation client'!C111</f>
        <v>Disposez-vous dans votre entreprise d'une organisation de sécurité directement subordonnée à la direction?</v>
      </c>
      <c r="C109" s="38">
        <f>IF(ISBLANK('Autoévaluation client'!D111),0,1)</f>
        <v>0</v>
      </c>
      <c r="D109" s="165" t="str">
        <f>IF(AND('Autoévaluation client'!D111="",'Autoévaluation client'!E111=""),"*","")</f>
        <v>*</v>
      </c>
      <c r="E109" s="39" t="str">
        <f>IF(ISBLANK('Autoévaluation client'!F111),"",'Autoévaluation client'!F111)</f>
        <v/>
      </c>
      <c r="F109" s="120"/>
      <c r="G109" s="120"/>
      <c r="H109" s="120"/>
      <c r="I109" s="120"/>
      <c r="J109" s="120"/>
      <c r="K109" s="120"/>
      <c r="L109" s="112"/>
      <c r="M109" s="37">
        <v>3</v>
      </c>
      <c r="N109" s="27"/>
      <c r="O109" s="28">
        <f t="shared" si="17"/>
        <v>0</v>
      </c>
      <c r="P109" s="43">
        <f t="shared" si="18"/>
        <v>0</v>
      </c>
      <c r="Q109" s="36"/>
      <c r="R109" s="27"/>
    </row>
    <row r="110" spans="1:18" ht="26.4" x14ac:dyDescent="0.3">
      <c r="A110" s="3" t="str">
        <f>'Autoévaluation client'!A112</f>
        <v>2.2.1.3.</v>
      </c>
      <c r="B110" s="6" t="str">
        <f>'Autoévaluation client'!C112</f>
        <v>Cette organisation de sécurité figure-t-elle dans un organigramme?</v>
      </c>
      <c r="C110" s="38">
        <f>IF(ISBLANK('Autoévaluation client'!D112),0,1)</f>
        <v>0</v>
      </c>
      <c r="D110" s="165" t="str">
        <f>IF(AND('Autoévaluation client'!D112="",'Autoévaluation client'!E112=""),"*","")</f>
        <v>*</v>
      </c>
      <c r="E110" s="39" t="str">
        <f>IF(ISBLANK('Autoévaluation client'!F112),"",'Autoévaluation client'!F112)</f>
        <v/>
      </c>
      <c r="F110" s="120"/>
      <c r="G110" s="120"/>
      <c r="H110" s="120"/>
      <c r="I110" s="120"/>
      <c r="J110" s="120"/>
      <c r="K110" s="120"/>
      <c r="L110" s="112"/>
      <c r="M110" s="37">
        <v>2</v>
      </c>
      <c r="N110" s="27"/>
      <c r="O110" s="28">
        <f t="shared" si="17"/>
        <v>0</v>
      </c>
      <c r="P110" s="43">
        <f t="shared" si="18"/>
        <v>0</v>
      </c>
      <c r="Q110" s="36"/>
      <c r="R110" s="27"/>
    </row>
    <row r="111" spans="1:18" ht="39.6" x14ac:dyDescent="0.3">
      <c r="A111" s="3" t="str">
        <f>'Autoévaluation client'!A113</f>
        <v>2.2.1.4.a</v>
      </c>
      <c r="B111" s="6" t="str">
        <f>'Autoévaluation client'!C113</f>
        <v>Votre entreprise fait-elle appel à des experts externes tels que:
des médecins du travail?</v>
      </c>
      <c r="C111" s="38">
        <f>IF(ISBLANK('Autoévaluation client'!D113),0,1)</f>
        <v>0</v>
      </c>
      <c r="D111" s="165" t="str">
        <f>IF(AND('Autoévaluation client'!D113="",'Autoévaluation client'!E113=""),"*","")</f>
        <v>*</v>
      </c>
      <c r="E111" s="39" t="str">
        <f>IF(ISBLANK('Autoévaluation client'!F113),"",'Autoévaluation client'!F113)</f>
        <v/>
      </c>
      <c r="F111" s="118"/>
      <c r="G111" s="118"/>
      <c r="H111" s="118"/>
      <c r="I111" s="118"/>
      <c r="J111" s="118"/>
      <c r="K111" s="118"/>
      <c r="L111" s="112"/>
      <c r="M111" s="37">
        <v>0</v>
      </c>
      <c r="N111" s="27"/>
      <c r="O111" s="28">
        <f t="shared" si="17"/>
        <v>0</v>
      </c>
      <c r="P111" s="43">
        <f t="shared" si="18"/>
        <v>0</v>
      </c>
      <c r="Q111" s="36"/>
      <c r="R111" s="27"/>
    </row>
    <row r="112" spans="1:18" x14ac:dyDescent="0.3">
      <c r="A112" s="3" t="str">
        <f>'Autoévaluation client'!A114</f>
        <v>2.2.1.4.b</v>
      </c>
      <c r="B112" s="6" t="str">
        <f>'Autoévaluation client'!C114</f>
        <v>des hygiénistes du travail?</v>
      </c>
      <c r="C112" s="38">
        <f>IF(ISBLANK('Autoévaluation client'!D114),0,1)</f>
        <v>0</v>
      </c>
      <c r="D112" s="165" t="str">
        <f>IF(AND('Autoévaluation client'!D114="",'Autoévaluation client'!E114=""),"*","")</f>
        <v>*</v>
      </c>
      <c r="E112" s="39" t="str">
        <f>IF(ISBLANK('Autoévaluation client'!F114),"",'Autoévaluation client'!F114)</f>
        <v/>
      </c>
      <c r="F112" s="120"/>
      <c r="G112" s="120"/>
      <c r="H112" s="120"/>
      <c r="I112" s="120"/>
      <c r="J112" s="120"/>
      <c r="K112" s="120"/>
      <c r="L112" s="112"/>
      <c r="M112" s="37">
        <v>0</v>
      </c>
      <c r="N112" s="27"/>
      <c r="O112" s="28">
        <f t="shared" si="17"/>
        <v>0</v>
      </c>
      <c r="P112" s="43">
        <f t="shared" si="18"/>
        <v>0</v>
      </c>
      <c r="Q112" s="36"/>
      <c r="R112" s="27"/>
    </row>
    <row r="113" spans="1:18" x14ac:dyDescent="0.3">
      <c r="A113" s="3" t="str">
        <f>'Autoévaluation client'!A115</f>
        <v>2.2.1.4.c</v>
      </c>
      <c r="B113" s="6" t="str">
        <f>'Autoévaluation client'!C115</f>
        <v>des ingénieurs de la sécurité?</v>
      </c>
      <c r="C113" s="38">
        <f>IF(ISBLANK('Autoévaluation client'!D115),0,1)</f>
        <v>0</v>
      </c>
      <c r="D113" s="165" t="str">
        <f>IF(AND('Autoévaluation client'!D115="",'Autoévaluation client'!E115=""),"*","")</f>
        <v>*</v>
      </c>
      <c r="E113" s="39" t="str">
        <f>IF(ISBLANK('Autoévaluation client'!F115),"",'Autoévaluation client'!F115)</f>
        <v/>
      </c>
      <c r="F113" s="120"/>
      <c r="G113" s="120"/>
      <c r="H113" s="120"/>
      <c r="I113" s="120"/>
      <c r="J113" s="120"/>
      <c r="K113" s="120"/>
      <c r="L113" s="112"/>
      <c r="M113" s="37">
        <v>2</v>
      </c>
      <c r="N113" s="27"/>
      <c r="O113" s="28">
        <f t="shared" si="17"/>
        <v>0</v>
      </c>
      <c r="P113" s="43">
        <f t="shared" si="18"/>
        <v>0</v>
      </c>
      <c r="Q113" s="36"/>
      <c r="R113" s="27"/>
    </row>
    <row r="114" spans="1:18" x14ac:dyDescent="0.3">
      <c r="A114" s="3" t="str">
        <f>'Autoévaluation client'!A116</f>
        <v>2.2.1.4.d</v>
      </c>
      <c r="B114" s="6" t="str">
        <f>'Autoévaluation client'!C116</f>
        <v>des experts en sécurité?</v>
      </c>
      <c r="C114" s="38">
        <f>IF(ISBLANK('Autoévaluation client'!D116),0,1)</f>
        <v>0</v>
      </c>
      <c r="D114" s="165" t="str">
        <f>IF(AND('Autoévaluation client'!D116="",'Autoévaluation client'!E116=""),"*","")</f>
        <v>*</v>
      </c>
      <c r="E114" s="39" t="str">
        <f>IF(ISBLANK('Autoévaluation client'!F116),"",'Autoévaluation client'!F116)</f>
        <v/>
      </c>
      <c r="F114" s="120"/>
      <c r="G114" s="120"/>
      <c r="H114" s="120"/>
      <c r="I114" s="120"/>
      <c r="J114" s="120"/>
      <c r="K114" s="120"/>
      <c r="L114" s="112"/>
      <c r="M114" s="37">
        <v>2</v>
      </c>
      <c r="N114" s="27"/>
      <c r="O114" s="28">
        <f t="shared" si="17"/>
        <v>0</v>
      </c>
      <c r="P114" s="43">
        <f t="shared" si="18"/>
        <v>0</v>
      </c>
      <c r="Q114" s="36"/>
      <c r="R114" s="27"/>
    </row>
    <row r="115" spans="1:18" x14ac:dyDescent="0.3">
      <c r="A115" s="3" t="str">
        <f>'Autoévaluation client'!A117</f>
        <v>2.2.1.4.e</v>
      </c>
      <c r="B115" s="6" t="str">
        <f>'Autoévaluation client'!C117</f>
        <v>d'autres spécialistes? Si oui, lesquels?</v>
      </c>
      <c r="C115" s="38">
        <f>IF(ISBLANK('Autoévaluation client'!D117),0,1)</f>
        <v>0</v>
      </c>
      <c r="D115" s="165" t="str">
        <f>IF(AND('Autoévaluation client'!D117="",'Autoévaluation client'!E117=""),"*","")</f>
        <v>*</v>
      </c>
      <c r="E115" s="39" t="str">
        <f>IF(ISBLANK('Autoévaluation client'!F117),"",'Autoévaluation client'!F117)</f>
        <v/>
      </c>
      <c r="F115" s="118"/>
      <c r="G115" s="118"/>
      <c r="H115" s="118"/>
      <c r="I115" s="118"/>
      <c r="J115" s="118"/>
      <c r="K115" s="118"/>
      <c r="L115" s="112"/>
      <c r="M115" s="37">
        <v>0</v>
      </c>
      <c r="N115" s="27"/>
      <c r="O115" s="28">
        <f t="shared" si="17"/>
        <v>0</v>
      </c>
      <c r="P115" s="43">
        <f t="shared" si="18"/>
        <v>0</v>
      </c>
      <c r="Q115" s="36"/>
      <c r="R115" s="27"/>
    </row>
    <row r="116" spans="1:18" ht="39.6" x14ac:dyDescent="0.3">
      <c r="A116" s="3" t="str">
        <f>'Autoévaluation client'!A118</f>
        <v>2.2.1.5.</v>
      </c>
      <c r="B116" s="6" t="str">
        <f>'Autoévaluation client'!C118</f>
        <v>Les tâches, obligations et droits des divers organes contribuant à l'organisation de la sécurité sont-ils établis par écrit?</v>
      </c>
      <c r="C116" s="38">
        <f>IF(ISBLANK('Autoévaluation client'!D118),0,1)</f>
        <v>0</v>
      </c>
      <c r="D116" s="165" t="str">
        <f>IF(AND('Autoévaluation client'!D118="",'Autoévaluation client'!E118=""),"*","")</f>
        <v>*</v>
      </c>
      <c r="E116" s="39" t="str">
        <f>IF(ISBLANK('Autoévaluation client'!F118),"",'Autoévaluation client'!F118)</f>
        <v/>
      </c>
      <c r="F116" s="118"/>
      <c r="G116" s="118"/>
      <c r="H116" s="118"/>
      <c r="I116" s="118"/>
      <c r="J116" s="118"/>
      <c r="K116" s="118"/>
      <c r="L116" s="112"/>
      <c r="M116" s="37">
        <v>4</v>
      </c>
      <c r="N116" s="27"/>
      <c r="O116" s="28">
        <f t="shared" si="17"/>
        <v>0</v>
      </c>
      <c r="P116" s="43">
        <f t="shared" si="18"/>
        <v>0</v>
      </c>
      <c r="Q116" s="36"/>
      <c r="R116" s="27"/>
    </row>
    <row r="117" spans="1:18" ht="26.4" x14ac:dyDescent="0.3">
      <c r="A117" s="3" t="str">
        <f>'Autoévaluation client'!A119</f>
        <v>2.2.1.6.</v>
      </c>
      <c r="B117" s="6" t="str">
        <f>'Autoévaluation client'!C119</f>
        <v>Le préposé à la sécurité est-il responsable des rapports sur la sécurité et la protection de la santé à la direction?</v>
      </c>
      <c r="C117" s="38">
        <f>IF(ISBLANK('Autoévaluation client'!D119),0,1)</f>
        <v>0</v>
      </c>
      <c r="D117" s="165" t="str">
        <f>IF(AND('Autoévaluation client'!D119="",'Autoévaluation client'!E119=""),"*","")</f>
        <v>*</v>
      </c>
      <c r="E117" s="39" t="str">
        <f>IF(ISBLANK('Autoévaluation client'!F119),"",'Autoévaluation client'!F119)</f>
        <v/>
      </c>
      <c r="F117" s="118"/>
      <c r="G117" s="118"/>
      <c r="H117" s="118"/>
      <c r="I117" s="118"/>
      <c r="J117" s="118"/>
      <c r="K117" s="118"/>
      <c r="L117" s="112"/>
      <c r="M117" s="37">
        <v>3</v>
      </c>
      <c r="N117" s="27"/>
      <c r="O117" s="28">
        <f t="shared" si="17"/>
        <v>0</v>
      </c>
      <c r="P117" s="43">
        <f t="shared" si="18"/>
        <v>0</v>
      </c>
      <c r="Q117" s="36"/>
      <c r="R117" s="27"/>
    </row>
    <row r="118" spans="1:18" ht="26.4" x14ac:dyDescent="0.3">
      <c r="A118" s="3" t="str">
        <f>'Autoévaluation client'!A120</f>
        <v>2.2.1.7.</v>
      </c>
      <c r="B118" s="6" t="str">
        <f>'Autoévaluation client'!C120</f>
        <v>L'organisation de la sécurité est-elle activement soutenue par les supérieurs hiérarchiques?</v>
      </c>
      <c r="C118" s="38">
        <f>IF(ISBLANK('Autoévaluation client'!D120),0,1)</f>
        <v>0</v>
      </c>
      <c r="D118" s="165" t="str">
        <f>IF(AND('Autoévaluation client'!D120="",'Autoévaluation client'!E120=""),"*","")</f>
        <v>*</v>
      </c>
      <c r="E118" s="39" t="str">
        <f>IF(ISBLANK('Autoévaluation client'!F120),"",'Autoévaluation client'!F120)</f>
        <v/>
      </c>
      <c r="F118" s="118"/>
      <c r="G118" s="118"/>
      <c r="H118" s="118"/>
      <c r="I118" s="118"/>
      <c r="J118" s="118"/>
      <c r="K118" s="118"/>
      <c r="L118" s="112"/>
      <c r="M118" s="37">
        <v>5</v>
      </c>
      <c r="N118" s="27"/>
      <c r="O118" s="28">
        <f t="shared" si="17"/>
        <v>0</v>
      </c>
      <c r="P118" s="43">
        <f t="shared" si="18"/>
        <v>0</v>
      </c>
      <c r="Q118" s="36"/>
      <c r="R118" s="27"/>
    </row>
    <row r="119" spans="1:18" x14ac:dyDescent="0.3">
      <c r="A119" s="23" t="str">
        <f>'Autoévaluation client'!A121</f>
        <v>2.2.2.</v>
      </c>
      <c r="B119" s="23" t="str">
        <f>'Autoévaluation client'!C121</f>
        <v>Concept de sécurité</v>
      </c>
      <c r="C119" s="21">
        <f>O119/N119</f>
        <v>0</v>
      </c>
      <c r="D119" s="23" t="str">
        <f>IF(ISBLANK('Autoévaluation client'!E121),"",'Autoévaluation client'!E121)</f>
        <v/>
      </c>
      <c r="E119" s="23" t="str">
        <f>IF(ISBLANK('Autoévaluation client'!F121),"",'Autoévaluation client'!F121)</f>
        <v/>
      </c>
      <c r="F119" s="115"/>
      <c r="G119" s="115"/>
      <c r="H119" s="115"/>
      <c r="I119" s="115"/>
      <c r="J119" s="115"/>
      <c r="K119" s="115"/>
      <c r="L119" s="50">
        <f>P119/N119</f>
        <v>0</v>
      </c>
      <c r="M119" s="23">
        <v>3</v>
      </c>
      <c r="N119" s="56">
        <f>SUM(M120:M122)</f>
        <v>5</v>
      </c>
      <c r="O119" s="56">
        <f>SUM(O120:O122)</f>
        <v>0</v>
      </c>
      <c r="P119" s="56">
        <f>SUM(P120:P122)</f>
        <v>0</v>
      </c>
      <c r="Q119" s="52">
        <f>O119/$N119*$M119</f>
        <v>0</v>
      </c>
      <c r="R119" s="52">
        <f>P119/$N119*$M119</f>
        <v>0</v>
      </c>
    </row>
    <row r="120" spans="1:18" ht="52.8" x14ac:dyDescent="0.3">
      <c r="A120" s="3" t="str">
        <f>'Autoévaluation client'!A122</f>
        <v>2.2.2.1.</v>
      </c>
      <c r="B120" s="6" t="str">
        <f>'Autoévaluation client'!C122</f>
        <v>Disposez-vous dans votre entreprise d'un concept de sécurité?
Si oui, depuis quand ce concept de sécurité est-il en vigueur?</v>
      </c>
      <c r="C120" s="38">
        <f>IF(ISBLANK('Autoévaluation client'!D122),0,1)</f>
        <v>0</v>
      </c>
      <c r="D120" s="165" t="str">
        <f>IF(AND('Autoévaluation client'!D122="",'Autoévaluation client'!E122=""),"*","")</f>
        <v>*</v>
      </c>
      <c r="E120" s="39" t="str">
        <f>IF(ISBLANK('Autoévaluation client'!F122),"",'Autoévaluation client'!F122)</f>
        <v/>
      </c>
      <c r="F120" s="120"/>
      <c r="G120" s="120"/>
      <c r="H120" s="120"/>
      <c r="I120" s="120"/>
      <c r="J120" s="120"/>
      <c r="K120" s="120"/>
      <c r="L120" s="112"/>
      <c r="M120" s="37">
        <v>3</v>
      </c>
      <c r="N120" s="27"/>
      <c r="O120" s="28">
        <f>C120*M120</f>
        <v>0</v>
      </c>
      <c r="P120" s="43">
        <f t="shared" ref="P120:P122" si="19">L120*M120</f>
        <v>0</v>
      </c>
      <c r="Q120" s="36"/>
      <c r="R120" s="27"/>
    </row>
    <row r="121" spans="1:18" ht="26.4" x14ac:dyDescent="0.3">
      <c r="A121" s="3" t="str">
        <f>'Autoévaluation client'!A123</f>
        <v>2.2.2.2.</v>
      </c>
      <c r="B121" s="6" t="str">
        <f>'Autoévaluation client'!C123</f>
        <v>Le champ d'application du concept de sécurité est-il défini et documenté?</v>
      </c>
      <c r="C121" s="38">
        <f>IF(ISBLANK('Autoévaluation client'!D123),0,1)</f>
        <v>0</v>
      </c>
      <c r="D121" s="165" t="str">
        <f>IF(AND('Autoévaluation client'!D123="",'Autoévaluation client'!E123=""),"*","")</f>
        <v>*</v>
      </c>
      <c r="E121" s="39" t="str">
        <f>IF(ISBLANK('Autoévaluation client'!F123),"",'Autoévaluation client'!F123)</f>
        <v/>
      </c>
      <c r="F121" s="120"/>
      <c r="G121" s="120"/>
      <c r="H121" s="120"/>
      <c r="I121" s="120"/>
      <c r="J121" s="120"/>
      <c r="K121" s="120"/>
      <c r="L121" s="112"/>
      <c r="M121" s="37">
        <v>1</v>
      </c>
      <c r="N121" s="27"/>
      <c r="O121" s="28">
        <f>C121*M121</f>
        <v>0</v>
      </c>
      <c r="P121" s="43">
        <f t="shared" si="19"/>
        <v>0</v>
      </c>
      <c r="Q121" s="36"/>
      <c r="R121" s="36"/>
    </row>
    <row r="122" spans="1:18" ht="39.6" x14ac:dyDescent="0.3">
      <c r="A122" s="3" t="str">
        <f>'Autoévaluation client'!A124</f>
        <v>2.2.2.3.</v>
      </c>
      <c r="B122" s="6" t="str">
        <f>'Autoévaluation client'!C124</f>
        <v>La structure des documents concernant le concept de sécurité est-elle définie et le lien avec les documents applicables est-il mis en évidence?</v>
      </c>
      <c r="C122" s="38">
        <f>IF(ISBLANK('Autoévaluation client'!D124),0,1)</f>
        <v>0</v>
      </c>
      <c r="D122" s="165" t="str">
        <f>IF(AND('Autoévaluation client'!D124="",'Autoévaluation client'!E124=""),"*","")</f>
        <v>*</v>
      </c>
      <c r="E122" s="39" t="str">
        <f>IF(ISBLANK('Autoévaluation client'!F124),"",'Autoévaluation client'!F124)</f>
        <v/>
      </c>
      <c r="F122" s="120"/>
      <c r="G122" s="120"/>
      <c r="H122" s="120"/>
      <c r="I122" s="120"/>
      <c r="J122" s="120"/>
      <c r="K122" s="120"/>
      <c r="L122" s="112"/>
      <c r="M122" s="37">
        <v>1</v>
      </c>
      <c r="N122" s="27"/>
      <c r="O122" s="28">
        <f>C122*M122</f>
        <v>0</v>
      </c>
      <c r="P122" s="43">
        <f t="shared" si="19"/>
        <v>0</v>
      </c>
      <c r="Q122" s="36"/>
      <c r="R122" s="36"/>
    </row>
    <row r="123" spans="1:18" x14ac:dyDescent="0.3">
      <c r="A123" s="23" t="str">
        <f>'Autoévaluation client'!A125</f>
        <v>2.2.3.</v>
      </c>
      <c r="B123" s="23" t="str">
        <f>'Autoévaluation client'!C125</f>
        <v>Formation en matière de sécurité</v>
      </c>
      <c r="C123" s="21">
        <f>O123/N123</f>
        <v>0</v>
      </c>
      <c r="D123" s="23" t="str">
        <f>IF(ISBLANK('Autoévaluation client'!E125),"",'Autoévaluation client'!E125)</f>
        <v/>
      </c>
      <c r="E123" s="23" t="str">
        <f>IF(ISBLANK('Autoévaluation client'!F125),"",'Autoévaluation client'!F125)</f>
        <v/>
      </c>
      <c r="F123" s="115"/>
      <c r="G123" s="115"/>
      <c r="H123" s="115"/>
      <c r="I123" s="115"/>
      <c r="J123" s="115"/>
      <c r="K123" s="115"/>
      <c r="L123" s="50">
        <f>P123/N123</f>
        <v>0</v>
      </c>
      <c r="M123" s="23">
        <v>3</v>
      </c>
      <c r="N123" s="23">
        <f>SUM(M124:M126)</f>
        <v>6</v>
      </c>
      <c r="O123" s="56">
        <f>SUM(O124:O126)</f>
        <v>0</v>
      </c>
      <c r="P123" s="56">
        <f>SUM(P124:P126)</f>
        <v>0</v>
      </c>
      <c r="Q123" s="52">
        <f>O123/$N123*$M123</f>
        <v>0</v>
      </c>
      <c r="R123" s="52">
        <f>P123/$N123*$M123</f>
        <v>0</v>
      </c>
    </row>
    <row r="124" spans="1:18" ht="39.6" x14ac:dyDescent="0.3">
      <c r="A124" s="3" t="str">
        <f>'Autoévaluation client'!A126</f>
        <v>2.2.3.1.</v>
      </c>
      <c r="B124" s="6" t="str">
        <f>'Autoévaluation client'!C126</f>
        <v>Certains collaborateurs de votre entreprise ont-ils suivi une formation d'assistant de sécurité, de chargé de sécurité ou d'ingénieur de sécurité?</v>
      </c>
      <c r="C124" s="38">
        <f>IF(ISBLANK('Autoévaluation client'!D126),0,1)</f>
        <v>0</v>
      </c>
      <c r="D124" s="165" t="str">
        <f>IF(AND('Autoévaluation client'!D126="",'Autoévaluation client'!E126=""),"*","")</f>
        <v>*</v>
      </c>
      <c r="E124" s="39" t="str">
        <f>IF(ISBLANK('Autoévaluation client'!F126),"",'Autoévaluation client'!F126)</f>
        <v/>
      </c>
      <c r="F124" s="33"/>
      <c r="G124" s="33"/>
      <c r="H124" s="33"/>
      <c r="I124" s="33"/>
      <c r="J124" s="33"/>
      <c r="K124" s="33"/>
      <c r="L124" s="112"/>
      <c r="M124" s="37">
        <v>4</v>
      </c>
      <c r="N124" s="27"/>
      <c r="O124" s="28">
        <f>C124*M124</f>
        <v>0</v>
      </c>
      <c r="P124" s="43">
        <f t="shared" ref="P124:P126" si="20">L124*M124</f>
        <v>0</v>
      </c>
      <c r="Q124" s="36"/>
      <c r="R124" s="27"/>
    </row>
    <row r="125" spans="1:18" ht="52.8" x14ac:dyDescent="0.3">
      <c r="A125" s="3" t="str">
        <f>'Autoévaluation client'!A127</f>
        <v>2.2.3.2.</v>
      </c>
      <c r="B125" s="6" t="str">
        <f>'Autoévaluation client'!C127</f>
        <v>Les collaborateurs de votre entreprise ont-ils participé à des cours Suva dans le domaine de la sécurité et de la protection de la santé?
Si oui, auxquels?</v>
      </c>
      <c r="C125" s="38">
        <f>IF(ISBLANK('Autoévaluation client'!D127),0,1)</f>
        <v>0</v>
      </c>
      <c r="D125" s="165" t="str">
        <f>IF(AND('Autoévaluation client'!D127="",'Autoévaluation client'!E127=""),"*","")</f>
        <v>*</v>
      </c>
      <c r="E125" s="39" t="str">
        <f>IF(ISBLANK('Autoévaluation client'!F127),"",'Autoévaluation client'!F127)</f>
        <v/>
      </c>
      <c r="F125" s="33"/>
      <c r="G125" s="33"/>
      <c r="H125" s="33"/>
      <c r="I125" s="33"/>
      <c r="J125" s="33"/>
      <c r="K125" s="33"/>
      <c r="L125" s="112"/>
      <c r="M125" s="37">
        <v>1</v>
      </c>
      <c r="N125" s="27"/>
      <c r="O125" s="28">
        <f>C125*M125</f>
        <v>0</v>
      </c>
      <c r="P125" s="43">
        <f t="shared" si="20"/>
        <v>0</v>
      </c>
      <c r="Q125" s="36"/>
      <c r="R125" s="27"/>
    </row>
    <row r="126" spans="1:18" ht="26.4" x14ac:dyDescent="0.3">
      <c r="A126" s="3" t="str">
        <f>'Autoévaluation client'!A128</f>
        <v>2.2.3.3.</v>
      </c>
      <c r="B126" s="6" t="str">
        <f>'Autoévaluation client'!C128</f>
        <v>Les collaborateurs de votre entreprise ont-ils participé à d'autres cours sur la sécurité? Si oui, auxquels?</v>
      </c>
      <c r="C126" s="38">
        <f>IF(ISBLANK('Autoévaluation client'!D128),0,1)</f>
        <v>0</v>
      </c>
      <c r="D126" s="165" t="str">
        <f>IF(AND('Autoévaluation client'!D128="",'Autoévaluation client'!E128=""),"*","")</f>
        <v>*</v>
      </c>
      <c r="E126" s="39" t="str">
        <f>IF(ISBLANK('Autoévaluation client'!F128),"",'Autoévaluation client'!F128)</f>
        <v/>
      </c>
      <c r="F126" s="33"/>
      <c r="G126" s="33"/>
      <c r="H126" s="33"/>
      <c r="I126" s="33"/>
      <c r="J126" s="33"/>
      <c r="K126" s="33"/>
      <c r="L126" s="112"/>
      <c r="M126" s="37">
        <v>1</v>
      </c>
      <c r="N126" s="27"/>
      <c r="O126" s="28">
        <f>C126*M126</f>
        <v>0</v>
      </c>
      <c r="P126" s="43">
        <f t="shared" si="20"/>
        <v>0</v>
      </c>
      <c r="Q126" s="36"/>
      <c r="R126" s="27"/>
    </row>
    <row r="127" spans="1:18" x14ac:dyDescent="0.3">
      <c r="A127" s="19" t="str">
        <f>'Autoévaluation client'!A129</f>
        <v>2.3.</v>
      </c>
      <c r="B127" s="20" t="str">
        <f>'Autoévaluation client'!B129</f>
        <v>Bases déterminantes</v>
      </c>
      <c r="C127" s="21">
        <f>O127/N127</f>
        <v>0</v>
      </c>
      <c r="D127" s="23" t="str">
        <f>IF(ISBLANK('Autoévaluation client'!E129),"",'Autoévaluation client'!E129)</f>
        <v/>
      </c>
      <c r="E127" s="23" t="str">
        <f>IF(ISBLANK('Autoévaluation client'!F129),"",'Autoévaluation client'!F129)</f>
        <v/>
      </c>
      <c r="F127" s="115"/>
      <c r="G127" s="115"/>
      <c r="H127" s="115"/>
      <c r="I127" s="115"/>
      <c r="J127" s="115"/>
      <c r="K127" s="115"/>
      <c r="L127" s="50">
        <f>P127/N127</f>
        <v>0</v>
      </c>
      <c r="M127" s="22">
        <v>1</v>
      </c>
      <c r="N127" s="22">
        <f>SUM(M128,M133,M139)</f>
        <v>5</v>
      </c>
      <c r="O127" s="24">
        <f>SUM(Q128,Q133,Q139)</f>
        <v>0</v>
      </c>
      <c r="P127" s="24">
        <f>SUM(R128,R133,R139)</f>
        <v>0</v>
      </c>
      <c r="Q127" s="52">
        <f t="shared" ref="Q127:Q128" si="21">O127/$N127*$M127</f>
        <v>0</v>
      </c>
      <c r="R127" s="52">
        <f t="shared" ref="R127:R128" si="22">P127/$N127*$M127</f>
        <v>0</v>
      </c>
    </row>
    <row r="128" spans="1:18" x14ac:dyDescent="0.3">
      <c r="A128" s="23" t="str">
        <f>'Autoévaluation client'!A130</f>
        <v>2.3.1.</v>
      </c>
      <c r="B128" s="23" t="str">
        <f>'Autoévaluation client'!C130</f>
        <v>Bases légales</v>
      </c>
      <c r="C128" s="21">
        <f>O128/N128</f>
        <v>0</v>
      </c>
      <c r="D128" s="23" t="str">
        <f>IF(ISBLANK('Autoévaluation client'!E130),"",'Autoévaluation client'!E130)</f>
        <v/>
      </c>
      <c r="E128" s="23" t="str">
        <f>IF(ISBLANK('Autoévaluation client'!F130),"",'Autoévaluation client'!F130)</f>
        <v/>
      </c>
      <c r="F128" s="115"/>
      <c r="G128" s="115"/>
      <c r="H128" s="115"/>
      <c r="I128" s="115"/>
      <c r="J128" s="115"/>
      <c r="K128" s="115"/>
      <c r="L128" s="50">
        <f>P128/N128</f>
        <v>0</v>
      </c>
      <c r="M128" s="23">
        <v>2</v>
      </c>
      <c r="N128" s="23">
        <f>SUM(M129:M132)</f>
        <v>11</v>
      </c>
      <c r="O128" s="56">
        <f>SUM(O129:O132)</f>
        <v>0</v>
      </c>
      <c r="P128" s="56">
        <f>SUM(P129:P132)</f>
        <v>0</v>
      </c>
      <c r="Q128" s="52">
        <f t="shared" si="21"/>
        <v>0</v>
      </c>
      <c r="R128" s="52">
        <f t="shared" si="22"/>
        <v>0</v>
      </c>
    </row>
    <row r="129" spans="1:18" ht="26.4" x14ac:dyDescent="0.3">
      <c r="A129" s="3" t="str">
        <f>'Autoévaluation client'!A131</f>
        <v>2.3.1.1.</v>
      </c>
      <c r="B129" s="6" t="str">
        <f>'Autoévaluation client'!C131</f>
        <v>Votre entreprise dispose-t-elle des bases légales en matière de sécurité au travail et de protection de la santé?</v>
      </c>
      <c r="C129" s="38">
        <f>IF(ISBLANK('Autoévaluation client'!D131),0,1)</f>
        <v>0</v>
      </c>
      <c r="D129" s="165" t="str">
        <f>IF(AND('Autoévaluation client'!D131="",'Autoévaluation client'!E131=""),"*","")</f>
        <v>*</v>
      </c>
      <c r="E129" s="39" t="str">
        <f>IF(ISBLANK('Autoévaluation client'!F131),"",'Autoévaluation client'!F131)</f>
        <v/>
      </c>
      <c r="F129" s="120"/>
      <c r="G129" s="120"/>
      <c r="H129" s="120"/>
      <c r="I129" s="120"/>
      <c r="J129" s="120"/>
      <c r="K129" s="120"/>
      <c r="L129" s="112"/>
      <c r="M129" s="37">
        <v>3</v>
      </c>
      <c r="N129" s="27"/>
      <c r="O129" s="28">
        <f>C129*M129</f>
        <v>0</v>
      </c>
      <c r="P129" s="43">
        <f t="shared" ref="P129:P132" si="23">L129*M129</f>
        <v>0</v>
      </c>
      <c r="Q129" s="36"/>
      <c r="R129" s="27"/>
    </row>
    <row r="130" spans="1:18" ht="26.4" x14ac:dyDescent="0.3">
      <c r="A130" s="3" t="str">
        <f>'Autoévaluation client'!A132</f>
        <v>2.3.1.2.</v>
      </c>
      <c r="B130" s="6" t="str">
        <f>'Autoévaluation client'!C132</f>
        <v>Les collaborateurs de l’entreprise connaissent-ils vos tâches, obligations et droits découlant des bases légales?</v>
      </c>
      <c r="C130" s="38">
        <f>IF(ISBLANK('Autoévaluation client'!D132),0,1)</f>
        <v>0</v>
      </c>
      <c r="D130" s="165" t="str">
        <f>IF(AND('Autoévaluation client'!D132="",'Autoévaluation client'!E132=""),"*","")</f>
        <v>*</v>
      </c>
      <c r="E130" s="39" t="str">
        <f>IF(ISBLANK('Autoévaluation client'!F132),"",'Autoévaluation client'!F132)</f>
        <v/>
      </c>
      <c r="F130" s="120"/>
      <c r="G130" s="120"/>
      <c r="H130" s="120"/>
      <c r="I130" s="120"/>
      <c r="J130" s="120"/>
      <c r="K130" s="120"/>
      <c r="L130" s="112"/>
      <c r="M130" s="37">
        <v>3</v>
      </c>
      <c r="N130" s="27"/>
      <c r="O130" s="28">
        <f>C130*M130</f>
        <v>0</v>
      </c>
      <c r="P130" s="43">
        <f t="shared" si="23"/>
        <v>0</v>
      </c>
      <c r="Q130" s="36"/>
      <c r="R130" s="27"/>
    </row>
    <row r="131" spans="1:18" ht="26.4" x14ac:dyDescent="0.3">
      <c r="A131" s="3" t="str">
        <f>'Autoévaluation client'!A133</f>
        <v>2.3.1.3.</v>
      </c>
      <c r="B131" s="6" t="str">
        <f>'Autoévaluation client'!C133</f>
        <v>Les dispositions légales sont-elles respectées en substance par votre entreprise?</v>
      </c>
      <c r="C131" s="38">
        <f>IF(ISBLANK('Autoévaluation client'!D133),0,1)</f>
        <v>0</v>
      </c>
      <c r="D131" s="165" t="str">
        <f>IF(AND('Autoévaluation client'!D133="",'Autoévaluation client'!E133=""),"*","")</f>
        <v>*</v>
      </c>
      <c r="E131" s="39" t="str">
        <f>IF(ISBLANK('Autoévaluation client'!F133),"",'Autoévaluation client'!F133)</f>
        <v/>
      </c>
      <c r="F131" s="120"/>
      <c r="G131" s="120"/>
      <c r="H131" s="120"/>
      <c r="I131" s="120"/>
      <c r="J131" s="120"/>
      <c r="K131" s="120"/>
      <c r="L131" s="112"/>
      <c r="M131" s="37">
        <v>3</v>
      </c>
      <c r="N131" s="27"/>
      <c r="O131" s="28">
        <f>C131*M131</f>
        <v>0</v>
      </c>
      <c r="P131" s="43">
        <f t="shared" si="23"/>
        <v>0</v>
      </c>
      <c r="Q131" s="36"/>
      <c r="R131" s="27"/>
    </row>
    <row r="132" spans="1:18" ht="66" x14ac:dyDescent="0.3">
      <c r="A132" s="3" t="str">
        <f>'Autoévaluation client'!A134</f>
        <v>2.3.1.4.</v>
      </c>
      <c r="B132" s="6" t="str">
        <f>'Autoévaluation client'!C134</f>
        <v>Les documents contenant les bases légales sont-ils constamment actualisés et rendus accessibles selon une procédure établie?
Si oui, quelle personne ou quel service est-il chargé de la mise à jour?</v>
      </c>
      <c r="C132" s="38">
        <f>IF(ISBLANK('Autoévaluation client'!D134),0,1)</f>
        <v>0</v>
      </c>
      <c r="D132" s="165" t="str">
        <f>IF(AND('Autoévaluation client'!D134="",'Autoévaluation client'!E134=""),"*","")</f>
        <v>*</v>
      </c>
      <c r="E132" s="39" t="str">
        <f>IF(ISBLANK('Autoévaluation client'!F134),"",'Autoévaluation client'!F134)</f>
        <v/>
      </c>
      <c r="F132" s="118"/>
      <c r="G132" s="118"/>
      <c r="H132" s="118"/>
      <c r="I132" s="118"/>
      <c r="J132" s="118"/>
      <c r="K132" s="118"/>
      <c r="L132" s="112"/>
      <c r="M132" s="37">
        <v>2</v>
      </c>
      <c r="N132" s="27"/>
      <c r="O132" s="28">
        <f>C132*M132</f>
        <v>0</v>
      </c>
      <c r="P132" s="43">
        <f t="shared" si="23"/>
        <v>0</v>
      </c>
      <c r="Q132" s="36"/>
      <c r="R132" s="27"/>
    </row>
    <row r="133" spans="1:18" x14ac:dyDescent="0.3">
      <c r="A133" s="23" t="str">
        <f>'Autoévaluation client'!A135</f>
        <v>2.3.2.</v>
      </c>
      <c r="B133" s="23" t="str">
        <f>'Autoévaluation client'!C135</f>
        <v>Directives et normes</v>
      </c>
      <c r="C133" s="21">
        <f>O133/N133</f>
        <v>0</v>
      </c>
      <c r="D133" s="23" t="str">
        <f>IF(ISBLANK('Autoévaluation client'!E135),"",'Autoévaluation client'!E135)</f>
        <v/>
      </c>
      <c r="E133" s="23" t="str">
        <f>IF(ISBLANK('Autoévaluation client'!F135),"",'Autoévaluation client'!F135)</f>
        <v/>
      </c>
      <c r="F133" s="115"/>
      <c r="G133" s="115"/>
      <c r="H133" s="115"/>
      <c r="I133" s="115"/>
      <c r="J133" s="115"/>
      <c r="K133" s="115"/>
      <c r="L133" s="50">
        <f>P133/N133</f>
        <v>0</v>
      </c>
      <c r="M133" s="23">
        <v>2</v>
      </c>
      <c r="N133" s="23">
        <f>SUM(M134:M138)</f>
        <v>14</v>
      </c>
      <c r="O133" s="56">
        <f>SUM(O134:O138)</f>
        <v>0</v>
      </c>
      <c r="P133" s="56">
        <f>SUM(P134:P138)</f>
        <v>0</v>
      </c>
      <c r="Q133" s="52">
        <f>O133/$N133*$M133</f>
        <v>0</v>
      </c>
      <c r="R133" s="52">
        <f>P133/$N133*$M133</f>
        <v>0</v>
      </c>
    </row>
    <row r="134" spans="1:18" ht="26.4" x14ac:dyDescent="0.3">
      <c r="A134" s="3" t="str">
        <f>'Autoévaluation client'!A136</f>
        <v>2.3.2.1.</v>
      </c>
      <c r="B134" s="6" t="str">
        <f>'Autoévaluation client'!C136</f>
        <v>Votre entreprise dispose-t-elle des directives et des normes en matière de sécurité et de santé?</v>
      </c>
      <c r="C134" s="38">
        <f>IF(ISBLANK('Autoévaluation client'!D136),0,1)</f>
        <v>0</v>
      </c>
      <c r="D134" s="165" t="str">
        <f>IF(AND('Autoévaluation client'!D136="",'Autoévaluation client'!E136=""),"*","")</f>
        <v>*</v>
      </c>
      <c r="E134" s="39" t="str">
        <f>IF(ISBLANK('Autoévaluation client'!F136),"",'Autoévaluation client'!F136)</f>
        <v/>
      </c>
      <c r="F134" s="118"/>
      <c r="G134" s="118"/>
      <c r="H134" s="118"/>
      <c r="I134" s="118"/>
      <c r="J134" s="118"/>
      <c r="K134" s="118"/>
      <c r="L134" s="112"/>
      <c r="M134" s="37">
        <v>3</v>
      </c>
      <c r="N134" s="27"/>
      <c r="O134" s="28">
        <f>M134*C134</f>
        <v>0</v>
      </c>
      <c r="P134" s="43">
        <f t="shared" ref="P134:P138" si="24">L134*M134</f>
        <v>0</v>
      </c>
      <c r="Q134" s="36"/>
      <c r="R134" s="27"/>
    </row>
    <row r="135" spans="1:18" ht="39.6" x14ac:dyDescent="0.3">
      <c r="A135" s="3" t="str">
        <f>'Autoévaluation client'!A137</f>
        <v>2.3.2.2.</v>
      </c>
      <c r="B135" s="6" t="str">
        <f>'Autoévaluation client'!C137</f>
        <v>Les personnes concernées disposent-elles des directives et des normes relatives à la sécurité et à la santé ou y ont-elles toujours accès?</v>
      </c>
      <c r="C135" s="38">
        <f>IF(ISBLANK('Autoévaluation client'!D137),0,1)</f>
        <v>0</v>
      </c>
      <c r="D135" s="165" t="str">
        <f>IF(AND('Autoévaluation client'!D137="",'Autoévaluation client'!E137=""),"*","")</f>
        <v>*</v>
      </c>
      <c r="E135" s="39" t="str">
        <f>IF(ISBLANK('Autoévaluation client'!F137),"",'Autoévaluation client'!F137)</f>
        <v/>
      </c>
      <c r="F135" s="120"/>
      <c r="G135" s="120"/>
      <c r="H135" s="120"/>
      <c r="I135" s="120"/>
      <c r="J135" s="120"/>
      <c r="K135" s="120"/>
      <c r="L135" s="112"/>
      <c r="M135" s="37">
        <v>3</v>
      </c>
      <c r="N135" s="27"/>
      <c r="O135" s="28">
        <f>M135*C135</f>
        <v>0</v>
      </c>
      <c r="P135" s="43">
        <f t="shared" si="24"/>
        <v>0</v>
      </c>
      <c r="Q135" s="36"/>
      <c r="R135" s="36"/>
    </row>
    <row r="136" spans="1:18" ht="39.6" x14ac:dyDescent="0.3">
      <c r="A136" s="3" t="str">
        <f>'Autoévaluation client'!A138</f>
        <v>2.3.2.3.</v>
      </c>
      <c r="B136" s="6" t="str">
        <f>'Autoévaluation client'!C138</f>
        <v>Les personnes concernées connaissent-elles leurs tâches, leurs obligations et leurs droits découlant des directives et des normes ?</v>
      </c>
      <c r="C136" s="38">
        <f>IF(ISBLANK('Autoévaluation client'!D138),0,1)</f>
        <v>0</v>
      </c>
      <c r="D136" s="165" t="str">
        <f>IF(AND('Autoévaluation client'!D138="",'Autoévaluation client'!E138=""),"*","")</f>
        <v>*</v>
      </c>
      <c r="E136" s="39" t="str">
        <f>IF(ISBLANK('Autoévaluation client'!F138),"",'Autoévaluation client'!F138)</f>
        <v/>
      </c>
      <c r="F136" s="118"/>
      <c r="G136" s="118"/>
      <c r="H136" s="118"/>
      <c r="I136" s="118"/>
      <c r="J136" s="118"/>
      <c r="K136" s="118"/>
      <c r="L136" s="112"/>
      <c r="M136" s="37">
        <v>3</v>
      </c>
      <c r="N136" s="27"/>
      <c r="O136" s="28">
        <f>M136*C136</f>
        <v>0</v>
      </c>
      <c r="P136" s="43">
        <f t="shared" si="24"/>
        <v>0</v>
      </c>
      <c r="Q136" s="36"/>
      <c r="R136" s="27"/>
    </row>
    <row r="137" spans="1:18" ht="26.4" x14ac:dyDescent="0.3">
      <c r="A137" s="3" t="str">
        <f>'Autoévaluation client'!A139</f>
        <v>2.3.2.4.</v>
      </c>
      <c r="B137" s="6" t="str">
        <f>'Autoévaluation client'!C139</f>
        <v>Les directives et les normes sont-elles respectées par l’entreprise par analogie?</v>
      </c>
      <c r="C137" s="38">
        <f>IF(ISBLANK('Autoévaluation client'!D139),0,1)</f>
        <v>0</v>
      </c>
      <c r="D137" s="165" t="str">
        <f>IF(AND('Autoévaluation client'!D139="",'Autoévaluation client'!E139=""),"*","")</f>
        <v>*</v>
      </c>
      <c r="E137" s="39" t="str">
        <f>IF(ISBLANK('Autoévaluation client'!F139),"",'Autoévaluation client'!F139)</f>
        <v/>
      </c>
      <c r="F137" s="118"/>
      <c r="G137" s="118"/>
      <c r="H137" s="118"/>
      <c r="I137" s="118"/>
      <c r="J137" s="118"/>
      <c r="K137" s="118"/>
      <c r="L137" s="112"/>
      <c r="M137" s="37">
        <v>3</v>
      </c>
      <c r="N137" s="27"/>
      <c r="O137" s="28">
        <f>M137*C137</f>
        <v>0</v>
      </c>
      <c r="P137" s="43">
        <f t="shared" si="24"/>
        <v>0</v>
      </c>
      <c r="Q137" s="36"/>
      <c r="R137" s="27"/>
    </row>
    <row r="138" spans="1:18" ht="54.75" customHeight="1" x14ac:dyDescent="0.3">
      <c r="A138" s="3" t="str">
        <f>'Autoévaluation client'!A140</f>
        <v>2.3.2.5.</v>
      </c>
      <c r="B138" s="6" t="str">
        <f>'Autoévaluation client'!C140</f>
        <v xml:space="preserve">Les documents contenant les directives et les normes sont-ils constamment actualisés et rendus accessibles selon une procédure établie? 
Si oui, quelle personne ou quel service est-il chargé de la mise à jour?
</v>
      </c>
      <c r="C138" s="38">
        <f>IF(ISBLANK('Autoévaluation client'!D140),0,1)</f>
        <v>0</v>
      </c>
      <c r="D138" s="165" t="str">
        <f>IF(AND('Autoévaluation client'!D140="",'Autoévaluation client'!E140=""),"*","")</f>
        <v>*</v>
      </c>
      <c r="E138" s="39" t="str">
        <f>IF(ISBLANK('Autoévaluation client'!F140),"",'Autoévaluation client'!F140)</f>
        <v/>
      </c>
      <c r="F138" s="118"/>
      <c r="G138" s="118"/>
      <c r="H138" s="118"/>
      <c r="I138" s="118"/>
      <c r="J138" s="118"/>
      <c r="K138" s="118"/>
      <c r="L138" s="112"/>
      <c r="M138" s="37">
        <v>2</v>
      </c>
      <c r="N138" s="27"/>
      <c r="O138" s="28">
        <f>M138*C138</f>
        <v>0</v>
      </c>
      <c r="P138" s="43">
        <f t="shared" si="24"/>
        <v>0</v>
      </c>
      <c r="Q138" s="36"/>
      <c r="R138" s="27"/>
    </row>
    <row r="139" spans="1:18" x14ac:dyDescent="0.3">
      <c r="A139" s="23" t="str">
        <f>'Autoévaluation client'!A141</f>
        <v>2.3.3.</v>
      </c>
      <c r="B139" s="23" t="str">
        <f>'Autoévaluation client'!C141</f>
        <v>Documentation sur la sécurité et la santé</v>
      </c>
      <c r="C139" s="38">
        <f>O139/N139</f>
        <v>0</v>
      </c>
      <c r="D139" s="23" t="str">
        <f>IF(ISBLANK('Autoévaluation client'!E141),"",'Autoévaluation client'!E141)</f>
        <v/>
      </c>
      <c r="E139" s="23" t="str">
        <f>IF(ISBLANK('Autoévaluation client'!F141),"",'Autoévaluation client'!F141)</f>
        <v/>
      </c>
      <c r="F139" s="115"/>
      <c r="G139" s="115"/>
      <c r="H139" s="115"/>
      <c r="I139" s="115"/>
      <c r="J139" s="115"/>
      <c r="K139" s="115"/>
      <c r="L139" s="50">
        <f>P139/N139</f>
        <v>0</v>
      </c>
      <c r="M139" s="23">
        <v>1</v>
      </c>
      <c r="N139" s="23">
        <f>SUM(M140:M143)</f>
        <v>9</v>
      </c>
      <c r="O139" s="56">
        <f>SUM(O140:O143)</f>
        <v>0</v>
      </c>
      <c r="P139" s="56">
        <f>SUM(P140:P143)</f>
        <v>0</v>
      </c>
      <c r="Q139" s="52">
        <f>O139/$N139*$M139</f>
        <v>0</v>
      </c>
      <c r="R139" s="52">
        <f>P139/$N139*$M139</f>
        <v>0</v>
      </c>
    </row>
    <row r="140" spans="1:18" ht="26.4" x14ac:dyDescent="0.3">
      <c r="A140" s="3" t="str">
        <f>'Autoévaluation client'!A142</f>
        <v>2.3.3.1.</v>
      </c>
      <c r="B140" s="6" t="str">
        <f>'Autoévaluation client'!C142</f>
        <v>Votre entreprise dispose-t-elle d'un recueil centralisé de documents sur la sécurité et la protection de la santé?</v>
      </c>
      <c r="C140" s="38">
        <f>IF(ISBLANK('Autoévaluation client'!D142),0,1)</f>
        <v>0</v>
      </c>
      <c r="D140" s="165" t="str">
        <f>IF(AND('Autoévaluation client'!D142="",'Autoévaluation client'!E142=""),"*","")</f>
        <v>*</v>
      </c>
      <c r="E140" s="39" t="str">
        <f>IF(ISBLANK('Autoévaluation client'!F142),"",'Autoévaluation client'!F142)</f>
        <v/>
      </c>
      <c r="F140" s="120"/>
      <c r="G140" s="120"/>
      <c r="H140" s="120"/>
      <c r="I140" s="120"/>
      <c r="J140" s="120"/>
      <c r="K140" s="120"/>
      <c r="L140" s="112"/>
      <c r="M140" s="37">
        <v>3</v>
      </c>
      <c r="N140" s="27"/>
      <c r="O140" s="28">
        <f>C140*M140</f>
        <v>0</v>
      </c>
      <c r="P140" s="43">
        <f t="shared" ref="P140:P143" si="25">L140*M140</f>
        <v>0</v>
      </c>
      <c r="Q140" s="36"/>
      <c r="R140" s="36"/>
    </row>
    <row r="141" spans="1:18" ht="26.4" x14ac:dyDescent="0.3">
      <c r="A141" s="3" t="str">
        <f>'Autoévaluation client'!A143</f>
        <v>2.3.3.2.</v>
      </c>
      <c r="B141" s="6" t="str">
        <f>'Autoévaluation client'!C143</f>
        <v>Les documents importants sont-ils mis à la disposition de certains collaborateurs à titre d'exemplaires personnels?</v>
      </c>
      <c r="C141" s="38">
        <f>IF(ISBLANK('Autoévaluation client'!D143),0,1)</f>
        <v>0</v>
      </c>
      <c r="D141" s="165" t="str">
        <f>IF(AND('Autoévaluation client'!D143="",'Autoévaluation client'!E143=""),"*","")</f>
        <v>*</v>
      </c>
      <c r="E141" s="39" t="str">
        <f>IF(ISBLANK('Autoévaluation client'!F143),"",'Autoévaluation client'!F143)</f>
        <v/>
      </c>
      <c r="F141" s="118"/>
      <c r="G141" s="118"/>
      <c r="H141" s="118"/>
      <c r="I141" s="118"/>
      <c r="J141" s="118"/>
      <c r="K141" s="118"/>
      <c r="L141" s="112"/>
      <c r="M141" s="37">
        <v>1</v>
      </c>
      <c r="N141" s="27"/>
      <c r="O141" s="28">
        <f>C141*M141</f>
        <v>0</v>
      </c>
      <c r="P141" s="43">
        <f t="shared" si="25"/>
        <v>0</v>
      </c>
      <c r="Q141" s="36"/>
      <c r="R141" s="27"/>
    </row>
    <row r="142" spans="1:18" ht="52.8" x14ac:dyDescent="0.3">
      <c r="A142" s="3" t="str">
        <f>'Autoévaluation client'!A144</f>
        <v>2.3.3.3.</v>
      </c>
      <c r="B142" s="6" t="str">
        <f>'Autoévaluation client'!C144</f>
        <v>Les documents sur la sécurité et la protection de la santé sont-ils facilement accessibles pour l'ensemble des employés
(bibliothèque ou dispositif similaire)?</v>
      </c>
      <c r="C142" s="38">
        <f>IF(ISBLANK('Autoévaluation client'!D144),0,1)</f>
        <v>0</v>
      </c>
      <c r="D142" s="165" t="str">
        <f>IF(AND('Autoévaluation client'!D144="",'Autoévaluation client'!E144=""),"*","")</f>
        <v>*</v>
      </c>
      <c r="E142" s="39" t="str">
        <f>IF(ISBLANK('Autoévaluation client'!F144),"",'Autoévaluation client'!F144)</f>
        <v/>
      </c>
      <c r="F142" s="118"/>
      <c r="G142" s="118"/>
      <c r="H142" s="118"/>
      <c r="I142" s="118"/>
      <c r="J142" s="118"/>
      <c r="K142" s="118"/>
      <c r="L142" s="112"/>
      <c r="M142" s="37">
        <v>3</v>
      </c>
      <c r="N142" s="27"/>
      <c r="O142" s="28">
        <f>C142*M142</f>
        <v>0</v>
      </c>
      <c r="P142" s="43">
        <f t="shared" si="25"/>
        <v>0</v>
      </c>
      <c r="Q142" s="36"/>
      <c r="R142" s="27"/>
    </row>
    <row r="143" spans="1:18" ht="52.8" x14ac:dyDescent="0.3">
      <c r="A143" s="3" t="str">
        <f>'Autoévaluation client'!A145</f>
        <v>2.3.3.4.</v>
      </c>
      <c r="B143" s="6" t="str">
        <f>'Autoévaluation client'!C145</f>
        <v>La documentation sur la sécurité et la santé est-elle constamment actualisée et rendue accessible selon une procédure établie? Si oui, quelle personne ou quel service est-il chargé de la mise à jour?</v>
      </c>
      <c r="C143" s="38">
        <f>IF(ISBLANK('Autoévaluation client'!D145),0,1)</f>
        <v>0</v>
      </c>
      <c r="D143" s="165" t="str">
        <f>IF(AND('Autoévaluation client'!D145="",'Autoévaluation client'!E145=""),"*","")</f>
        <v>*</v>
      </c>
      <c r="E143" s="39" t="str">
        <f>IF(ISBLANK('Autoévaluation client'!F145),"",'Autoévaluation client'!F145)</f>
        <v/>
      </c>
      <c r="F143" s="118"/>
      <c r="G143" s="118"/>
      <c r="H143" s="118"/>
      <c r="I143" s="118"/>
      <c r="J143" s="118"/>
      <c r="K143" s="118"/>
      <c r="L143" s="112"/>
      <c r="M143" s="37">
        <v>2</v>
      </c>
      <c r="N143" s="37"/>
      <c r="O143" s="28">
        <f>C143*M143</f>
        <v>0</v>
      </c>
      <c r="P143" s="43">
        <f t="shared" si="25"/>
        <v>0</v>
      </c>
      <c r="Q143" s="36"/>
      <c r="R143" s="27"/>
    </row>
    <row r="144" spans="1:18" x14ac:dyDescent="0.3">
      <c r="A144" s="7" t="str">
        <f>'Autoévaluation client'!A147</f>
        <v>3.</v>
      </c>
      <c r="B144" s="7" t="str">
        <f>'Autoévaluation client'!B147</f>
        <v>Qualification, formation, communication</v>
      </c>
      <c r="C144" s="30">
        <f>O144/N144</f>
        <v>0</v>
      </c>
      <c r="D144" s="18"/>
      <c r="E144" s="18"/>
      <c r="F144" s="18"/>
      <c r="G144" s="18"/>
      <c r="H144" s="18"/>
      <c r="I144" s="18"/>
      <c r="J144" s="18"/>
      <c r="K144" s="18"/>
      <c r="L144" s="114">
        <f>P144/N144</f>
        <v>0</v>
      </c>
      <c r="M144" s="5"/>
      <c r="N144" s="5">
        <f>SUM(M145,M152,M164,M170,M175,M182,M189,M193,M223,M227)</f>
        <v>13</v>
      </c>
      <c r="O144" s="48">
        <f>SUM(Q145:Q239)</f>
        <v>0</v>
      </c>
      <c r="P144" s="48">
        <f>SUM(R145:R239)</f>
        <v>0</v>
      </c>
      <c r="Q144" s="35"/>
      <c r="R144" s="35"/>
    </row>
    <row r="145" spans="1:18" x14ac:dyDescent="0.3">
      <c r="A145" s="19" t="str">
        <f>'Autoévaluation client'!A149</f>
        <v>3.1.</v>
      </c>
      <c r="B145" s="20" t="str">
        <f>'Autoévaluation client'!B149</f>
        <v>Critères de sélection, contrats de travail</v>
      </c>
      <c r="C145" s="21">
        <f>O145/N145</f>
        <v>0</v>
      </c>
      <c r="D145" s="23" t="str">
        <f>IF(ISBLANK('Autoévaluation client'!E147),"",'Autoévaluation client'!E147)</f>
        <v/>
      </c>
      <c r="E145" s="23"/>
      <c r="F145" s="115"/>
      <c r="G145" s="115"/>
      <c r="H145" s="115"/>
      <c r="I145" s="115"/>
      <c r="J145" s="115"/>
      <c r="K145" s="115"/>
      <c r="L145" s="50">
        <f>P145/N145</f>
        <v>0</v>
      </c>
      <c r="M145" s="22">
        <v>2</v>
      </c>
      <c r="N145" s="23">
        <f>SUM(M146:M151)</f>
        <v>15</v>
      </c>
      <c r="O145" s="56">
        <f>SUM(O146:O151)</f>
        <v>0</v>
      </c>
      <c r="P145" s="56">
        <f>SUM(P146:P151)</f>
        <v>0</v>
      </c>
      <c r="Q145" s="52">
        <f>O145/$N145*$M145</f>
        <v>0</v>
      </c>
      <c r="R145" s="52">
        <f>P145/$N145*$M145</f>
        <v>0</v>
      </c>
    </row>
    <row r="146" spans="1:18" ht="26.4" x14ac:dyDescent="0.3">
      <c r="A146" s="3" t="str">
        <f>'Autoévaluation client'!A150</f>
        <v>3.1.1.</v>
      </c>
      <c r="B146" s="6" t="str">
        <f>'Autoévaluation client'!C150</f>
        <v>Disposez-vous de critères de sélection spécifiques pour 
le recrutement du personnel?</v>
      </c>
      <c r="C146" s="38">
        <f>IF(ISBLANK('Autoévaluation client'!D150),0,1)</f>
        <v>0</v>
      </c>
      <c r="D146" s="165" t="str">
        <f>IF(AND('Autoévaluation client'!D150="",'Autoévaluation client'!E150=""),"*","")</f>
        <v>*</v>
      </c>
      <c r="E146" s="39" t="str">
        <f>IF(ISBLANK('Autoévaluation client'!F150),"",'Autoévaluation client'!F150)</f>
        <v/>
      </c>
      <c r="F146" s="118"/>
      <c r="G146" s="118"/>
      <c r="H146" s="118"/>
      <c r="I146" s="118"/>
      <c r="J146" s="118"/>
      <c r="K146" s="118"/>
      <c r="L146" s="112"/>
      <c r="M146" s="37">
        <v>3</v>
      </c>
      <c r="N146" s="27"/>
      <c r="O146" s="28">
        <f t="shared" ref="O146:O151" si="26">C146*M146</f>
        <v>0</v>
      </c>
      <c r="P146" s="28">
        <f>L146*M146</f>
        <v>0</v>
      </c>
      <c r="Q146" s="36"/>
      <c r="R146" s="27"/>
    </row>
    <row r="147" spans="1:18" ht="26.4" x14ac:dyDescent="0.3">
      <c r="A147" s="3" t="str">
        <f>'Autoévaluation client'!A151</f>
        <v>3.1.2.</v>
      </c>
      <c r="B147" s="6" t="str">
        <f>'Autoévaluation client'!C151</f>
        <v>Lors du recrutement du personnel, tient-on compte des aspects de la sécurité au travail et de la santé?</v>
      </c>
      <c r="C147" s="38">
        <f>IF(ISBLANK('Autoévaluation client'!D151),0,1)</f>
        <v>0</v>
      </c>
      <c r="D147" s="165" t="str">
        <f>IF(AND('Autoévaluation client'!D151="",'Autoévaluation client'!E151=""),"*","")</f>
        <v>*</v>
      </c>
      <c r="E147" s="39" t="str">
        <f>IF(ISBLANK('Autoévaluation client'!F151),"",'Autoévaluation client'!F151)</f>
        <v/>
      </c>
      <c r="F147" s="118"/>
      <c r="G147" s="118"/>
      <c r="H147" s="118"/>
      <c r="I147" s="118"/>
      <c r="J147" s="118"/>
      <c r="K147" s="118"/>
      <c r="L147" s="112"/>
      <c r="M147" s="37">
        <v>3</v>
      </c>
      <c r="N147" s="27"/>
      <c r="O147" s="28">
        <f t="shared" si="26"/>
        <v>0</v>
      </c>
      <c r="P147" s="28">
        <f>L147*M147</f>
        <v>0</v>
      </c>
      <c r="Q147" s="36"/>
      <c r="R147" s="27"/>
    </row>
    <row r="148" spans="1:18" ht="26.4" x14ac:dyDescent="0.3">
      <c r="A148" s="3" t="str">
        <f>'Autoévaluation client'!A152</f>
        <v>3.1.3.</v>
      </c>
      <c r="B148" s="6" t="str">
        <f>'Autoévaluation client'!C152</f>
        <v>Des tests d’aptitude sont-ils effectués lors du recrutement? Si oui, pour quelles activités ou charges?</v>
      </c>
      <c r="C148" s="38">
        <f>IF(ISBLANK('Autoévaluation client'!D152),0,1)</f>
        <v>0</v>
      </c>
      <c r="D148" s="165" t="str">
        <f>IF(AND('Autoévaluation client'!D152="",'Autoévaluation client'!E152=""),"*","")</f>
        <v>*</v>
      </c>
      <c r="E148" s="39" t="str">
        <f>IF(ISBLANK('Autoévaluation client'!F152),"",'Autoévaluation client'!F152)</f>
        <v/>
      </c>
      <c r="F148" s="118"/>
      <c r="G148" s="118"/>
      <c r="H148" s="118"/>
      <c r="I148" s="118"/>
      <c r="J148" s="118"/>
      <c r="K148" s="118"/>
      <c r="L148" s="112"/>
      <c r="M148" s="37">
        <v>1</v>
      </c>
      <c r="N148" s="27"/>
      <c r="O148" s="28">
        <f t="shared" si="26"/>
        <v>0</v>
      </c>
      <c r="P148" s="28">
        <f t="shared" ref="P148:P151" si="27">L148*M148</f>
        <v>0</v>
      </c>
      <c r="Q148" s="36"/>
      <c r="R148" s="27"/>
    </row>
    <row r="149" spans="1:18" ht="39.6" x14ac:dyDescent="0.3">
      <c r="A149" s="3" t="str">
        <f>'Autoévaluation client'!A153</f>
        <v>3.1.4.</v>
      </c>
      <c r="B149" s="6" t="str">
        <f>'Autoévaluation client'!C153</f>
        <v>Vérifiez-vous la compréhension du langage propre à l'entreprise et s'agit-il d'un critère de sélection lors du recrutement du personnel?</v>
      </c>
      <c r="C149" s="38">
        <f>IF(ISBLANK('Autoévaluation client'!D153),0,1)</f>
        <v>0</v>
      </c>
      <c r="D149" s="165" t="str">
        <f>IF(AND('Autoévaluation client'!D153="",'Autoévaluation client'!E153=""),"*","")</f>
        <v>*</v>
      </c>
      <c r="E149" s="39" t="str">
        <f>IF(ISBLANK('Autoévaluation client'!F153),"",'Autoévaluation client'!F153)</f>
        <v/>
      </c>
      <c r="F149" s="118"/>
      <c r="G149" s="118"/>
      <c r="H149" s="118"/>
      <c r="I149" s="118"/>
      <c r="J149" s="118"/>
      <c r="K149" s="118"/>
      <c r="L149" s="112"/>
      <c r="M149" s="37">
        <v>2</v>
      </c>
      <c r="N149" s="27"/>
      <c r="O149" s="28">
        <f t="shared" si="26"/>
        <v>0</v>
      </c>
      <c r="P149" s="28">
        <f t="shared" si="27"/>
        <v>0</v>
      </c>
      <c r="Q149" s="36"/>
      <c r="R149" s="27"/>
    </row>
    <row r="150" spans="1:18" ht="39.6" x14ac:dyDescent="0.3">
      <c r="A150" s="3" t="str">
        <f>'Autoévaluation client'!A154</f>
        <v>3.1.5.</v>
      </c>
      <c r="B150" s="6" t="str">
        <f>'Autoévaluation client'!C154</f>
        <v>Le respect de la sécurité dans la conduite du personnel et l'exécution du travail est-il stipulé dans les contrats de travail pour les employés à poste fixe?</v>
      </c>
      <c r="C150" s="38">
        <f>IF(ISBLANK('Autoévaluation client'!D154),0,1)</f>
        <v>0</v>
      </c>
      <c r="D150" s="165" t="str">
        <f>IF(AND('Autoévaluation client'!D154="",'Autoévaluation client'!E154=""),"*","")</f>
        <v>*</v>
      </c>
      <c r="E150" s="39" t="str">
        <f>IF(ISBLANK('Autoévaluation client'!F154),"",'Autoévaluation client'!F154)</f>
        <v/>
      </c>
      <c r="F150" s="120"/>
      <c r="G150" s="120"/>
      <c r="H150" s="120"/>
      <c r="I150" s="120"/>
      <c r="J150" s="120"/>
      <c r="K150" s="120"/>
      <c r="L150" s="112"/>
      <c r="M150" s="37">
        <v>3</v>
      </c>
      <c r="N150" s="27"/>
      <c r="O150" s="28">
        <f t="shared" si="26"/>
        <v>0</v>
      </c>
      <c r="P150" s="28">
        <f t="shared" si="27"/>
        <v>0</v>
      </c>
      <c r="Q150" s="36"/>
      <c r="R150" s="36"/>
    </row>
    <row r="151" spans="1:18" ht="39.6" x14ac:dyDescent="0.3">
      <c r="A151" s="3" t="str">
        <f>'Autoévaluation client'!A155</f>
        <v>3.1.6.</v>
      </c>
      <c r="B151" s="6" t="str">
        <f>'Autoévaluation client'!C155</f>
        <v>Le respect de la sécurité dans l'exécution du travail est-il stipulé dans les contrats de travail pour les employés à temps partiel, les saisonniers et les auxiliaires?</v>
      </c>
      <c r="C151" s="38">
        <f>IF(ISBLANK('Autoévaluation client'!D155),0,1)</f>
        <v>0</v>
      </c>
      <c r="D151" s="165" t="str">
        <f>IF(AND('Autoévaluation client'!D155="",'Autoévaluation client'!E155=""),"*","")</f>
        <v>*</v>
      </c>
      <c r="E151" s="39" t="str">
        <f>IF(ISBLANK('Autoévaluation client'!F155),"",'Autoévaluation client'!F155)</f>
        <v/>
      </c>
      <c r="F151" s="118"/>
      <c r="G151" s="118"/>
      <c r="H151" s="118"/>
      <c r="I151" s="118"/>
      <c r="J151" s="118"/>
      <c r="K151" s="118"/>
      <c r="L151" s="112"/>
      <c r="M151" s="37">
        <v>3</v>
      </c>
      <c r="N151" s="27"/>
      <c r="O151" s="28">
        <f t="shared" si="26"/>
        <v>0</v>
      </c>
      <c r="P151" s="28">
        <f t="shared" si="27"/>
        <v>0</v>
      </c>
      <c r="Q151" s="36"/>
      <c r="R151" s="27"/>
    </row>
    <row r="152" spans="1:18" x14ac:dyDescent="0.3">
      <c r="A152" s="19" t="str">
        <f>'Autoévaluation client'!A156</f>
        <v>3.2.</v>
      </c>
      <c r="B152" s="20" t="str">
        <f>'Autoévaluation client'!B156</f>
        <v>Nouveaux collaborateurs</v>
      </c>
      <c r="C152" s="21">
        <f>O152/N152</f>
        <v>0</v>
      </c>
      <c r="D152" s="23" t="str">
        <f>IF(ISBLANK('Autoévaluation client'!E156),"",'Autoévaluation client'!E156)</f>
        <v/>
      </c>
      <c r="E152" s="23" t="str">
        <f>IF(ISBLANK('Autoévaluation client'!F156),"",'Autoévaluation client'!F156)</f>
        <v/>
      </c>
      <c r="F152" s="115"/>
      <c r="G152" s="115"/>
      <c r="H152" s="115"/>
      <c r="I152" s="115"/>
      <c r="J152" s="115"/>
      <c r="K152" s="115"/>
      <c r="L152" s="50">
        <f>P152/N152</f>
        <v>0</v>
      </c>
      <c r="M152" s="22">
        <v>2</v>
      </c>
      <c r="N152" s="22">
        <f>SUM(M153:M163)</f>
        <v>25</v>
      </c>
      <c r="O152" s="24">
        <f>SUM(O153:O163)</f>
        <v>0</v>
      </c>
      <c r="P152" s="24">
        <f>SUM(P153:P163)</f>
        <v>0</v>
      </c>
      <c r="Q152" s="52">
        <f>O152/$N152*$M152</f>
        <v>0</v>
      </c>
      <c r="R152" s="52">
        <f>P152/$N152*$M152</f>
        <v>0</v>
      </c>
    </row>
    <row r="153" spans="1:18" ht="26.4" x14ac:dyDescent="0.3">
      <c r="A153" s="3" t="str">
        <f>'Autoévaluation client'!A157</f>
        <v>3.2.1.a</v>
      </c>
      <c r="B153" s="6" t="str">
        <f>'Autoévaluation client'!C157</f>
        <v>Disposez-vous de cours d'introduction standard pour:
les nouveaux employés?</v>
      </c>
      <c r="C153" s="38">
        <f>IF(ISBLANK('Autoévaluation client'!D157),0,1)</f>
        <v>0</v>
      </c>
      <c r="D153" s="165" t="str">
        <f>IF(AND('Autoévaluation client'!D157="",'Autoévaluation client'!E157=""),"*","")</f>
        <v>*</v>
      </c>
      <c r="E153" s="39" t="str">
        <f>IF(ISBLANK('Autoévaluation client'!F157),"",'Autoévaluation client'!F157)</f>
        <v/>
      </c>
      <c r="F153" s="118"/>
      <c r="G153" s="118"/>
      <c r="H153" s="118"/>
      <c r="I153" s="118"/>
      <c r="J153" s="118"/>
      <c r="K153" s="118"/>
      <c r="L153" s="112"/>
      <c r="M153" s="37">
        <v>3</v>
      </c>
      <c r="N153" s="27"/>
      <c r="O153" s="28">
        <f t="shared" ref="O153:O163" si="28">M153*C153</f>
        <v>0</v>
      </c>
      <c r="P153" s="43">
        <f t="shared" ref="P153:P163" si="29">L153*M153</f>
        <v>0</v>
      </c>
      <c r="Q153" s="36"/>
      <c r="R153" s="27"/>
    </row>
    <row r="154" spans="1:18" x14ac:dyDescent="0.3">
      <c r="A154" s="3" t="str">
        <f>'Autoévaluation client'!A158</f>
        <v>3.2.1.b</v>
      </c>
      <c r="B154" s="6" t="str">
        <f>'Autoévaluation client'!C158</f>
        <v>les employés temporaires?</v>
      </c>
      <c r="C154" s="38">
        <f>IF(ISBLANK('Autoévaluation client'!D158),0,1)</f>
        <v>0</v>
      </c>
      <c r="D154" s="165" t="str">
        <f>IF(AND('Autoévaluation client'!D158="",'Autoévaluation client'!E158=""),"*","")</f>
        <v>*</v>
      </c>
      <c r="E154" s="39" t="str">
        <f>IF(ISBLANK('Autoévaluation client'!F158),"",'Autoévaluation client'!F158)</f>
        <v/>
      </c>
      <c r="F154" s="118"/>
      <c r="G154" s="118"/>
      <c r="H154" s="118"/>
      <c r="I154" s="118"/>
      <c r="J154" s="118"/>
      <c r="K154" s="118"/>
      <c r="L154" s="112"/>
      <c r="M154" s="37">
        <v>3</v>
      </c>
      <c r="N154" s="27"/>
      <c r="O154" s="28">
        <f t="shared" si="28"/>
        <v>0</v>
      </c>
      <c r="P154" s="43">
        <f>L154*M154</f>
        <v>0</v>
      </c>
      <c r="Q154" s="36"/>
      <c r="R154" s="27"/>
    </row>
    <row r="155" spans="1:18" x14ac:dyDescent="0.3">
      <c r="A155" s="3" t="str">
        <f>'Autoévaluation client'!A159</f>
        <v>3.2.1.c</v>
      </c>
      <c r="B155" s="6" t="str">
        <f>'Autoévaluation client'!C159</f>
        <v>les employés mutés?</v>
      </c>
      <c r="C155" s="38">
        <f>IF(ISBLANK('Autoévaluation client'!D159),0,1)</f>
        <v>0</v>
      </c>
      <c r="D155" s="165" t="str">
        <f>IF(AND('Autoévaluation client'!D159="",'Autoévaluation client'!E159=""),"*","")</f>
        <v>*</v>
      </c>
      <c r="E155" s="39" t="str">
        <f>IF(ISBLANK('Autoévaluation client'!F159),"",'Autoévaluation client'!F159)</f>
        <v/>
      </c>
      <c r="F155" s="120"/>
      <c r="G155" s="120"/>
      <c r="H155" s="120"/>
      <c r="I155" s="120"/>
      <c r="J155" s="120"/>
      <c r="K155" s="120"/>
      <c r="L155" s="112"/>
      <c r="M155" s="37">
        <v>1</v>
      </c>
      <c r="N155" s="27"/>
      <c r="O155" s="28">
        <f t="shared" si="28"/>
        <v>0</v>
      </c>
      <c r="P155" s="43">
        <f t="shared" si="29"/>
        <v>0</v>
      </c>
      <c r="Q155" s="36"/>
      <c r="R155" s="27"/>
    </row>
    <row r="156" spans="1:18" ht="39.6" x14ac:dyDescent="0.3">
      <c r="A156" s="3" t="str">
        <f>'Autoévaluation client'!A160</f>
        <v>3.2.2.</v>
      </c>
      <c r="B156" s="6" t="str">
        <f>'Autoévaluation client'!C160</f>
        <v>Lors de l'introduction d'un nouveau collaborateur, utilisez-vous des listes de mots-clés ou des listes de contrôles spécifiques?</v>
      </c>
      <c r="C156" s="38">
        <f>IF(ISBLANK('Autoévaluation client'!D160),0,1)</f>
        <v>0</v>
      </c>
      <c r="D156" s="165" t="str">
        <f>IF(AND('Autoévaluation client'!D160="",'Autoévaluation client'!E160=""),"*","")</f>
        <v>*</v>
      </c>
      <c r="E156" s="39" t="str">
        <f>IF(ISBLANK('Autoévaluation client'!F160),"",'Autoévaluation client'!F160)</f>
        <v/>
      </c>
      <c r="F156" s="120"/>
      <c r="G156" s="120"/>
      <c r="H156" s="120"/>
      <c r="I156" s="120"/>
      <c r="J156" s="120"/>
      <c r="K156" s="120"/>
      <c r="L156" s="112"/>
      <c r="M156" s="37">
        <v>2</v>
      </c>
      <c r="N156" s="27"/>
      <c r="O156" s="28">
        <f t="shared" si="28"/>
        <v>0</v>
      </c>
      <c r="P156" s="43">
        <f t="shared" si="29"/>
        <v>0</v>
      </c>
      <c r="Q156" s="36"/>
      <c r="R156" s="36"/>
    </row>
    <row r="157" spans="1:18" ht="39.6" x14ac:dyDescent="0.3">
      <c r="A157" s="3" t="str">
        <f>'Autoévaluation client'!A161</f>
        <v>3.2.3.a</v>
      </c>
      <c r="B157" s="6" t="str">
        <f>'Autoévaluation client'!C161</f>
        <v>La sécurité et la protection de la santé font-elles partie intégrante de l’introduction:
des nouveaux employés?</v>
      </c>
      <c r="C157" s="38">
        <f>IF(ISBLANK('Autoévaluation client'!D161),0,1)</f>
        <v>0</v>
      </c>
      <c r="D157" s="165" t="str">
        <f>IF(AND('Autoévaluation client'!D161="",'Autoévaluation client'!E161=""),"*","")</f>
        <v>*</v>
      </c>
      <c r="E157" s="39" t="str">
        <f>IF(ISBLANK('Autoévaluation client'!F161),"",'Autoévaluation client'!F161)</f>
        <v/>
      </c>
      <c r="F157" s="118"/>
      <c r="G157" s="118"/>
      <c r="H157" s="118"/>
      <c r="I157" s="118"/>
      <c r="J157" s="118"/>
      <c r="K157" s="118"/>
      <c r="L157" s="112"/>
      <c r="M157" s="37">
        <v>3</v>
      </c>
      <c r="N157" s="27"/>
      <c r="O157" s="28">
        <f t="shared" si="28"/>
        <v>0</v>
      </c>
      <c r="P157" s="43">
        <f t="shared" si="29"/>
        <v>0</v>
      </c>
      <c r="Q157" s="36"/>
      <c r="R157" s="27"/>
    </row>
    <row r="158" spans="1:18" x14ac:dyDescent="0.3">
      <c r="A158" s="3" t="str">
        <f>'Autoévaluation client'!A162</f>
        <v>3.2.3.b</v>
      </c>
      <c r="B158" s="6" t="str">
        <f>'Autoévaluation client'!C162</f>
        <v>des employés temporaires?</v>
      </c>
      <c r="C158" s="38">
        <f>IF(ISBLANK('Autoévaluation client'!D162),0,1)</f>
        <v>0</v>
      </c>
      <c r="D158" s="165" t="str">
        <f>IF(AND('Autoévaluation client'!D162="",'Autoévaluation client'!E162=""),"*","")</f>
        <v>*</v>
      </c>
      <c r="E158" s="39" t="str">
        <f>IF(ISBLANK('Autoévaluation client'!F162),"",'Autoévaluation client'!F162)</f>
        <v/>
      </c>
      <c r="F158" s="118"/>
      <c r="G158" s="118"/>
      <c r="H158" s="118"/>
      <c r="I158" s="118"/>
      <c r="J158" s="118"/>
      <c r="K158" s="118"/>
      <c r="L158" s="112"/>
      <c r="M158" s="37">
        <v>3</v>
      </c>
      <c r="N158" s="27"/>
      <c r="O158" s="28">
        <f t="shared" si="28"/>
        <v>0</v>
      </c>
      <c r="P158" s="43">
        <f t="shared" si="29"/>
        <v>0</v>
      </c>
      <c r="Q158" s="36"/>
      <c r="R158" s="27"/>
    </row>
    <row r="159" spans="1:18" x14ac:dyDescent="0.3">
      <c r="A159" s="3" t="str">
        <f>'Autoévaluation client'!A163</f>
        <v>3.2.3.c</v>
      </c>
      <c r="B159" s="6" t="str">
        <f>'Autoévaluation client'!C163</f>
        <v>des employés mutés?</v>
      </c>
      <c r="C159" s="38">
        <f>IF(ISBLANK('Autoévaluation client'!D163),0,1)</f>
        <v>0</v>
      </c>
      <c r="D159" s="165" t="str">
        <f>IF(AND('Autoévaluation client'!D163="",'Autoévaluation client'!E163=""),"*","")</f>
        <v>*</v>
      </c>
      <c r="E159" s="39" t="str">
        <f>IF(ISBLANK('Autoévaluation client'!F163),"",'Autoévaluation client'!F163)</f>
        <v/>
      </c>
      <c r="F159" s="118"/>
      <c r="G159" s="118"/>
      <c r="H159" s="118"/>
      <c r="I159" s="118"/>
      <c r="J159" s="118"/>
      <c r="K159" s="118"/>
      <c r="L159" s="112"/>
      <c r="M159" s="37">
        <v>1</v>
      </c>
      <c r="N159" s="27"/>
      <c r="O159" s="28">
        <f t="shared" si="28"/>
        <v>0</v>
      </c>
      <c r="P159" s="43">
        <f t="shared" si="29"/>
        <v>0</v>
      </c>
      <c r="Q159" s="36"/>
      <c r="R159" s="27"/>
    </row>
    <row r="160" spans="1:18" ht="39.6" x14ac:dyDescent="0.3">
      <c r="A160" s="3" t="str">
        <f>'Autoévaluation client'!A164</f>
        <v>3.2.4. a</v>
      </c>
      <c r="B160" s="6" t="str">
        <f>'Autoévaluation client'!C164</f>
        <v>Remettez-vous des documents spécifiques sur la sécurité
et la protection de la santé:
aux nouveaux employés?</v>
      </c>
      <c r="C160" s="38">
        <f>IF(ISBLANK('Autoévaluation client'!D164),0,1)</f>
        <v>0</v>
      </c>
      <c r="D160" s="165" t="str">
        <f>IF(AND('Autoévaluation client'!D164="",'Autoévaluation client'!E164=""),"*","")</f>
        <v>*</v>
      </c>
      <c r="E160" s="39" t="str">
        <f>IF(ISBLANK('Autoévaluation client'!F164),"",'Autoévaluation client'!F164)</f>
        <v/>
      </c>
      <c r="F160" s="118"/>
      <c r="G160" s="118"/>
      <c r="H160" s="118"/>
      <c r="I160" s="118"/>
      <c r="J160" s="118"/>
      <c r="K160" s="118"/>
      <c r="L160" s="112"/>
      <c r="M160" s="37">
        <v>2</v>
      </c>
      <c r="N160" s="27"/>
      <c r="O160" s="28">
        <f t="shared" si="28"/>
        <v>0</v>
      </c>
      <c r="P160" s="43">
        <f t="shared" si="29"/>
        <v>0</v>
      </c>
      <c r="Q160" s="36"/>
      <c r="R160" s="27"/>
    </row>
    <row r="161" spans="1:18" x14ac:dyDescent="0.3">
      <c r="A161" s="3" t="str">
        <f>'Autoévaluation client'!A165</f>
        <v>3.2.4.b</v>
      </c>
      <c r="B161" s="6" t="str">
        <f>'Autoévaluation client'!C165</f>
        <v>aux employés temporaires?</v>
      </c>
      <c r="C161" s="38">
        <f>IF(ISBLANK('Autoévaluation client'!D165),0,1)</f>
        <v>0</v>
      </c>
      <c r="D161" s="165" t="str">
        <f>IF(AND('Autoévaluation client'!D165="",'Autoévaluation client'!E165=""),"*","")</f>
        <v>*</v>
      </c>
      <c r="E161" s="39" t="str">
        <f>IF(ISBLANK('Autoévaluation client'!F165),"",'Autoévaluation client'!F165)</f>
        <v/>
      </c>
      <c r="F161" s="118"/>
      <c r="G161" s="118"/>
      <c r="H161" s="118"/>
      <c r="I161" s="118"/>
      <c r="J161" s="118"/>
      <c r="K161" s="118"/>
      <c r="L161" s="112"/>
      <c r="M161" s="37">
        <v>2</v>
      </c>
      <c r="N161" s="27"/>
      <c r="O161" s="28">
        <f t="shared" si="28"/>
        <v>0</v>
      </c>
      <c r="P161" s="43">
        <f t="shared" si="29"/>
        <v>0</v>
      </c>
      <c r="Q161" s="36"/>
      <c r="R161" s="27"/>
    </row>
    <row r="162" spans="1:18" x14ac:dyDescent="0.3">
      <c r="A162" s="3" t="str">
        <f>'Autoévaluation client'!A166</f>
        <v>3.2.4.c</v>
      </c>
      <c r="B162" s="6" t="str">
        <f>'Autoévaluation client'!C166</f>
        <v>aux employés mutés?</v>
      </c>
      <c r="C162" s="38">
        <f>IF(ISBLANK('Autoévaluation client'!D166),0,1)</f>
        <v>0</v>
      </c>
      <c r="D162" s="165" t="str">
        <f>IF(AND('Autoévaluation client'!D166="",'Autoévaluation client'!E166=""),"*","")</f>
        <v>*</v>
      </c>
      <c r="E162" s="39" t="str">
        <f>IF(ISBLANK('Autoévaluation client'!F166),"",'Autoévaluation client'!F166)</f>
        <v/>
      </c>
      <c r="F162" s="118"/>
      <c r="G162" s="118"/>
      <c r="H162" s="118"/>
      <c r="I162" s="118"/>
      <c r="J162" s="118"/>
      <c r="K162" s="118"/>
      <c r="L162" s="112"/>
      <c r="M162" s="37">
        <v>1</v>
      </c>
      <c r="N162" s="27"/>
      <c r="O162" s="28">
        <f t="shared" si="28"/>
        <v>0</v>
      </c>
      <c r="P162" s="43">
        <f t="shared" si="29"/>
        <v>0</v>
      </c>
      <c r="Q162" s="36"/>
      <c r="R162" s="27"/>
    </row>
    <row r="163" spans="1:18" ht="39.6" x14ac:dyDescent="0.3">
      <c r="A163" s="3" t="str">
        <f>'Autoévaluation client'!A167</f>
        <v>3.2.5.</v>
      </c>
      <c r="B163" s="6" t="str">
        <f>'Autoévaluation client'!C167</f>
        <v>Le respect de la sécurité dans la conduite du personnel et dans l'exécution du travail fait-il partie des critères d'évaluation durant la période d'essai?</v>
      </c>
      <c r="C163" s="38">
        <f>IF(ISBLANK('Autoévaluation client'!D167),0,1)</f>
        <v>0</v>
      </c>
      <c r="D163" s="165" t="str">
        <f>IF(AND('Autoévaluation client'!D167="",'Autoévaluation client'!E167=""),"*","")</f>
        <v>*</v>
      </c>
      <c r="E163" s="39" t="str">
        <f>IF(ISBLANK('Autoévaluation client'!F167),"",'Autoévaluation client'!F167)</f>
        <v/>
      </c>
      <c r="F163" s="120"/>
      <c r="G163" s="120"/>
      <c r="H163" s="120"/>
      <c r="I163" s="120"/>
      <c r="J163" s="120"/>
      <c r="K163" s="120"/>
      <c r="L163" s="112"/>
      <c r="M163" s="37">
        <v>4</v>
      </c>
      <c r="N163" s="27"/>
      <c r="O163" s="28">
        <f t="shared" si="28"/>
        <v>0</v>
      </c>
      <c r="P163" s="43">
        <f t="shared" si="29"/>
        <v>0</v>
      </c>
      <c r="Q163" s="36"/>
      <c r="R163" s="36"/>
    </row>
    <row r="164" spans="1:18" x14ac:dyDescent="0.3">
      <c r="A164" s="19" t="str">
        <f>'Autoévaluation client'!A168</f>
        <v>3.3.</v>
      </c>
      <c r="B164" s="20" t="str">
        <f>'Autoévaluation client'!B168</f>
        <v>Besoins en formation, promotion du personnel</v>
      </c>
      <c r="C164" s="21">
        <f>O164/N164</f>
        <v>0</v>
      </c>
      <c r="D164" s="23" t="str">
        <f>IF(ISBLANK('Autoévaluation client'!E168),"",'Autoévaluation client'!E168)</f>
        <v/>
      </c>
      <c r="E164" s="23" t="str">
        <f>IF(ISBLANK('Autoévaluation client'!F168),"",'Autoévaluation client'!F168)</f>
        <v/>
      </c>
      <c r="F164" s="115"/>
      <c r="G164" s="115"/>
      <c r="H164" s="115"/>
      <c r="I164" s="115"/>
      <c r="J164" s="115"/>
      <c r="K164" s="115"/>
      <c r="L164" s="50">
        <f>P164/N164</f>
        <v>0</v>
      </c>
      <c r="M164" s="22">
        <v>1</v>
      </c>
      <c r="N164" s="24">
        <f>SUM(M165:M169)</f>
        <v>13</v>
      </c>
      <c r="O164" s="24">
        <f>SUM(O165:O169)</f>
        <v>0</v>
      </c>
      <c r="P164" s="24">
        <f>SUM(P165:P169)</f>
        <v>0</v>
      </c>
      <c r="Q164" s="52">
        <f>O164/$N164*$M164</f>
        <v>0</v>
      </c>
      <c r="R164" s="52">
        <f>P164/$N164*$M164</f>
        <v>0</v>
      </c>
    </row>
    <row r="165" spans="1:18" ht="39.6" x14ac:dyDescent="0.3">
      <c r="A165" s="3" t="str">
        <f>'Autoévaluation client'!A169</f>
        <v>3.3.1.</v>
      </c>
      <c r="B165" s="6" t="str">
        <f>'Autoévaluation client'!C169</f>
        <v>Les profils d’exigences et les profils du rendement des employés sont-ils vérifiés régulièrement et systématiquement?</v>
      </c>
      <c r="C165" s="38">
        <f>IF(ISBLANK('Autoévaluation client'!D169),0,1)</f>
        <v>0</v>
      </c>
      <c r="D165" s="165" t="str">
        <f>IF(AND('Autoévaluation client'!D169="",'Autoévaluation client'!E169=""),"*","")</f>
        <v>*</v>
      </c>
      <c r="E165" s="39" t="str">
        <f>IF(ISBLANK('Autoévaluation client'!F169),"",'Autoévaluation client'!F169)</f>
        <v/>
      </c>
      <c r="F165" s="118"/>
      <c r="G165" s="118"/>
      <c r="H165" s="118"/>
      <c r="I165" s="118"/>
      <c r="J165" s="118"/>
      <c r="K165" s="118"/>
      <c r="L165" s="112"/>
      <c r="M165" s="37">
        <v>3</v>
      </c>
      <c r="N165" s="27"/>
      <c r="O165" s="28">
        <f>M165*C165</f>
        <v>0</v>
      </c>
      <c r="P165" s="43">
        <f t="shared" ref="P165:P169" si="30">L165*M165</f>
        <v>0</v>
      </c>
      <c r="Q165" s="36"/>
      <c r="R165" s="27"/>
    </row>
    <row r="166" spans="1:18" ht="39.6" x14ac:dyDescent="0.3">
      <c r="A166" s="3" t="str">
        <f>'Autoévaluation client'!A170</f>
        <v>3.3.2.</v>
      </c>
      <c r="B166" s="6" t="str">
        <f>'Autoévaluation client'!C170</f>
        <v>La santé et la sécurité sont-elles prises en compte dans l'identification des lacunes de compétences et des besoins de formation ?</v>
      </c>
      <c r="C166" s="38">
        <f>IF(ISBLANK('Autoévaluation client'!D170),0,1)</f>
        <v>0</v>
      </c>
      <c r="D166" s="165" t="str">
        <f>IF(AND('Autoévaluation client'!D170="",'Autoévaluation client'!E170=""),"*","")</f>
        <v>*</v>
      </c>
      <c r="E166" s="39" t="str">
        <f>IF(ISBLANK('Autoévaluation client'!F170),"",'Autoévaluation client'!F170)</f>
        <v/>
      </c>
      <c r="F166" s="118"/>
      <c r="G166" s="118"/>
      <c r="H166" s="118"/>
      <c r="I166" s="118"/>
      <c r="J166" s="118"/>
      <c r="K166" s="118"/>
      <c r="L166" s="112"/>
      <c r="M166" s="37">
        <v>3</v>
      </c>
      <c r="N166" s="27"/>
      <c r="O166" s="28">
        <f>M166*C166</f>
        <v>0</v>
      </c>
      <c r="P166" s="43">
        <f t="shared" si="30"/>
        <v>0</v>
      </c>
      <c r="Q166" s="36"/>
      <c r="R166" s="27"/>
    </row>
    <row r="167" spans="1:18" ht="26.4" x14ac:dyDescent="0.3">
      <c r="A167" s="3" t="str">
        <f>'Autoévaluation client'!A171</f>
        <v>3.3.3.</v>
      </c>
      <c r="B167" s="6" t="str">
        <f>'Autoévaluation client'!C171</f>
        <v>Votre entreprise dispose-t-elle d'un concept de promotion du personnel?</v>
      </c>
      <c r="C167" s="38">
        <f>IF(ISBLANK('Autoévaluation client'!D171),0,1)</f>
        <v>0</v>
      </c>
      <c r="D167" s="165" t="str">
        <f>IF(AND('Autoévaluation client'!D171="",'Autoévaluation client'!E171=""),"*","")</f>
        <v>*</v>
      </c>
      <c r="E167" s="39" t="str">
        <f>IF(ISBLANK('Autoévaluation client'!F171),"",'Autoévaluation client'!F171)</f>
        <v/>
      </c>
      <c r="F167" s="118"/>
      <c r="G167" s="118"/>
      <c r="H167" s="118"/>
      <c r="I167" s="118"/>
      <c r="J167" s="118"/>
      <c r="K167" s="118"/>
      <c r="L167" s="112"/>
      <c r="M167" s="37">
        <v>1</v>
      </c>
      <c r="N167" s="27"/>
      <c r="O167" s="28">
        <f>M167*C167</f>
        <v>0</v>
      </c>
      <c r="P167" s="43">
        <f t="shared" si="30"/>
        <v>0</v>
      </c>
      <c r="Q167" s="36"/>
      <c r="R167" s="27"/>
    </row>
    <row r="168" spans="1:18" ht="79.2" x14ac:dyDescent="0.3">
      <c r="A168" s="3" t="str">
        <f>'Autoévaluation client'!A172</f>
        <v>3.3.4.</v>
      </c>
      <c r="B168" s="6" t="str">
        <f>'Autoévaluation client'!C172</f>
        <v>Si oui, la sécurité et la promotion de la santé* en constituent-elles des éléments clés?
*L'expression «promotion de la santé» dépasse l'expression conventionnelle de «protection de la santé». 
Elle comprend l'ensemble des aspects individuels et sociaux contribuant à la santé des collaborateurs.</v>
      </c>
      <c r="C168" s="38">
        <f>IF(ISBLANK('Autoévaluation client'!D172),0,1)</f>
        <v>0</v>
      </c>
      <c r="D168" s="165" t="str">
        <f>IF(AND('Autoévaluation client'!D172="",'Autoévaluation client'!E172=""),"*","")</f>
        <v>*</v>
      </c>
      <c r="E168" s="39" t="str">
        <f>IF(ISBLANK('Autoévaluation client'!F172),"",'Autoévaluation client'!F172)</f>
        <v/>
      </c>
      <c r="F168" s="118"/>
      <c r="G168" s="118"/>
      <c r="H168" s="118"/>
      <c r="I168" s="118"/>
      <c r="J168" s="118"/>
      <c r="K168" s="118"/>
      <c r="L168" s="112"/>
      <c r="M168" s="37">
        <v>2</v>
      </c>
      <c r="N168" s="27"/>
      <c r="O168" s="28">
        <f>M168*C168</f>
        <v>0</v>
      </c>
      <c r="P168" s="43">
        <f t="shared" si="30"/>
        <v>0</v>
      </c>
      <c r="Q168" s="36"/>
      <c r="R168" s="27"/>
    </row>
    <row r="169" spans="1:18" ht="39.6" x14ac:dyDescent="0.3">
      <c r="A169" s="3" t="str">
        <f>'Autoévaluation client'!A173</f>
        <v>3.3.5.</v>
      </c>
      <c r="B169" s="6" t="str">
        <f>'Autoévaluation client'!C173</f>
        <v>Procédez-vous à un contrôle nominatif de la formation, du perfectionnement et des autres mesures de promotion du personnel?</v>
      </c>
      <c r="C169" s="38">
        <f>IF(ISBLANK('Autoévaluation client'!D173),0,1)</f>
        <v>0</v>
      </c>
      <c r="D169" s="165" t="str">
        <f>IF(AND('Autoévaluation client'!D173="",'Autoévaluation client'!E173=""),"*","")</f>
        <v>*</v>
      </c>
      <c r="E169" s="39" t="str">
        <f>IF(ISBLANK('Autoévaluation client'!F173),"",'Autoévaluation client'!F173)</f>
        <v/>
      </c>
      <c r="F169" s="120"/>
      <c r="G169" s="120"/>
      <c r="H169" s="120"/>
      <c r="I169" s="120"/>
      <c r="J169" s="120"/>
      <c r="K169" s="120"/>
      <c r="L169" s="112"/>
      <c r="M169" s="37">
        <v>4</v>
      </c>
      <c r="N169" s="27"/>
      <c r="O169" s="28">
        <f>M169*C169</f>
        <v>0</v>
      </c>
      <c r="P169" s="43">
        <f t="shared" si="30"/>
        <v>0</v>
      </c>
      <c r="Q169" s="36"/>
      <c r="R169" s="27"/>
    </row>
    <row r="170" spans="1:18" x14ac:dyDescent="0.3">
      <c r="A170" s="19" t="str">
        <f>'Autoévaluation client'!A174</f>
        <v>3.4.</v>
      </c>
      <c r="B170" s="20" t="str">
        <f>'Autoévaluation client'!B174</f>
        <v>Formation du personnel</v>
      </c>
      <c r="C170" s="21">
        <f>O170/N170</f>
        <v>0</v>
      </c>
      <c r="D170" s="23" t="str">
        <f>IF(ISBLANK('Autoévaluation client'!E174),"",'Autoévaluation client'!E174)</f>
        <v/>
      </c>
      <c r="E170" s="23" t="str">
        <f>IF(ISBLANK('Autoévaluation client'!F174),"",'Autoévaluation client'!F174)</f>
        <v/>
      </c>
      <c r="F170" s="115"/>
      <c r="G170" s="115"/>
      <c r="H170" s="115"/>
      <c r="I170" s="115"/>
      <c r="J170" s="115"/>
      <c r="K170" s="115"/>
      <c r="L170" s="50">
        <f>P170/N170</f>
        <v>0</v>
      </c>
      <c r="M170" s="23">
        <v>1</v>
      </c>
      <c r="N170" s="22">
        <f>SUM(M171:M174)</f>
        <v>5</v>
      </c>
      <c r="O170" s="24">
        <f>SUM(O171:O174)</f>
        <v>0</v>
      </c>
      <c r="P170" s="24">
        <f>SUM(P171:P174)</f>
        <v>0</v>
      </c>
      <c r="Q170" s="52">
        <f>O170/$N170*$M170</f>
        <v>0</v>
      </c>
      <c r="R170" s="52">
        <f>P170/$N170*$M170</f>
        <v>0</v>
      </c>
    </row>
    <row r="171" spans="1:18" ht="26.4" x14ac:dyDescent="0.3">
      <c r="A171" s="3" t="str">
        <f>'Autoévaluation client'!A175</f>
        <v>3.4.1.</v>
      </c>
      <c r="B171" s="6" t="str">
        <f>'Autoévaluation client'!C175</f>
        <v>Disposez-vous d'offres et programmes de formation spécifiques?</v>
      </c>
      <c r="C171" s="38">
        <f>IF(ISBLANK('Autoévaluation client'!D175),0,1)</f>
        <v>0</v>
      </c>
      <c r="D171" s="165" t="str">
        <f>IF(AND('Autoévaluation client'!D175="",'Autoévaluation client'!E175=""),"*","")</f>
        <v>*</v>
      </c>
      <c r="E171" s="39" t="str">
        <f>IF(ISBLANK('Autoévaluation client'!F175),"",'Autoévaluation client'!F175)</f>
        <v/>
      </c>
      <c r="F171" s="118"/>
      <c r="G171" s="118"/>
      <c r="H171" s="118"/>
      <c r="I171" s="118"/>
      <c r="J171" s="118"/>
      <c r="K171" s="118"/>
      <c r="L171" s="112"/>
      <c r="M171" s="37">
        <v>0</v>
      </c>
      <c r="N171" s="27"/>
      <c r="O171" s="28">
        <f>C171*M171</f>
        <v>0</v>
      </c>
      <c r="P171" s="43">
        <f t="shared" ref="P171:P174" si="31">L171*M171</f>
        <v>0</v>
      </c>
      <c r="Q171" s="36"/>
      <c r="R171" s="27"/>
    </row>
    <row r="172" spans="1:18" ht="26.4" x14ac:dyDescent="0.3">
      <c r="A172" s="3" t="str">
        <f>'Autoévaluation client'!A176</f>
        <v>3.4.2.</v>
      </c>
      <c r="B172" s="6" t="str">
        <f>'Autoévaluation client'!C176</f>
        <v>La sécurité et la protection de la santé font-elles partie des formations proposées?</v>
      </c>
      <c r="C172" s="38">
        <f>IF(ISBLANK('Autoévaluation client'!D176),0,1)</f>
        <v>0</v>
      </c>
      <c r="D172" s="165" t="str">
        <f>IF(AND('Autoévaluation client'!D176="",'Autoévaluation client'!E176=""),"*","")</f>
        <v>*</v>
      </c>
      <c r="E172" s="39" t="str">
        <f>IF(ISBLANK('Autoévaluation client'!F176),"",'Autoévaluation client'!F176)</f>
        <v/>
      </c>
      <c r="F172" s="118"/>
      <c r="G172" s="118"/>
      <c r="H172" s="118"/>
      <c r="I172" s="118"/>
      <c r="J172" s="118"/>
      <c r="K172" s="118"/>
      <c r="L172" s="112"/>
      <c r="M172" s="37">
        <v>0</v>
      </c>
      <c r="N172" s="27"/>
      <c r="O172" s="28">
        <f>C172*M172</f>
        <v>0</v>
      </c>
      <c r="P172" s="43">
        <f t="shared" si="31"/>
        <v>0</v>
      </c>
      <c r="Q172" s="36"/>
      <c r="R172" s="27"/>
    </row>
    <row r="173" spans="1:18" ht="26.4" x14ac:dyDescent="0.3">
      <c r="A173" s="3" t="str">
        <f>'Autoévaluation client'!A177</f>
        <v>3.4.3.</v>
      </c>
      <c r="B173" s="6" t="str">
        <f>'Autoévaluation client'!C177</f>
        <v>Votre entreprise recourt-elle à des offres de formation émanant de groupements économiques ou professionnels?</v>
      </c>
      <c r="C173" s="38">
        <f>IF(ISBLANK('Autoévaluation client'!D177),0,1)</f>
        <v>0</v>
      </c>
      <c r="D173" s="165" t="str">
        <f>IF(AND('Autoévaluation client'!D177="",'Autoévaluation client'!E177=""),"*","")</f>
        <v>*</v>
      </c>
      <c r="E173" s="39" t="str">
        <f>IF(ISBLANK('Autoévaluation client'!F177),"",'Autoévaluation client'!F177)</f>
        <v/>
      </c>
      <c r="F173" s="120"/>
      <c r="G173" s="120"/>
      <c r="H173" s="120"/>
      <c r="I173" s="120"/>
      <c r="J173" s="120"/>
      <c r="K173" s="120"/>
      <c r="L173" s="112"/>
      <c r="M173" s="37">
        <v>2</v>
      </c>
      <c r="N173" s="27"/>
      <c r="O173" s="28">
        <f>C173*M173</f>
        <v>0</v>
      </c>
      <c r="P173" s="43">
        <f t="shared" si="31"/>
        <v>0</v>
      </c>
      <c r="Q173" s="36"/>
      <c r="R173" s="27"/>
    </row>
    <row r="174" spans="1:18" ht="39.6" x14ac:dyDescent="0.3">
      <c r="A174" s="3" t="str">
        <f>'Autoévaluation client'!A178</f>
        <v>3.4.4.</v>
      </c>
      <c r="B174" s="6" t="str">
        <f>'Autoévaluation client'!C178</f>
        <v>Les offres de formation externes portent-elles également sur des thèmes concernant la sécurité et la protection de la santé? Si oui, lesquels?</v>
      </c>
      <c r="C174" s="38">
        <f>IF(ISBLANK('Autoévaluation client'!D178),0,1)</f>
        <v>0</v>
      </c>
      <c r="D174" s="165" t="str">
        <f>IF(AND('Autoévaluation client'!D178="",'Autoévaluation client'!E178=""),"*","")</f>
        <v>*</v>
      </c>
      <c r="E174" s="39" t="str">
        <f>IF(ISBLANK('Autoévaluation client'!F178),"",'Autoévaluation client'!F178)</f>
        <v/>
      </c>
      <c r="F174" s="118"/>
      <c r="G174" s="118"/>
      <c r="H174" s="118"/>
      <c r="I174" s="118"/>
      <c r="J174" s="118"/>
      <c r="K174" s="118"/>
      <c r="L174" s="112"/>
      <c r="M174" s="37">
        <v>3</v>
      </c>
      <c r="N174" s="27"/>
      <c r="O174" s="28">
        <f>C174*M174</f>
        <v>0</v>
      </c>
      <c r="P174" s="43">
        <f t="shared" si="31"/>
        <v>0</v>
      </c>
      <c r="Q174" s="36"/>
      <c r="R174" s="27"/>
    </row>
    <row r="175" spans="1:18" x14ac:dyDescent="0.3">
      <c r="A175" s="19" t="str">
        <f>'Autoévaluation client'!A179</f>
        <v>3.5.</v>
      </c>
      <c r="B175" s="20" t="str">
        <f xml:space="preserve"> 'Autoévaluation client'!B179</f>
        <v>Formation à la place de travail</v>
      </c>
      <c r="C175" s="21">
        <f>O175/N175</f>
        <v>0</v>
      </c>
      <c r="D175" s="23" t="str">
        <f>IF(ISBLANK('Autoévaluation client'!E179),"",'Autoévaluation client'!E179)</f>
        <v/>
      </c>
      <c r="E175" s="23" t="str">
        <f>IF(ISBLANK('Autoévaluation client'!F179),"",'Autoévaluation client'!F179)</f>
        <v/>
      </c>
      <c r="F175" s="115"/>
      <c r="G175" s="115"/>
      <c r="H175" s="115"/>
      <c r="I175" s="115"/>
      <c r="J175" s="115"/>
      <c r="K175" s="115"/>
      <c r="L175" s="50">
        <f>P175/N175</f>
        <v>0</v>
      </c>
      <c r="M175" s="22">
        <v>3</v>
      </c>
      <c r="N175" s="22">
        <f>SUM(M176:M181)</f>
        <v>19</v>
      </c>
      <c r="O175" s="24">
        <f>SUM(O176:O181)</f>
        <v>0</v>
      </c>
      <c r="P175" s="24">
        <f>SUM(P176:P181)</f>
        <v>0</v>
      </c>
      <c r="Q175" s="52">
        <f>O175/$N175*$M175</f>
        <v>0</v>
      </c>
      <c r="R175" s="52">
        <f>P175/$N175*$M175</f>
        <v>0</v>
      </c>
    </row>
    <row r="176" spans="1:18" ht="26.4" x14ac:dyDescent="0.3">
      <c r="A176" s="3" t="str">
        <f>'Autoévaluation client'!A180</f>
        <v>3.5.1.</v>
      </c>
      <c r="B176" s="6" t="str">
        <f>'Autoévaluation client'!C180</f>
        <v>Votre entreprise fait-elle et encourage-t-elle délibérément la «formation à la place de travail»?</v>
      </c>
      <c r="C176" s="38">
        <f>IF(ISBLANK('Autoévaluation client'!D180),0,1)</f>
        <v>0</v>
      </c>
      <c r="D176" s="165" t="str">
        <f>IF(AND('Autoévaluation client'!D180="",'Autoévaluation client'!E180=""),"*","")</f>
        <v>*</v>
      </c>
      <c r="E176" s="39" t="str">
        <f>IF(ISBLANK('Autoévaluation client'!F180),"",'Autoévaluation client'!F180)</f>
        <v/>
      </c>
      <c r="F176" s="118"/>
      <c r="G176" s="118"/>
      <c r="H176" s="118"/>
      <c r="I176" s="118"/>
      <c r="J176" s="118"/>
      <c r="K176" s="118"/>
      <c r="L176" s="112"/>
      <c r="M176" s="37">
        <v>3</v>
      </c>
      <c r="N176" s="27"/>
      <c r="O176" s="28">
        <f t="shared" ref="O176:O181" si="32">C176*M176</f>
        <v>0</v>
      </c>
      <c r="P176" s="43">
        <f t="shared" ref="P176:P181" si="33">L176*M176</f>
        <v>0</v>
      </c>
      <c r="Q176" s="36"/>
      <c r="R176" s="27"/>
    </row>
    <row r="177" spans="1:18" ht="39.6" x14ac:dyDescent="0.3">
      <c r="A177" s="3" t="str">
        <f>'Autoévaluation client'!A181</f>
        <v>3.5.2.</v>
      </c>
      <c r="B177" s="6" t="str">
        <f>'Autoévaluation client'!C181</f>
        <v>Les accidents, presqu'accidents et autres incidents servent-ils à tirer des leçons, à prendre des mesures concrètes et à combler les lacunes en matière de formation?</v>
      </c>
      <c r="C177" s="38">
        <f>IF(ISBLANK('Autoévaluation client'!D181),0,1)</f>
        <v>0</v>
      </c>
      <c r="D177" s="165" t="str">
        <f>IF(AND('Autoévaluation client'!D181="",'Autoévaluation client'!E181=""),"*","")</f>
        <v>*</v>
      </c>
      <c r="E177" s="39" t="str">
        <f>IF(ISBLANK('Autoévaluation client'!F181),"",'Autoévaluation client'!F181)</f>
        <v/>
      </c>
      <c r="F177" s="118"/>
      <c r="G177" s="118"/>
      <c r="H177" s="118"/>
      <c r="I177" s="118"/>
      <c r="J177" s="118"/>
      <c r="K177" s="118"/>
      <c r="L177" s="112"/>
      <c r="M177" s="37">
        <v>4</v>
      </c>
      <c r="N177" s="27"/>
      <c r="O177" s="28">
        <f t="shared" si="32"/>
        <v>0</v>
      </c>
      <c r="P177" s="43">
        <f t="shared" si="33"/>
        <v>0</v>
      </c>
      <c r="Q177" s="36"/>
      <c r="R177" s="27"/>
    </row>
    <row r="178" spans="1:18" ht="26.4" x14ac:dyDescent="0.3">
      <c r="A178" s="3" t="str">
        <f>'Autoévaluation client'!A182</f>
        <v>3.5.3.</v>
      </c>
      <c r="B178" s="6" t="str">
        <f>'Autoévaluation client'!C182</f>
        <v>Les supérieurs hiérarchiques sont ils formés à la pédagogie de la formation à la place de travail?</v>
      </c>
      <c r="C178" s="38">
        <f>IF(ISBLANK('Autoévaluation client'!D182),0,1)</f>
        <v>0</v>
      </c>
      <c r="D178" s="165" t="str">
        <f>IF(AND('Autoévaluation client'!D182="",'Autoévaluation client'!E182=""),"*","")</f>
        <v>*</v>
      </c>
      <c r="E178" s="39" t="str">
        <f>IF(ISBLANK('Autoévaluation client'!F182),"",'Autoévaluation client'!F182)</f>
        <v/>
      </c>
      <c r="F178" s="120"/>
      <c r="G178" s="120"/>
      <c r="H178" s="120"/>
      <c r="I178" s="120"/>
      <c r="J178" s="120"/>
      <c r="K178" s="120"/>
      <c r="L178" s="112"/>
      <c r="M178" s="37">
        <v>3</v>
      </c>
      <c r="N178" s="27"/>
      <c r="O178" s="28">
        <f t="shared" si="32"/>
        <v>0</v>
      </c>
      <c r="P178" s="43">
        <f t="shared" si="33"/>
        <v>0</v>
      </c>
      <c r="Q178" s="36"/>
      <c r="R178" s="36"/>
    </row>
    <row r="179" spans="1:18" ht="66" x14ac:dyDescent="0.3">
      <c r="A179" s="3" t="str">
        <f>'Autoévaluation client'!A183</f>
        <v>3.5.4.</v>
      </c>
      <c r="B179" s="6" t="str">
        <f>'Autoévaluation client'!C183</f>
        <v>Les supérieurs et les collaborateurs reçoivent-ils une formation sur les équipements de travail* neufs ou modifiés? 
*Equipements de travail = machines, appareils, outils, équipements, installations, EPI.</v>
      </c>
      <c r="C179" s="38">
        <f>IF(ISBLANK('Autoévaluation client'!D183),0,1)</f>
        <v>0</v>
      </c>
      <c r="D179" s="165" t="str">
        <f>IF(AND('Autoévaluation client'!D183="",'Autoévaluation client'!E183=""),"*","")</f>
        <v>*</v>
      </c>
      <c r="E179" s="39" t="str">
        <f>IF(ISBLANK('Autoévaluation client'!F183),"",'Autoévaluation client'!F183)</f>
        <v/>
      </c>
      <c r="F179" s="118"/>
      <c r="G179" s="118"/>
      <c r="H179" s="118"/>
      <c r="I179" s="118"/>
      <c r="J179" s="118"/>
      <c r="K179" s="118"/>
      <c r="L179" s="112"/>
      <c r="M179" s="37">
        <v>3</v>
      </c>
      <c r="N179" s="27"/>
      <c r="O179" s="28">
        <f t="shared" si="32"/>
        <v>0</v>
      </c>
      <c r="P179" s="43">
        <f t="shared" si="33"/>
        <v>0</v>
      </c>
      <c r="Q179" s="36"/>
      <c r="R179" s="27"/>
    </row>
    <row r="180" spans="1:18" ht="39.6" x14ac:dyDescent="0.3">
      <c r="A180" s="3" t="str">
        <f>'Autoévaluation client'!A184</f>
        <v>3.5.5.</v>
      </c>
      <c r="B180" s="6" t="str">
        <f>'Autoévaluation client'!C184</f>
        <v xml:space="preserve">Les supérieurs et les collaborateurs reçoivent-ils une formation sur les processus de travail nouveaux ou modifiés? </v>
      </c>
      <c r="C180" s="38">
        <f>IF(ISBLANK('Autoévaluation client'!D184),0,1)</f>
        <v>0</v>
      </c>
      <c r="D180" s="165" t="str">
        <f>IF(AND('Autoévaluation client'!D184="",'Autoévaluation client'!E184=""),"*","")</f>
        <v>*</v>
      </c>
      <c r="E180" s="39" t="str">
        <f>IF(ISBLANK('Autoévaluation client'!F184),"",'Autoévaluation client'!F184)</f>
        <v/>
      </c>
      <c r="F180" s="118"/>
      <c r="G180" s="118"/>
      <c r="H180" s="118"/>
      <c r="I180" s="118"/>
      <c r="J180" s="118"/>
      <c r="K180" s="118"/>
      <c r="L180" s="112"/>
      <c r="M180" s="37">
        <v>3</v>
      </c>
      <c r="N180" s="27"/>
      <c r="O180" s="28">
        <f t="shared" si="32"/>
        <v>0</v>
      </c>
      <c r="P180" s="43">
        <f t="shared" si="33"/>
        <v>0</v>
      </c>
      <c r="Q180" s="36"/>
      <c r="R180" s="27"/>
    </row>
    <row r="181" spans="1:18" ht="52.8" x14ac:dyDescent="0.3">
      <c r="A181" s="3" t="str">
        <f>'Autoévaluation client'!A185</f>
        <v>3.5.6.</v>
      </c>
      <c r="B181" s="6" t="str">
        <f>'Autoévaluation client'!C185</f>
        <v>Les supérieurs et les employés reçoivent-ils une formation sur les nouvelles substances de travail*?
*Substances de travail = les matériaux solides, liquides ou gazeux utilisés dans le travail.</v>
      </c>
      <c r="C181" s="38">
        <f>IF(ISBLANK('Autoévaluation client'!D185),0,1)</f>
        <v>0</v>
      </c>
      <c r="D181" s="165" t="str">
        <f>IF(AND('Autoévaluation client'!D185="",'Autoévaluation client'!E185=""),"*","")</f>
        <v>*</v>
      </c>
      <c r="E181" s="39" t="str">
        <f>IF(ISBLANK('Autoévaluation client'!F185),"",'Autoévaluation client'!F185)</f>
        <v/>
      </c>
      <c r="F181" s="118"/>
      <c r="G181" s="118"/>
      <c r="H181" s="118"/>
      <c r="I181" s="118"/>
      <c r="J181" s="118"/>
      <c r="K181" s="118"/>
      <c r="L181" s="112"/>
      <c r="M181" s="37">
        <v>3</v>
      </c>
      <c r="N181" s="27"/>
      <c r="O181" s="28">
        <f t="shared" si="32"/>
        <v>0</v>
      </c>
      <c r="P181" s="43">
        <f t="shared" si="33"/>
        <v>0</v>
      </c>
      <c r="Q181" s="36"/>
      <c r="R181" s="27"/>
    </row>
    <row r="182" spans="1:18" x14ac:dyDescent="0.3">
      <c r="A182" s="19" t="str">
        <f>'Autoévaluation client'!A186</f>
        <v>3.6.</v>
      </c>
      <c r="B182" s="20" t="str">
        <f>'Autoévaluation client'!B186</f>
        <v>Evaluation du personnel</v>
      </c>
      <c r="C182" s="21">
        <f>O182/N182</f>
        <v>0</v>
      </c>
      <c r="D182" s="23" t="str">
        <f>IF(ISBLANK('Autoévaluation client'!E186),"",'Autoévaluation client'!E186)</f>
        <v/>
      </c>
      <c r="E182" s="23" t="str">
        <f>IF(ISBLANK('Autoévaluation client'!F186),"",'Autoévaluation client'!F186)</f>
        <v/>
      </c>
      <c r="F182" s="115"/>
      <c r="G182" s="115"/>
      <c r="H182" s="115"/>
      <c r="I182" s="115"/>
      <c r="J182" s="115"/>
      <c r="K182" s="115"/>
      <c r="L182" s="50">
        <f>P182/N182</f>
        <v>0</v>
      </c>
      <c r="M182" s="22">
        <v>1</v>
      </c>
      <c r="N182" s="22">
        <f>SUM(M183:M188)</f>
        <v>17</v>
      </c>
      <c r="O182" s="24">
        <f>SUM(O183:O188)</f>
        <v>0</v>
      </c>
      <c r="P182" s="24">
        <f>SUM(P183:P188)</f>
        <v>0</v>
      </c>
      <c r="Q182" s="52">
        <f>O182/$N182*$M182</f>
        <v>0</v>
      </c>
      <c r="R182" s="52">
        <f>P182/$N182*$M182</f>
        <v>0</v>
      </c>
    </row>
    <row r="183" spans="1:18" ht="26.4" x14ac:dyDescent="0.3">
      <c r="A183" s="3" t="str">
        <f>'Autoévaluation client'!A187</f>
        <v>3.6.1.</v>
      </c>
      <c r="B183" s="6" t="str">
        <f>'Autoévaluation client'!C187</f>
        <v>Votre entreprise dispose-t-elle d'un système pour l'évaluation des collaborateurs?</v>
      </c>
      <c r="C183" s="38">
        <f>IF(ISBLANK('Autoévaluation client'!D187),0,1)</f>
        <v>0</v>
      </c>
      <c r="D183" s="165" t="str">
        <f>IF(AND('Autoévaluation client'!D187="",'Autoévaluation client'!E187=""),"*","")</f>
        <v>*</v>
      </c>
      <c r="E183" s="39" t="str">
        <f>IF(ISBLANK('Autoévaluation client'!F187),"",'Autoévaluation client'!F187)</f>
        <v/>
      </c>
      <c r="F183" s="118"/>
      <c r="G183" s="118"/>
      <c r="H183" s="118"/>
      <c r="I183" s="118"/>
      <c r="J183" s="118"/>
      <c r="K183" s="118"/>
      <c r="L183" s="112"/>
      <c r="M183" s="37">
        <v>3</v>
      </c>
      <c r="N183" s="27"/>
      <c r="O183" s="28">
        <f t="shared" ref="O183:O188" si="34">M183*C183</f>
        <v>0</v>
      </c>
      <c r="P183" s="43">
        <f t="shared" ref="P183:P188" si="35">L183*M183</f>
        <v>0</v>
      </c>
      <c r="Q183" s="36"/>
      <c r="R183" s="27"/>
    </row>
    <row r="184" spans="1:18" ht="26.4" x14ac:dyDescent="0.3">
      <c r="A184" s="3" t="str">
        <f>'Autoévaluation client'!A188</f>
        <v>3.6.2.</v>
      </c>
      <c r="B184" s="6" t="str">
        <f>'Autoévaluation client'!C188</f>
        <v>Le comportement de conduite sûr fait-il partie de l’évaluation des supérieurs?</v>
      </c>
      <c r="C184" s="38">
        <f>IF(ISBLANK('Autoévaluation client'!D188),0,1)</f>
        <v>0</v>
      </c>
      <c r="D184" s="165" t="str">
        <f>IF(AND('Autoévaluation client'!D188="",'Autoévaluation client'!E188=""),"*","")</f>
        <v>*</v>
      </c>
      <c r="E184" s="39" t="str">
        <f>IF(ISBLANK('Autoévaluation client'!F188),"",'Autoévaluation client'!F188)</f>
        <v/>
      </c>
      <c r="F184" s="120"/>
      <c r="G184" s="120"/>
      <c r="H184" s="120"/>
      <c r="I184" s="120"/>
      <c r="J184" s="120"/>
      <c r="K184" s="120"/>
      <c r="L184" s="112"/>
      <c r="M184" s="37">
        <v>4</v>
      </c>
      <c r="N184" s="27"/>
      <c r="O184" s="28">
        <f t="shared" si="34"/>
        <v>0</v>
      </c>
      <c r="P184" s="43">
        <f t="shared" si="35"/>
        <v>0</v>
      </c>
      <c r="Q184" s="36"/>
      <c r="R184" s="36"/>
    </row>
    <row r="185" spans="1:18" ht="39.6" x14ac:dyDescent="0.3">
      <c r="A185" s="3" t="str">
        <f>'Autoévaluation client'!A189</f>
        <v>3.6.3.</v>
      </c>
      <c r="B185" s="6" t="str">
        <f>'Autoévaluation client'!C189</f>
        <v>Des prestations de direction insuffisantes dans le domaine de la sécurité au travail ont-elles des conséquences?
Si oui, lesquelles?</v>
      </c>
      <c r="C185" s="38">
        <f>IF(ISBLANK('Autoévaluation client'!D189),0,1)</f>
        <v>0</v>
      </c>
      <c r="D185" s="165" t="str">
        <f>IF(AND('Autoévaluation client'!D189="",'Autoévaluation client'!E189=""),"*","")</f>
        <v>*</v>
      </c>
      <c r="E185" s="39" t="str">
        <f>IF(ISBLANK('Autoévaluation client'!F189),"",'Autoévaluation client'!F189)</f>
        <v/>
      </c>
      <c r="F185" s="118"/>
      <c r="G185" s="118"/>
      <c r="H185" s="118"/>
      <c r="I185" s="118"/>
      <c r="J185" s="118"/>
      <c r="K185" s="118"/>
      <c r="L185" s="112"/>
      <c r="M185" s="37">
        <v>3</v>
      </c>
      <c r="N185" s="27"/>
      <c r="O185" s="28">
        <f t="shared" si="34"/>
        <v>0</v>
      </c>
      <c r="P185" s="43">
        <f t="shared" si="35"/>
        <v>0</v>
      </c>
      <c r="Q185" s="36"/>
      <c r="R185" s="27"/>
    </row>
    <row r="186" spans="1:18" ht="26.4" x14ac:dyDescent="0.3">
      <c r="A186" s="3" t="str">
        <f>'Autoévaluation client'!A190</f>
        <v>3.6.4.</v>
      </c>
      <c r="B186" s="6" t="str">
        <f>'Autoévaluation client'!C190</f>
        <v>Le comportement sûr de direction et de travail est-il un critère décisif dans le cadre des promotions?</v>
      </c>
      <c r="C186" s="38">
        <f>IF(ISBLANK('Autoévaluation client'!D190),0,1)</f>
        <v>0</v>
      </c>
      <c r="D186" s="165" t="str">
        <f>IF(AND('Autoévaluation client'!D190="",'Autoévaluation client'!E190=""),"*","")</f>
        <v>*</v>
      </c>
      <c r="E186" s="39" t="str">
        <f>IF(ISBLANK('Autoévaluation client'!F190),"",'Autoévaluation client'!F190)</f>
        <v/>
      </c>
      <c r="F186" s="118"/>
      <c r="G186" s="118"/>
      <c r="H186" s="118"/>
      <c r="I186" s="118"/>
      <c r="J186" s="118"/>
      <c r="K186" s="118"/>
      <c r="L186" s="112"/>
      <c r="M186" s="37">
        <v>3</v>
      </c>
      <c r="N186" s="27"/>
      <c r="O186" s="28">
        <f t="shared" si="34"/>
        <v>0</v>
      </c>
      <c r="P186" s="43">
        <f t="shared" si="35"/>
        <v>0</v>
      </c>
      <c r="Q186" s="36"/>
      <c r="R186" s="27"/>
    </row>
    <row r="187" spans="1:18" ht="26.4" x14ac:dyDescent="0.3">
      <c r="A187" s="3" t="str">
        <f>'Autoévaluation client'!A191</f>
        <v>3.6.5.</v>
      </c>
      <c r="B187" s="6" t="str">
        <f>'Autoévaluation client'!C191</f>
        <v>Un comportement sûr au travail fait-il partie des critères d'évaluation des collaborateurs?</v>
      </c>
      <c r="C187" s="38">
        <f>IF(ISBLANK('Autoévaluation client'!D191),0,1)</f>
        <v>0</v>
      </c>
      <c r="D187" s="165" t="str">
        <f>IF(AND('Autoévaluation client'!D191="",'Autoévaluation client'!E191=""),"*","")</f>
        <v>*</v>
      </c>
      <c r="E187" s="39" t="str">
        <f>IF(ISBLANK('Autoévaluation client'!F191),"",'Autoévaluation client'!F191)</f>
        <v/>
      </c>
      <c r="F187" s="118"/>
      <c r="G187" s="118"/>
      <c r="H187" s="118"/>
      <c r="I187" s="118"/>
      <c r="J187" s="118"/>
      <c r="K187" s="118"/>
      <c r="L187" s="112"/>
      <c r="M187" s="37">
        <v>2</v>
      </c>
      <c r="N187" s="27"/>
      <c r="O187" s="28">
        <f t="shared" si="34"/>
        <v>0</v>
      </c>
      <c r="P187" s="43">
        <f t="shared" si="35"/>
        <v>0</v>
      </c>
      <c r="Q187" s="36"/>
      <c r="R187" s="27"/>
    </row>
    <row r="188" spans="1:18" ht="26.4" x14ac:dyDescent="0.3">
      <c r="A188" s="3" t="str">
        <f>'Autoévaluation client'!A192</f>
        <v>3.6.6.</v>
      </c>
      <c r="B188" s="6" t="str">
        <f>'Autoévaluation client'!C192</f>
        <v>Un comportement peu sûr au travail a-t-il des conséquences?Si oui, lesquelles?</v>
      </c>
      <c r="C188" s="38">
        <f>IF(ISBLANK('Autoévaluation client'!D192),0,1)</f>
        <v>0</v>
      </c>
      <c r="D188" s="165" t="str">
        <f>IF(AND('Autoévaluation client'!D192="",'Autoévaluation client'!E192=""),"*","")</f>
        <v>*</v>
      </c>
      <c r="E188" s="39" t="str">
        <f>IF(ISBLANK('Autoévaluation client'!F192),"",'Autoévaluation client'!F192)</f>
        <v/>
      </c>
      <c r="F188" s="118"/>
      <c r="G188" s="118"/>
      <c r="H188" s="118"/>
      <c r="I188" s="118"/>
      <c r="J188" s="118"/>
      <c r="K188" s="118"/>
      <c r="L188" s="112"/>
      <c r="M188" s="37">
        <v>2</v>
      </c>
      <c r="N188" s="27"/>
      <c r="O188" s="28">
        <f t="shared" si="34"/>
        <v>0</v>
      </c>
      <c r="P188" s="43">
        <f t="shared" si="35"/>
        <v>0</v>
      </c>
      <c r="Q188" s="36"/>
      <c r="R188" s="27"/>
    </row>
    <row r="189" spans="1:18" x14ac:dyDescent="0.3">
      <c r="A189" s="19" t="str">
        <f>'Autoévaluation client'!A193</f>
        <v>3.7.</v>
      </c>
      <c r="B189" s="20" t="str">
        <f>'Autoévaluation client'!B193</f>
        <v>Concept d'information</v>
      </c>
      <c r="C189" s="21">
        <f>O189/N189</f>
        <v>0</v>
      </c>
      <c r="D189" s="23" t="str">
        <f>IF(ISBLANK('Autoévaluation client'!E193),"",'Autoévaluation client'!E193)</f>
        <v/>
      </c>
      <c r="E189" s="23" t="str">
        <f>IF(ISBLANK('Autoévaluation client'!F193),"",'Autoévaluation client'!F193)</f>
        <v/>
      </c>
      <c r="F189" s="115"/>
      <c r="G189" s="115"/>
      <c r="H189" s="115"/>
      <c r="I189" s="115"/>
      <c r="J189" s="115"/>
      <c r="K189" s="115"/>
      <c r="L189" s="50">
        <f>P189/N189</f>
        <v>0</v>
      </c>
      <c r="M189" s="22">
        <v>1</v>
      </c>
      <c r="N189" s="22">
        <f>SUM(M190:M192)</f>
        <v>3</v>
      </c>
      <c r="O189" s="24">
        <f>SUM(O190:O192)</f>
        <v>0</v>
      </c>
      <c r="P189" s="24">
        <f>SUM(P190:P192)</f>
        <v>0</v>
      </c>
      <c r="Q189" s="52">
        <f>O189/$N189*$M189</f>
        <v>0</v>
      </c>
      <c r="R189" s="52">
        <f>P189/$N189*$M189</f>
        <v>0</v>
      </c>
    </row>
    <row r="190" spans="1:18" ht="26.4" x14ac:dyDescent="0.3">
      <c r="A190" s="3" t="str">
        <f>'Autoévaluation client'!A194</f>
        <v>3.7.1.</v>
      </c>
      <c r="B190" s="6" t="str">
        <f>'Autoévaluation client'!C194</f>
        <v>Votre entreprise dispose-t-elle d'un concept d'information et de communication?</v>
      </c>
      <c r="C190" s="38">
        <f>IF(ISBLANK('Autoévaluation client'!D194),0,1)</f>
        <v>0</v>
      </c>
      <c r="D190" s="165" t="str">
        <f>IF(AND('Autoévaluation client'!D194="",'Autoévaluation client'!E194=""),"*","")</f>
        <v>*</v>
      </c>
      <c r="E190" s="39" t="str">
        <f>IF(ISBLANK('Autoévaluation client'!F194),"",'Autoévaluation client'!F194)</f>
        <v/>
      </c>
      <c r="F190" s="118"/>
      <c r="G190" s="118"/>
      <c r="H190" s="118"/>
      <c r="I190" s="118"/>
      <c r="J190" s="118"/>
      <c r="K190" s="118"/>
      <c r="L190" s="112"/>
      <c r="M190" s="37">
        <v>3</v>
      </c>
      <c r="N190" s="27"/>
      <c r="O190" s="28">
        <f>C190*M190</f>
        <v>0</v>
      </c>
      <c r="P190" s="43">
        <f t="shared" ref="P190:P192" si="36">L190*M190</f>
        <v>0</v>
      </c>
      <c r="Q190" s="36"/>
      <c r="R190" s="27"/>
    </row>
    <row r="191" spans="1:18" ht="39.6" x14ac:dyDescent="0.3">
      <c r="A191" s="3" t="str">
        <f>'Autoévaluation client'!A195</f>
        <v>3.7.2.</v>
      </c>
      <c r="B191" s="6" t="str">
        <f>'Autoévaluation client'!C195</f>
        <v>Votre entreprise dispose-t-elle d'autres règles ou d'autres procédures en matière d'information et de communication?
Si oui, lesquelles?</v>
      </c>
      <c r="C191" s="38">
        <f>IF(ISBLANK('Autoévaluation client'!D195),0,1)</f>
        <v>0</v>
      </c>
      <c r="D191" s="165" t="str">
        <f>IF(AND('Autoévaluation client'!D195="",'Autoévaluation client'!E195=""),"*","")</f>
        <v>*</v>
      </c>
      <c r="E191" s="39" t="str">
        <f>IF(ISBLANK('Autoévaluation client'!F195),"",'Autoévaluation client'!F195)</f>
        <v/>
      </c>
      <c r="F191" s="118"/>
      <c r="G191" s="118"/>
      <c r="H191" s="118"/>
      <c r="I191" s="118"/>
      <c r="J191" s="118"/>
      <c r="K191" s="118"/>
      <c r="L191" s="112"/>
      <c r="M191" s="37">
        <v>0</v>
      </c>
      <c r="N191" s="27"/>
      <c r="O191" s="28">
        <f>C191*M191</f>
        <v>0</v>
      </c>
      <c r="P191" s="43">
        <f t="shared" si="36"/>
        <v>0</v>
      </c>
      <c r="Q191" s="36"/>
      <c r="R191" s="27"/>
    </row>
    <row r="192" spans="1:18" ht="39.6" x14ac:dyDescent="0.3">
      <c r="A192" s="3" t="str">
        <f>'Autoévaluation client'!A196</f>
        <v>3.7.3.</v>
      </c>
      <c r="B192" s="6" t="str">
        <f>'Autoévaluation client'!C196</f>
        <v>Votre entreprise dispose-t-elle d'une personne ou d'un service chargé de l'information et de la communication?
Si oui, de quelle personne ou de quel service s'agit-il?</v>
      </c>
      <c r="C192" s="38">
        <f>IF(ISBLANK('Autoévaluation client'!D196),0,1)</f>
        <v>0</v>
      </c>
      <c r="D192" s="165" t="str">
        <f>IF(AND('Autoévaluation client'!D196="",'Autoévaluation client'!E196=""),"*","")</f>
        <v>*</v>
      </c>
      <c r="E192" s="39" t="str">
        <f>IF(ISBLANK('Autoévaluation client'!F196),"",'Autoévaluation client'!F196)</f>
        <v/>
      </c>
      <c r="F192" s="118"/>
      <c r="G192" s="118"/>
      <c r="H192" s="118"/>
      <c r="I192" s="118"/>
      <c r="J192" s="118"/>
      <c r="K192" s="118"/>
      <c r="L192" s="112"/>
      <c r="M192" s="37">
        <v>0</v>
      </c>
      <c r="N192" s="27"/>
      <c r="O192" s="28">
        <f>C192*M192</f>
        <v>0</v>
      </c>
      <c r="P192" s="43">
        <f t="shared" si="36"/>
        <v>0</v>
      </c>
      <c r="Q192" s="36"/>
      <c r="R192" s="27"/>
    </row>
    <row r="193" spans="1:18" x14ac:dyDescent="0.3">
      <c r="A193" s="19" t="str">
        <f>'Autoévaluation client'!A197</f>
        <v>3.8.</v>
      </c>
      <c r="B193" s="20" t="str">
        <f>'Autoévaluation client'!B197</f>
        <v>Communication, moyens et événements</v>
      </c>
      <c r="C193" s="21">
        <f>O193/N193</f>
        <v>0</v>
      </c>
      <c r="D193" s="23" t="str">
        <f>IF(ISBLANK('Autoévaluation client'!E197),"",'Autoévaluation client'!E197)</f>
        <v/>
      </c>
      <c r="E193" s="23" t="str">
        <f>IF(ISBLANK('Autoévaluation client'!F197),"",'Autoévaluation client'!F197)</f>
        <v/>
      </c>
      <c r="F193" s="115"/>
      <c r="G193" s="115"/>
      <c r="H193" s="115"/>
      <c r="I193" s="115"/>
      <c r="J193" s="115"/>
      <c r="K193" s="115"/>
      <c r="L193" s="50">
        <f>P193/N193</f>
        <v>0</v>
      </c>
      <c r="M193" s="22">
        <v>0</v>
      </c>
      <c r="N193" s="22">
        <f>SUM(M194:M222)</f>
        <v>12</v>
      </c>
      <c r="O193" s="24">
        <f>SUM(O194:O222)</f>
        <v>0</v>
      </c>
      <c r="P193" s="24">
        <f>SUM(P194:P222)</f>
        <v>0</v>
      </c>
      <c r="Q193" s="52">
        <f>O193/$N193*$M193</f>
        <v>0</v>
      </c>
      <c r="R193" s="52">
        <f>P193/$N193*$M193</f>
        <v>0</v>
      </c>
    </row>
    <row r="194" spans="1:18" ht="66" x14ac:dyDescent="0.3">
      <c r="A194" s="3" t="str">
        <f>'Autoévaluation client'!A198</f>
        <v>3.8.1.a</v>
      </c>
      <c r="B194" s="6" t="str">
        <f>'Autoévaluation client'!C198</f>
        <v xml:space="preserve">
discussions informelles? Quels moyens et événement utilise-t-on dans l’entreprise en lien avec la sécurité et la protection de la santé?
Conversations spontanées?</v>
      </c>
      <c r="C194" s="38">
        <f>IF(ISBLANK('Autoévaluation client'!D198),0,1)</f>
        <v>0</v>
      </c>
      <c r="D194" s="165" t="str">
        <f>IF(AND('Autoévaluation client'!D198="",'Autoévaluation client'!E198=""),"*","")</f>
        <v>*</v>
      </c>
      <c r="E194" s="39" t="str">
        <f>IF(ISBLANK('Autoévaluation client'!F198),"",'Autoévaluation client'!F198)</f>
        <v/>
      </c>
      <c r="F194" s="118"/>
      <c r="G194" s="118"/>
      <c r="H194" s="118"/>
      <c r="I194" s="118"/>
      <c r="J194" s="118"/>
      <c r="K194" s="118"/>
      <c r="L194" s="112"/>
      <c r="M194" s="37">
        <v>1</v>
      </c>
      <c r="N194" s="27"/>
      <c r="O194" s="28">
        <f t="shared" ref="O194:O222" si="37">C194*M194</f>
        <v>0</v>
      </c>
      <c r="P194" s="43">
        <f t="shared" ref="P194:P222" si="38">L194*M194</f>
        <v>0</v>
      </c>
      <c r="Q194" s="36"/>
      <c r="R194" s="27"/>
    </row>
    <row r="195" spans="1:18" x14ac:dyDescent="0.3">
      <c r="A195" s="3" t="str">
        <f>'Autoévaluation client'!A199</f>
        <v>3.8.1.b</v>
      </c>
      <c r="B195" s="6" t="str">
        <f>'Autoévaluation client'!C199</f>
        <v>Entretiens individuels avec les collaborateurs?</v>
      </c>
      <c r="C195" s="38">
        <f>IF(ISBLANK('Autoévaluation client'!D199),0,1)</f>
        <v>0</v>
      </c>
      <c r="D195" s="165" t="str">
        <f>IF(AND('Autoévaluation client'!D199="",'Autoévaluation client'!E199=""),"*","")</f>
        <v>*</v>
      </c>
      <c r="E195" s="39" t="str">
        <f>IF(ISBLANK('Autoévaluation client'!F199),"",'Autoévaluation client'!F199)</f>
        <v/>
      </c>
      <c r="F195" s="118"/>
      <c r="G195" s="118"/>
      <c r="H195" s="118"/>
      <c r="I195" s="118"/>
      <c r="J195" s="118"/>
      <c r="K195" s="118"/>
      <c r="L195" s="112"/>
      <c r="M195" s="37">
        <v>1</v>
      </c>
      <c r="N195" s="27"/>
      <c r="O195" s="28">
        <f t="shared" si="37"/>
        <v>0</v>
      </c>
      <c r="P195" s="43">
        <f t="shared" si="38"/>
        <v>0</v>
      </c>
      <c r="Q195" s="36"/>
      <c r="R195" s="27"/>
    </row>
    <row r="196" spans="1:18" x14ac:dyDescent="0.3">
      <c r="A196" s="3" t="str">
        <f>'Autoévaluation client'!A200</f>
        <v>3.8.1.c</v>
      </c>
      <c r="B196" s="6" t="str">
        <f>'Autoévaluation client'!C200</f>
        <v>Réunions de travail?</v>
      </c>
      <c r="C196" s="38">
        <f>IF(ISBLANK('Autoévaluation client'!D200),0,1)</f>
        <v>0</v>
      </c>
      <c r="D196" s="165" t="str">
        <f>IF(AND('Autoévaluation client'!D200="",'Autoévaluation client'!E200=""),"*","")</f>
        <v>*</v>
      </c>
      <c r="E196" s="39" t="str">
        <f>IF(ISBLANK('Autoévaluation client'!F200),"",'Autoévaluation client'!F200)</f>
        <v/>
      </c>
      <c r="F196" s="118"/>
      <c r="G196" s="118"/>
      <c r="H196" s="118"/>
      <c r="I196" s="118"/>
      <c r="J196" s="118"/>
      <c r="K196" s="118"/>
      <c r="L196" s="112"/>
      <c r="M196" s="37">
        <v>0</v>
      </c>
      <c r="N196" s="27"/>
      <c r="O196" s="28">
        <f t="shared" si="37"/>
        <v>0</v>
      </c>
      <c r="P196" s="43">
        <f t="shared" si="38"/>
        <v>0</v>
      </c>
      <c r="Q196" s="36"/>
      <c r="R196" s="27"/>
    </row>
    <row r="197" spans="1:18" x14ac:dyDescent="0.3">
      <c r="A197" s="3" t="str">
        <f>'Autoévaluation client'!A201</f>
        <v>3.8.1.d</v>
      </c>
      <c r="B197" s="6" t="str">
        <f>'Autoévaluation client'!C201</f>
        <v>Attribution de mandats?</v>
      </c>
      <c r="C197" s="38">
        <f>IF(ISBLANK('Autoévaluation client'!D201),0,1)</f>
        <v>0</v>
      </c>
      <c r="D197" s="165" t="str">
        <f>IF(AND('Autoévaluation client'!D201="",'Autoévaluation client'!E201=""),"*","")</f>
        <v>*</v>
      </c>
      <c r="E197" s="39" t="str">
        <f>IF(ISBLANK('Autoévaluation client'!F201),"",'Autoévaluation client'!F201)</f>
        <v/>
      </c>
      <c r="F197" s="118"/>
      <c r="G197" s="118"/>
      <c r="H197" s="118"/>
      <c r="I197" s="118"/>
      <c r="J197" s="118"/>
      <c r="K197" s="118"/>
      <c r="L197" s="112"/>
      <c r="M197" s="37">
        <v>1</v>
      </c>
      <c r="N197" s="27"/>
      <c r="O197" s="28">
        <f t="shared" si="37"/>
        <v>0</v>
      </c>
      <c r="P197" s="43">
        <f t="shared" si="38"/>
        <v>0</v>
      </c>
      <c r="Q197" s="36"/>
      <c r="R197" s="27"/>
    </row>
    <row r="198" spans="1:18" x14ac:dyDescent="0.3">
      <c r="A198" s="3" t="str">
        <f>'Autoévaluation client'!A202</f>
        <v>3.8.1.e</v>
      </c>
      <c r="B198" s="6" t="str">
        <f>'Autoévaluation client'!C202</f>
        <v>Instructions de travail?</v>
      </c>
      <c r="C198" s="38">
        <f>IF(ISBLANK('Autoévaluation client'!D202),0,1)</f>
        <v>0</v>
      </c>
      <c r="D198" s="165" t="str">
        <f>IF(AND('Autoévaluation client'!D202="",'Autoévaluation client'!E202=""),"*","")</f>
        <v>*</v>
      </c>
      <c r="E198" s="39" t="str">
        <f>IF(ISBLANK('Autoévaluation client'!F202),"",'Autoévaluation client'!F202)</f>
        <v/>
      </c>
      <c r="F198" s="120"/>
      <c r="G198" s="120"/>
      <c r="H198" s="120"/>
      <c r="I198" s="120"/>
      <c r="J198" s="120"/>
      <c r="K198" s="120"/>
      <c r="L198" s="112"/>
      <c r="M198" s="37">
        <v>1</v>
      </c>
      <c r="N198" s="27"/>
      <c r="O198" s="28">
        <f t="shared" si="37"/>
        <v>0</v>
      </c>
      <c r="P198" s="43">
        <f t="shared" si="38"/>
        <v>0</v>
      </c>
      <c r="Q198" s="36"/>
      <c r="R198" s="36"/>
    </row>
    <row r="199" spans="1:18" x14ac:dyDescent="0.3">
      <c r="A199" s="3" t="str">
        <f>'Autoévaluation client'!A203</f>
        <v>3.8.1.f</v>
      </c>
      <c r="B199" s="6" t="str">
        <f>'Autoévaluation client'!C203</f>
        <v>Formation de travail?</v>
      </c>
      <c r="C199" s="38">
        <f>IF(ISBLANK('Autoévaluation client'!D203),0,1)</f>
        <v>0</v>
      </c>
      <c r="D199" s="165" t="str">
        <f>IF(AND('Autoévaluation client'!D203="",'Autoévaluation client'!E203=""),"*","")</f>
        <v>*</v>
      </c>
      <c r="E199" s="39" t="str">
        <f>IF(ISBLANK('Autoévaluation client'!F203),"",'Autoévaluation client'!F203)</f>
        <v/>
      </c>
      <c r="F199" s="120"/>
      <c r="G199" s="120"/>
      <c r="H199" s="120"/>
      <c r="I199" s="120"/>
      <c r="J199" s="120"/>
      <c r="K199" s="120"/>
      <c r="L199" s="112"/>
      <c r="M199" s="37">
        <v>0</v>
      </c>
      <c r="N199" s="27"/>
      <c r="O199" s="28">
        <f t="shared" si="37"/>
        <v>0</v>
      </c>
      <c r="P199" s="43">
        <f t="shared" si="38"/>
        <v>0</v>
      </c>
      <c r="Q199" s="36"/>
      <c r="R199" s="36"/>
    </row>
    <row r="200" spans="1:18" x14ac:dyDescent="0.3">
      <c r="A200" s="3" t="str">
        <f>'Autoévaluation client'!A204</f>
        <v>3.8.1.g</v>
      </c>
      <c r="B200" s="6" t="str">
        <f>'Autoévaluation client'!C204</f>
        <v>Entretiens sur la sécurité?</v>
      </c>
      <c r="C200" s="38">
        <f>IF(ISBLANK('Autoévaluation client'!D204),0,1)</f>
        <v>0</v>
      </c>
      <c r="D200" s="165" t="str">
        <f>IF(AND('Autoévaluation client'!D204="",'Autoévaluation client'!E204=""),"*","")</f>
        <v>*</v>
      </c>
      <c r="E200" s="39" t="str">
        <f>IF(ISBLANK('Autoévaluation client'!F204),"",'Autoévaluation client'!F204)</f>
        <v/>
      </c>
      <c r="F200" s="118"/>
      <c r="G200" s="118"/>
      <c r="H200" s="118"/>
      <c r="I200" s="118"/>
      <c r="J200" s="118"/>
      <c r="K200" s="118"/>
      <c r="L200" s="112"/>
      <c r="M200" s="37">
        <v>1</v>
      </c>
      <c r="N200" s="27"/>
      <c r="O200" s="28">
        <f t="shared" si="37"/>
        <v>0</v>
      </c>
      <c r="P200" s="43">
        <f t="shared" si="38"/>
        <v>0</v>
      </c>
      <c r="Q200" s="36"/>
      <c r="R200" s="27"/>
    </row>
    <row r="201" spans="1:18" x14ac:dyDescent="0.3">
      <c r="A201" s="3" t="str">
        <f>'Autoévaluation client'!A205</f>
        <v>3.8.1.h</v>
      </c>
      <c r="B201" s="6" t="str">
        <f>'Autoévaluation client'!C205</f>
        <v>Entretiens échange d'expériences?</v>
      </c>
      <c r="C201" s="38">
        <f>IF(ISBLANK('Autoévaluation client'!D205),0,1)</f>
        <v>0</v>
      </c>
      <c r="D201" s="165" t="str">
        <f>IF(AND('Autoévaluation client'!D205="",'Autoévaluation client'!E205=""),"*","")</f>
        <v>*</v>
      </c>
      <c r="E201" s="39" t="str">
        <f>IF(ISBLANK('Autoévaluation client'!F205),"",'Autoévaluation client'!F205)</f>
        <v/>
      </c>
      <c r="F201" s="120"/>
      <c r="G201" s="120"/>
      <c r="H201" s="120"/>
      <c r="I201" s="120"/>
      <c r="J201" s="120"/>
      <c r="K201" s="120"/>
      <c r="L201" s="112"/>
      <c r="M201" s="37">
        <v>0</v>
      </c>
      <c r="N201" s="27"/>
      <c r="O201" s="28">
        <f t="shared" si="37"/>
        <v>0</v>
      </c>
      <c r="P201" s="43">
        <f t="shared" si="38"/>
        <v>0</v>
      </c>
      <c r="Q201" s="36"/>
      <c r="R201" s="36"/>
    </row>
    <row r="202" spans="1:18" x14ac:dyDescent="0.3">
      <c r="A202" s="3" t="str">
        <f>'Autoévaluation client'!A206</f>
        <v>3.8.1.i</v>
      </c>
      <c r="B202" s="6" t="str">
        <f>'Autoévaluation client'!C206</f>
        <v>Ordres de travail écrits?</v>
      </c>
      <c r="C202" s="38">
        <f>IF(ISBLANK('Autoévaluation client'!D206),0,1)</f>
        <v>0</v>
      </c>
      <c r="D202" s="165" t="str">
        <f>IF(AND('Autoévaluation client'!D206="",'Autoévaluation client'!E206=""),"*","")</f>
        <v>*</v>
      </c>
      <c r="E202" s="39" t="str">
        <f>IF(ISBLANK('Autoévaluation client'!F206),"",'Autoévaluation client'!F206)</f>
        <v/>
      </c>
      <c r="F202" s="120"/>
      <c r="G202" s="120"/>
      <c r="H202" s="120"/>
      <c r="I202" s="120"/>
      <c r="J202" s="120"/>
      <c r="K202" s="120"/>
      <c r="L202" s="112"/>
      <c r="M202" s="37">
        <v>0</v>
      </c>
      <c r="N202" s="27"/>
      <c r="O202" s="28">
        <f t="shared" si="37"/>
        <v>0</v>
      </c>
      <c r="P202" s="43">
        <f t="shared" si="38"/>
        <v>0</v>
      </c>
      <c r="Q202" s="36"/>
      <c r="R202" s="27"/>
    </row>
    <row r="203" spans="1:18" x14ac:dyDescent="0.3">
      <c r="A203" s="3" t="str">
        <f>'Autoévaluation client'!A207</f>
        <v>3.8.1.j</v>
      </c>
      <c r="B203" s="6" t="str">
        <f>'Autoévaluation client'!C207</f>
        <v>Consignes, dispositions écrites?</v>
      </c>
      <c r="C203" s="38">
        <f>IF(ISBLANK('Autoévaluation client'!D207),0,1)</f>
        <v>0</v>
      </c>
      <c r="D203" s="165" t="str">
        <f>IF(AND('Autoévaluation client'!D207="",'Autoévaluation client'!E207=""),"*","")</f>
        <v>*</v>
      </c>
      <c r="E203" s="39" t="str">
        <f>IF(ISBLANK('Autoévaluation client'!F207),"",'Autoévaluation client'!F207)</f>
        <v/>
      </c>
      <c r="F203" s="118"/>
      <c r="G203" s="118"/>
      <c r="H203" s="118"/>
      <c r="I203" s="118"/>
      <c r="J203" s="118"/>
      <c r="K203" s="118"/>
      <c r="L203" s="112"/>
      <c r="M203" s="37">
        <v>1</v>
      </c>
      <c r="N203" s="27"/>
      <c r="O203" s="28">
        <f t="shared" si="37"/>
        <v>0</v>
      </c>
      <c r="P203" s="43">
        <f t="shared" si="38"/>
        <v>0</v>
      </c>
      <c r="Q203" s="36"/>
      <c r="R203" s="27"/>
    </row>
    <row r="204" spans="1:18" x14ac:dyDescent="0.3">
      <c r="A204" s="3" t="str">
        <f>'Autoévaluation client'!A208</f>
        <v>3.8.1.k</v>
      </c>
      <c r="B204" s="6" t="str">
        <f>'Autoévaluation client'!C208</f>
        <v>Prescriptions, normes?</v>
      </c>
      <c r="C204" s="38">
        <f>IF(ISBLANK('Autoévaluation client'!D208),0,1)</f>
        <v>0</v>
      </c>
      <c r="D204" s="165" t="str">
        <f>IF(AND('Autoévaluation client'!D208="",'Autoévaluation client'!E208=""),"*","")</f>
        <v>*</v>
      </c>
      <c r="E204" s="39" t="str">
        <f>IF(ISBLANK('Autoévaluation client'!F208),"",'Autoévaluation client'!F208)</f>
        <v/>
      </c>
      <c r="F204" s="118"/>
      <c r="G204" s="118"/>
      <c r="H204" s="118"/>
      <c r="I204" s="118"/>
      <c r="J204" s="118"/>
      <c r="K204" s="118"/>
      <c r="L204" s="112"/>
      <c r="M204" s="37">
        <v>1</v>
      </c>
      <c r="N204" s="27"/>
      <c r="O204" s="28">
        <f t="shared" si="37"/>
        <v>0</v>
      </c>
      <c r="P204" s="43">
        <f t="shared" si="38"/>
        <v>0</v>
      </c>
      <c r="Q204" s="36"/>
      <c r="R204" s="27"/>
    </row>
    <row r="205" spans="1:18" x14ac:dyDescent="0.3">
      <c r="A205" s="3" t="str">
        <f>'Autoévaluation client'!A209</f>
        <v>3.8.1.l</v>
      </c>
      <c r="B205" s="6" t="str">
        <f>'Autoévaluation client'!C209</f>
        <v>Instructions, ordre écrits?</v>
      </c>
      <c r="C205" s="38">
        <f>IF(ISBLANK('Autoévaluation client'!D209),0,1)</f>
        <v>0</v>
      </c>
      <c r="D205" s="165" t="str">
        <f>IF(AND('Autoévaluation client'!D209="",'Autoévaluation client'!E209=""),"*","")</f>
        <v>*</v>
      </c>
      <c r="E205" s="39" t="str">
        <f>IF(ISBLANK('Autoévaluation client'!F209),"",'Autoévaluation client'!F209)</f>
        <v/>
      </c>
      <c r="F205" s="118"/>
      <c r="G205" s="118"/>
      <c r="H205" s="118"/>
      <c r="I205" s="118"/>
      <c r="J205" s="118"/>
      <c r="K205" s="118"/>
      <c r="L205" s="112"/>
      <c r="M205" s="37">
        <v>1</v>
      </c>
      <c r="N205" s="27"/>
      <c r="O205" s="28">
        <f t="shared" si="37"/>
        <v>0</v>
      </c>
      <c r="P205" s="43">
        <f t="shared" si="38"/>
        <v>0</v>
      </c>
      <c r="Q205" s="36"/>
      <c r="R205" s="27"/>
    </row>
    <row r="206" spans="1:18" x14ac:dyDescent="0.3">
      <c r="A206" s="3" t="str">
        <f>'Autoévaluation client'!A210</f>
        <v>3.8.1.m</v>
      </c>
      <c r="B206" s="6" t="str">
        <f>'Autoévaluation client'!C210</f>
        <v>Brochures?</v>
      </c>
      <c r="C206" s="38">
        <f>IF(ISBLANK('Autoévaluation client'!D210),0,1)</f>
        <v>0</v>
      </c>
      <c r="D206" s="165" t="str">
        <f>IF(AND('Autoévaluation client'!D210="",'Autoévaluation client'!E210=""),"*","")</f>
        <v>*</v>
      </c>
      <c r="E206" s="39" t="str">
        <f>IF(ISBLANK('Autoévaluation client'!F210),"",'Autoévaluation client'!F210)</f>
        <v/>
      </c>
      <c r="F206" s="118"/>
      <c r="G206" s="118"/>
      <c r="H206" s="118"/>
      <c r="I206" s="118"/>
      <c r="J206" s="118"/>
      <c r="K206" s="118"/>
      <c r="L206" s="112"/>
      <c r="M206" s="37">
        <v>0</v>
      </c>
      <c r="N206" s="27"/>
      <c r="O206" s="28">
        <f t="shared" si="37"/>
        <v>0</v>
      </c>
      <c r="P206" s="43">
        <f t="shared" si="38"/>
        <v>0</v>
      </c>
      <c r="Q206" s="36"/>
      <c r="R206" s="27"/>
    </row>
    <row r="207" spans="1:18" x14ac:dyDescent="0.3">
      <c r="A207" s="3" t="str">
        <f>'Autoévaluation client'!A211</f>
        <v>3.8.1.n</v>
      </c>
      <c r="B207" s="6" t="str">
        <f>'Autoévaluation client'!C211</f>
        <v>Feuillets d'information?</v>
      </c>
      <c r="C207" s="38">
        <f>IF(ISBLANK('Autoévaluation client'!D211),0,1)</f>
        <v>0</v>
      </c>
      <c r="D207" s="165" t="str">
        <f>IF(AND('Autoévaluation client'!D211="",'Autoévaluation client'!E211=""),"*","")</f>
        <v>*</v>
      </c>
      <c r="E207" s="39" t="str">
        <f>IF(ISBLANK('Autoévaluation client'!F211),"",'Autoévaluation client'!F211)</f>
        <v/>
      </c>
      <c r="F207" s="118"/>
      <c r="G207" s="118"/>
      <c r="H207" s="118"/>
      <c r="I207" s="118"/>
      <c r="J207" s="118"/>
      <c r="K207" s="118"/>
      <c r="L207" s="112"/>
      <c r="M207" s="37">
        <v>1</v>
      </c>
      <c r="N207" s="27"/>
      <c r="O207" s="28">
        <f t="shared" si="37"/>
        <v>0</v>
      </c>
      <c r="P207" s="43">
        <f t="shared" si="38"/>
        <v>0</v>
      </c>
      <c r="Q207" s="36"/>
      <c r="R207" s="27"/>
    </row>
    <row r="208" spans="1:18" x14ac:dyDescent="0.3">
      <c r="A208" s="3" t="str">
        <f>'Autoévaluation client'!A212</f>
        <v>3.8.1.o</v>
      </c>
      <c r="B208" s="6" t="str">
        <f>'Autoévaluation client'!C212</f>
        <v>Circulaires?</v>
      </c>
      <c r="C208" s="38">
        <f>IF(ISBLANK('Autoévaluation client'!D212),0,1)</f>
        <v>0</v>
      </c>
      <c r="D208" s="165" t="str">
        <f>IF(AND('Autoévaluation client'!D212="",'Autoévaluation client'!E212=""),"*","")</f>
        <v>*</v>
      </c>
      <c r="E208" s="39" t="str">
        <f>IF(ISBLANK('Autoévaluation client'!F212),"",'Autoévaluation client'!F212)</f>
        <v/>
      </c>
      <c r="F208" s="118"/>
      <c r="G208" s="118"/>
      <c r="H208" s="118"/>
      <c r="I208" s="118"/>
      <c r="J208" s="118"/>
      <c r="K208" s="118"/>
      <c r="L208" s="112"/>
      <c r="M208" s="37">
        <v>1</v>
      </c>
      <c r="N208" s="27"/>
      <c r="O208" s="28">
        <f t="shared" si="37"/>
        <v>0</v>
      </c>
      <c r="P208" s="43">
        <f t="shared" si="38"/>
        <v>0</v>
      </c>
      <c r="Q208" s="36"/>
      <c r="R208" s="27"/>
    </row>
    <row r="209" spans="1:18" x14ac:dyDescent="0.3">
      <c r="A209" s="3" t="str">
        <f>'Autoévaluation client'!A213</f>
        <v>3.8.1.p</v>
      </c>
      <c r="B209" s="6" t="str">
        <f>'Autoévaluation client'!C213</f>
        <v>Lettres personnelles?</v>
      </c>
      <c r="C209" s="38">
        <f>IF(ISBLANK('Autoévaluation client'!D213),0,1)</f>
        <v>0</v>
      </c>
      <c r="D209" s="165" t="str">
        <f>IF(AND('Autoévaluation client'!D213="",'Autoévaluation client'!E213=""),"*","")</f>
        <v>*</v>
      </c>
      <c r="E209" s="39" t="str">
        <f>IF(ISBLANK('Autoévaluation client'!F213),"",'Autoévaluation client'!F213)</f>
        <v/>
      </c>
      <c r="F209" s="118"/>
      <c r="G209" s="118"/>
      <c r="H209" s="118"/>
      <c r="I209" s="118"/>
      <c r="J209" s="118"/>
      <c r="K209" s="118"/>
      <c r="L209" s="112"/>
      <c r="M209" s="37">
        <v>0</v>
      </c>
      <c r="N209" s="27"/>
      <c r="O209" s="28">
        <f t="shared" si="37"/>
        <v>0</v>
      </c>
      <c r="P209" s="43">
        <f t="shared" si="38"/>
        <v>0</v>
      </c>
      <c r="Q209" s="36"/>
      <c r="R209" s="27"/>
    </row>
    <row r="210" spans="1:18" x14ac:dyDescent="0.3">
      <c r="A210" s="3" t="str">
        <f>'Autoévaluation client'!A214</f>
        <v>3.8.1.q</v>
      </c>
      <c r="B210" s="6" t="str">
        <f>'Autoévaluation client'!C214</f>
        <v>Journal d'entreprise?</v>
      </c>
      <c r="C210" s="38">
        <f>IF(ISBLANK('Autoévaluation client'!D214),0,1)</f>
        <v>0</v>
      </c>
      <c r="D210" s="165" t="str">
        <f>IF(AND('Autoévaluation client'!D214="",'Autoévaluation client'!E214=""),"*","")</f>
        <v>*</v>
      </c>
      <c r="E210" s="39" t="str">
        <f>IF(ISBLANK('Autoévaluation client'!F214),"",'Autoévaluation client'!F214)</f>
        <v/>
      </c>
      <c r="F210" s="118"/>
      <c r="G210" s="118"/>
      <c r="H210" s="118"/>
      <c r="I210" s="118"/>
      <c r="J210" s="118"/>
      <c r="K210" s="118"/>
      <c r="L210" s="112"/>
      <c r="M210" s="37">
        <v>0</v>
      </c>
      <c r="N210" s="27"/>
      <c r="O210" s="28">
        <f t="shared" si="37"/>
        <v>0</v>
      </c>
      <c r="P210" s="43">
        <f t="shared" si="38"/>
        <v>0</v>
      </c>
      <c r="Q210" s="36"/>
      <c r="R210" s="27"/>
    </row>
    <row r="211" spans="1:18" x14ac:dyDescent="0.3">
      <c r="A211" s="3" t="str">
        <f>'Autoévaluation client'!A215</f>
        <v>3.8.1.r</v>
      </c>
      <c r="B211" s="6" t="str">
        <f>'Autoévaluation client'!C215</f>
        <v>Journal du personnel?</v>
      </c>
      <c r="C211" s="38">
        <f>IF(ISBLANK('Autoévaluation client'!D215),0,1)</f>
        <v>0</v>
      </c>
      <c r="D211" s="165" t="str">
        <f>IF(AND('Autoévaluation client'!D215="",'Autoévaluation client'!E215=""),"*","")</f>
        <v>*</v>
      </c>
      <c r="E211" s="39" t="str">
        <f>IF(ISBLANK('Autoévaluation client'!F215),"",'Autoévaluation client'!F215)</f>
        <v/>
      </c>
      <c r="F211" s="118"/>
      <c r="G211" s="118"/>
      <c r="H211" s="118"/>
      <c r="I211" s="118"/>
      <c r="J211" s="118"/>
      <c r="K211" s="118"/>
      <c r="L211" s="112"/>
      <c r="M211" s="37">
        <v>1</v>
      </c>
      <c r="N211" s="27"/>
      <c r="O211" s="28">
        <f t="shared" si="37"/>
        <v>0</v>
      </c>
      <c r="P211" s="43">
        <f t="shared" si="38"/>
        <v>0</v>
      </c>
      <c r="Q211" s="36"/>
      <c r="R211" s="27"/>
    </row>
    <row r="212" spans="1:18" x14ac:dyDescent="0.3">
      <c r="A212" s="3" t="str">
        <f>'Autoévaluation client'!A216</f>
        <v>3.8.1.s</v>
      </c>
      <c r="B212" s="6" t="str">
        <f>'Autoévaluation client'!C216</f>
        <v>Revues spécialisées?</v>
      </c>
      <c r="C212" s="38">
        <f>IF(ISBLANK('Autoévaluation client'!D216),0,1)</f>
        <v>0</v>
      </c>
      <c r="D212" s="165" t="str">
        <f>IF(AND('Autoévaluation client'!D216="",'Autoévaluation client'!E216=""),"*","")</f>
        <v>*</v>
      </c>
      <c r="E212" s="39" t="str">
        <f>IF(ISBLANK('Autoévaluation client'!F216),"",'Autoévaluation client'!F216)</f>
        <v/>
      </c>
      <c r="F212" s="118"/>
      <c r="G212" s="118"/>
      <c r="H212" s="118"/>
      <c r="I212" s="118"/>
      <c r="J212" s="118"/>
      <c r="K212" s="118"/>
      <c r="L212" s="112"/>
      <c r="M212" s="37">
        <v>0</v>
      </c>
      <c r="N212" s="27"/>
      <c r="O212" s="28">
        <f t="shared" si="37"/>
        <v>0</v>
      </c>
      <c r="P212" s="43">
        <f t="shared" si="38"/>
        <v>0</v>
      </c>
      <c r="Q212" s="36"/>
      <c r="R212" s="27"/>
    </row>
    <row r="213" spans="1:18" x14ac:dyDescent="0.3">
      <c r="A213" s="3" t="str">
        <f>'Autoévaluation client'!A217</f>
        <v>3.8.1.t</v>
      </c>
      <c r="B213" s="6" t="str">
        <f>'Autoévaluation client'!C217</f>
        <v>Bibliothèque?</v>
      </c>
      <c r="C213" s="38">
        <f>IF(ISBLANK('Autoévaluation client'!D217),0,1)</f>
        <v>0</v>
      </c>
      <c r="D213" s="165" t="str">
        <f>IF(AND('Autoévaluation client'!D217="",'Autoévaluation client'!E217=""),"*","")</f>
        <v>*</v>
      </c>
      <c r="E213" s="39" t="str">
        <f>IF(ISBLANK('Autoévaluation client'!F217),"",'Autoévaluation client'!F217)</f>
        <v/>
      </c>
      <c r="F213" s="118"/>
      <c r="G213" s="118"/>
      <c r="H213" s="118"/>
      <c r="I213" s="118"/>
      <c r="J213" s="118"/>
      <c r="K213" s="118"/>
      <c r="L213" s="112"/>
      <c r="M213" s="37">
        <v>0</v>
      </c>
      <c r="N213" s="27"/>
      <c r="O213" s="28">
        <f t="shared" si="37"/>
        <v>0</v>
      </c>
      <c r="P213" s="43">
        <f t="shared" si="38"/>
        <v>0</v>
      </c>
      <c r="Q213" s="36"/>
      <c r="R213" s="27"/>
    </row>
    <row r="214" spans="1:18" x14ac:dyDescent="0.3">
      <c r="A214" s="3" t="str">
        <f>'Autoévaluation client'!A218</f>
        <v>3.8.1.u</v>
      </c>
      <c r="B214" s="6" t="str">
        <f>'Autoévaluation client'!C218</f>
        <v>Rapports annuels?</v>
      </c>
      <c r="C214" s="38">
        <f>IF(ISBLANK('Autoévaluation client'!D218),0,1)</f>
        <v>0</v>
      </c>
      <c r="D214" s="165" t="str">
        <f>IF(AND('Autoévaluation client'!D218="",'Autoévaluation client'!E218=""),"*","")</f>
        <v>*</v>
      </c>
      <c r="E214" s="39" t="str">
        <f>IF(ISBLANK('Autoévaluation client'!F218),"",'Autoévaluation client'!F218)</f>
        <v/>
      </c>
      <c r="F214" s="120"/>
      <c r="G214" s="120"/>
      <c r="H214" s="120"/>
      <c r="I214" s="120"/>
      <c r="J214" s="120"/>
      <c r="K214" s="120"/>
      <c r="L214" s="112"/>
      <c r="M214" s="37">
        <v>1</v>
      </c>
      <c r="N214" s="27"/>
      <c r="O214" s="28">
        <f t="shared" si="37"/>
        <v>0</v>
      </c>
      <c r="P214" s="43">
        <f t="shared" si="38"/>
        <v>0</v>
      </c>
      <c r="Q214" s="36"/>
      <c r="R214" s="27"/>
    </row>
    <row r="215" spans="1:18" x14ac:dyDescent="0.3">
      <c r="A215" s="3" t="str">
        <f>'Autoévaluation client'!A219</f>
        <v>3.8.1.v</v>
      </c>
      <c r="B215" s="6" t="str">
        <f>'Autoévaluation client'!C219</f>
        <v>Enquêtes auprès des collaborateurs?</v>
      </c>
      <c r="C215" s="38">
        <f>IF(ISBLANK('Autoévaluation client'!D219),0,1)</f>
        <v>0</v>
      </c>
      <c r="D215" s="165" t="str">
        <f>IF(AND('Autoévaluation client'!D219="",'Autoévaluation client'!E219=""),"*","")</f>
        <v>*</v>
      </c>
      <c r="E215" s="39" t="str">
        <f>IF(ISBLANK('Autoévaluation client'!F219),"",'Autoévaluation client'!F219)</f>
        <v/>
      </c>
      <c r="F215" s="118"/>
      <c r="G215" s="118"/>
      <c r="H215" s="118"/>
      <c r="I215" s="118"/>
      <c r="J215" s="118"/>
      <c r="K215" s="118"/>
      <c r="L215" s="112"/>
      <c r="M215" s="37">
        <v>0</v>
      </c>
      <c r="N215" s="27"/>
      <c r="O215" s="28">
        <f t="shared" si="37"/>
        <v>0</v>
      </c>
      <c r="P215" s="43">
        <f t="shared" si="38"/>
        <v>0</v>
      </c>
      <c r="Q215" s="36"/>
      <c r="R215" s="27"/>
    </row>
    <row r="216" spans="1:18" x14ac:dyDescent="0.3">
      <c r="A216" s="3" t="str">
        <f>'Autoévaluation client'!A220</f>
        <v>3.8.1.w</v>
      </c>
      <c r="B216" s="6" t="str">
        <f>'Autoévaluation client'!C220</f>
        <v>Internet?</v>
      </c>
      <c r="C216" s="38">
        <f>IF(ISBLANK('Autoévaluation client'!D220),0,1)</f>
        <v>0</v>
      </c>
      <c r="D216" s="165" t="str">
        <f>IF(AND('Autoévaluation client'!D220="",'Autoévaluation client'!E220=""),"*","")</f>
        <v>*</v>
      </c>
      <c r="E216" s="39" t="str">
        <f>IF(ISBLANK('Autoévaluation client'!F220),"",'Autoévaluation client'!F220)</f>
        <v/>
      </c>
      <c r="F216" s="118"/>
      <c r="G216" s="118"/>
      <c r="H216" s="118"/>
      <c r="I216" s="118"/>
      <c r="J216" s="118"/>
      <c r="K216" s="118"/>
      <c r="L216" s="112"/>
      <c r="M216" s="37">
        <v>0</v>
      </c>
      <c r="N216" s="27"/>
      <c r="O216" s="28">
        <f t="shared" si="37"/>
        <v>0</v>
      </c>
      <c r="P216" s="43">
        <f t="shared" si="38"/>
        <v>0</v>
      </c>
      <c r="Q216" s="36"/>
      <c r="R216" s="27"/>
    </row>
    <row r="217" spans="1:18" x14ac:dyDescent="0.3">
      <c r="A217" s="3" t="str">
        <f>'Autoévaluation client'!A221</f>
        <v>3.8.1.x</v>
      </c>
      <c r="B217" s="6" t="str">
        <f>'Autoévaluation client'!C221</f>
        <v>Intranet?</v>
      </c>
      <c r="C217" s="38">
        <f>IF(ISBLANK('Autoévaluation client'!D221),0,1)</f>
        <v>0</v>
      </c>
      <c r="D217" s="165" t="str">
        <f>IF(AND('Autoévaluation client'!D221="",'Autoévaluation client'!E221=""),"*","")</f>
        <v>*</v>
      </c>
      <c r="E217" s="39" t="str">
        <f>IF(ISBLANK('Autoévaluation client'!F221),"",'Autoévaluation client'!F221)</f>
        <v/>
      </c>
      <c r="F217" s="118"/>
      <c r="G217" s="118"/>
      <c r="H217" s="118"/>
      <c r="I217" s="118"/>
      <c r="J217" s="118"/>
      <c r="K217" s="118"/>
      <c r="L217" s="112"/>
      <c r="M217" s="37">
        <v>0</v>
      </c>
      <c r="N217" s="27"/>
      <c r="O217" s="28">
        <f t="shared" si="37"/>
        <v>0</v>
      </c>
      <c r="P217" s="43">
        <f t="shared" si="38"/>
        <v>0</v>
      </c>
      <c r="Q217" s="36"/>
      <c r="R217" s="27"/>
    </row>
    <row r="218" spans="1:18" x14ac:dyDescent="0.3">
      <c r="A218" s="3" t="str">
        <f>'Autoévaluation client'!A222</f>
        <v>3.8.1.y</v>
      </c>
      <c r="B218" s="6" t="str">
        <f>'Autoévaluation client'!C222</f>
        <v>Courrier électronique?</v>
      </c>
      <c r="C218" s="38">
        <f>IF(ISBLANK('Autoévaluation client'!D222),0,1)</f>
        <v>0</v>
      </c>
      <c r="D218" s="165" t="str">
        <f>IF(AND('Autoévaluation client'!D222="",'Autoévaluation client'!E222=""),"*","")</f>
        <v>*</v>
      </c>
      <c r="E218" s="39" t="str">
        <f>IF(ISBLANK('Autoévaluation client'!F222),"",'Autoévaluation client'!F222)</f>
        <v/>
      </c>
      <c r="F218" s="118"/>
      <c r="G218" s="118"/>
      <c r="H218" s="118"/>
      <c r="I218" s="118"/>
      <c r="J218" s="118"/>
      <c r="K218" s="118"/>
      <c r="L218" s="112"/>
      <c r="M218" s="37">
        <v>0</v>
      </c>
      <c r="N218" s="27"/>
      <c r="O218" s="28">
        <f t="shared" si="37"/>
        <v>0</v>
      </c>
      <c r="P218" s="43">
        <f t="shared" si="38"/>
        <v>0</v>
      </c>
      <c r="Q218" s="36"/>
      <c r="R218" s="27"/>
    </row>
    <row r="219" spans="1:18" x14ac:dyDescent="0.3">
      <c r="A219" s="3" t="str">
        <f>'Autoévaluation client'!A223</f>
        <v>3.8.1.z</v>
      </c>
      <c r="B219" s="6" t="str">
        <f>'Autoévaluation client'!C223</f>
        <v>Logiciels?</v>
      </c>
      <c r="C219" s="38">
        <f>IF(ISBLANK('Autoévaluation client'!D223),0,1)</f>
        <v>0</v>
      </c>
      <c r="D219" s="165" t="str">
        <f>IF(AND('Autoévaluation client'!D223="",'Autoévaluation client'!E223=""),"*","")</f>
        <v>*</v>
      </c>
      <c r="E219" s="39" t="str">
        <f>IF(ISBLANK('Autoévaluation client'!F223),"",'Autoévaluation client'!F223)</f>
        <v/>
      </c>
      <c r="F219" s="120"/>
      <c r="G219" s="120"/>
      <c r="H219" s="120"/>
      <c r="I219" s="120"/>
      <c r="J219" s="120"/>
      <c r="K219" s="120"/>
      <c r="L219" s="112"/>
      <c r="M219" s="37">
        <v>0</v>
      </c>
      <c r="N219" s="27"/>
      <c r="O219" s="28">
        <f t="shared" si="37"/>
        <v>0</v>
      </c>
      <c r="P219" s="43">
        <f t="shared" si="38"/>
        <v>0</v>
      </c>
      <c r="Q219" s="36"/>
      <c r="R219" s="27"/>
    </row>
    <row r="220" spans="1:18" x14ac:dyDescent="0.3">
      <c r="A220" s="3" t="str">
        <f>'Autoévaluation client'!A224</f>
        <v>3.8.1.aa</v>
      </c>
      <c r="B220" s="6" t="str">
        <f>'Autoévaluation client'!C224</f>
        <v>Modèles?</v>
      </c>
      <c r="C220" s="38">
        <f>IF(ISBLANK('Autoévaluation client'!D224),0,1)</f>
        <v>0</v>
      </c>
      <c r="D220" s="165" t="str">
        <f>IF(AND('Autoévaluation client'!D224="",'Autoévaluation client'!E224=""),"*","")</f>
        <v>*</v>
      </c>
      <c r="E220" s="39" t="str">
        <f>IF(ISBLANK('Autoévaluation client'!F224),"",'Autoévaluation client'!F224)</f>
        <v/>
      </c>
      <c r="F220" s="118"/>
      <c r="G220" s="118"/>
      <c r="H220" s="118"/>
      <c r="I220" s="118"/>
      <c r="J220" s="118"/>
      <c r="K220" s="118"/>
      <c r="L220" s="112"/>
      <c r="M220" s="37">
        <v>0</v>
      </c>
      <c r="N220" s="27"/>
      <c r="O220" s="28">
        <f t="shared" si="37"/>
        <v>0</v>
      </c>
      <c r="P220" s="43">
        <f t="shared" si="38"/>
        <v>0</v>
      </c>
      <c r="Q220" s="36"/>
      <c r="R220" s="27"/>
    </row>
    <row r="221" spans="1:18" x14ac:dyDescent="0.3">
      <c r="A221" s="3" t="str">
        <f>'Autoévaluation client'!A225</f>
        <v>3.8.1.bb</v>
      </c>
      <c r="B221" s="6" t="str">
        <f>'Autoévaluation client'!C225</f>
        <v>Exemples?</v>
      </c>
      <c r="C221" s="38">
        <f>IF(ISBLANK('Autoévaluation client'!D225),0,1)</f>
        <v>0</v>
      </c>
      <c r="D221" s="165" t="str">
        <f>IF(AND('Autoévaluation client'!D225="",'Autoévaluation client'!E225=""),"*","")</f>
        <v>*</v>
      </c>
      <c r="E221" s="39" t="str">
        <f>IF(ISBLANK('Autoévaluation client'!F225),"",'Autoévaluation client'!F225)</f>
        <v/>
      </c>
      <c r="F221" s="120"/>
      <c r="G221" s="120"/>
      <c r="H221" s="120"/>
      <c r="I221" s="120"/>
      <c r="J221" s="120"/>
      <c r="K221" s="120"/>
      <c r="L221" s="112"/>
      <c r="M221" s="37">
        <v>0</v>
      </c>
      <c r="N221" s="27"/>
      <c r="O221" s="28">
        <f t="shared" si="37"/>
        <v>0</v>
      </c>
      <c r="P221" s="43">
        <f t="shared" si="38"/>
        <v>0</v>
      </c>
      <c r="Q221" s="36"/>
      <c r="R221" s="36"/>
    </row>
    <row r="222" spans="1:18" x14ac:dyDescent="0.3">
      <c r="A222" s="3" t="str">
        <f>'Autoévaluation client'!A226</f>
        <v>3.8.1.cc</v>
      </c>
      <c r="B222" s="6" t="str">
        <f>'Autoévaluation client'!C226</f>
        <v>Expositions?</v>
      </c>
      <c r="C222" s="38">
        <f>IF(ISBLANK('Autoévaluation client'!D226),0,1)</f>
        <v>0</v>
      </c>
      <c r="D222" s="165" t="str">
        <f>IF(AND('Autoévaluation client'!D226="",'Autoévaluation client'!E226=""),"*","")</f>
        <v>*</v>
      </c>
      <c r="E222" s="39" t="str">
        <f>IF(ISBLANK('Autoévaluation client'!F226),"",'Autoévaluation client'!F226)</f>
        <v/>
      </c>
      <c r="F222" s="118"/>
      <c r="G222" s="118"/>
      <c r="H222" s="118"/>
      <c r="I222" s="118"/>
      <c r="J222" s="118"/>
      <c r="K222" s="118"/>
      <c r="L222" s="112"/>
      <c r="M222" s="37">
        <v>0</v>
      </c>
      <c r="N222" s="27"/>
      <c r="O222" s="28">
        <f t="shared" si="37"/>
        <v>0</v>
      </c>
      <c r="P222" s="43">
        <f t="shared" si="38"/>
        <v>0</v>
      </c>
      <c r="Q222" s="36"/>
      <c r="R222" s="27"/>
    </row>
    <row r="223" spans="1:18" x14ac:dyDescent="0.3">
      <c r="A223" s="19" t="str">
        <f>'Autoévaluation client'!A227</f>
        <v>3.9.</v>
      </c>
      <c r="B223" s="20" t="str">
        <f>'Autoévaluation client'!B227</f>
        <v>La sécurité à l'ordre du jour</v>
      </c>
      <c r="C223" s="21">
        <f>O223/N223</f>
        <v>0</v>
      </c>
      <c r="D223" s="23" t="str">
        <f>IF(ISBLANK('Autoévaluation client'!E227),"",'Autoévaluation client'!E227)</f>
        <v/>
      </c>
      <c r="E223" s="23" t="str">
        <f>IF(ISBLANK('Autoévaluation client'!F227),"",'Autoévaluation client'!F227)</f>
        <v/>
      </c>
      <c r="F223" s="115"/>
      <c r="G223" s="115"/>
      <c r="H223" s="115"/>
      <c r="I223" s="115"/>
      <c r="J223" s="115"/>
      <c r="K223" s="115"/>
      <c r="L223" s="50">
        <f>P223/N223</f>
        <v>0</v>
      </c>
      <c r="M223" s="23">
        <v>1</v>
      </c>
      <c r="N223" s="22">
        <f>SUM(M224:M226)</f>
        <v>9</v>
      </c>
      <c r="O223" s="24">
        <f>SUM(O224:O226)</f>
        <v>0</v>
      </c>
      <c r="P223" s="24">
        <f>SUM(P224:P226)</f>
        <v>0</v>
      </c>
      <c r="Q223" s="52">
        <f>O223/$N223*$M223</f>
        <v>0</v>
      </c>
      <c r="R223" s="52">
        <f>P223/$N223*$M223</f>
        <v>0</v>
      </c>
    </row>
    <row r="224" spans="1:18" ht="52.8" x14ac:dyDescent="0.3">
      <c r="A224" s="3" t="str">
        <f>'Autoévaluation client'!A228</f>
        <v>3.9.1.a</v>
      </c>
      <c r="B224" s="6" t="str">
        <f>'Autoévaluation client'!C228</f>
        <v>La sécurité et la promotion de la santé sont-elles des thèmes 
régulièrement évoqués dans les:
Discussions internes?</v>
      </c>
      <c r="C224" s="38">
        <f>IF(ISBLANK('Autoévaluation client'!D228),0,1)</f>
        <v>0</v>
      </c>
      <c r="D224" s="165" t="str">
        <f>IF(AND('Autoévaluation client'!D228="",'Autoévaluation client'!E228=""),"*","")</f>
        <v>*</v>
      </c>
      <c r="E224" s="39" t="str">
        <f>IF(ISBLANK('Autoévaluation client'!F228),"",'Autoévaluation client'!F228)</f>
        <v/>
      </c>
      <c r="F224" s="118"/>
      <c r="G224" s="118"/>
      <c r="H224" s="118"/>
      <c r="I224" s="118"/>
      <c r="J224" s="118"/>
      <c r="K224" s="118"/>
      <c r="L224" s="112"/>
      <c r="M224" s="37">
        <v>4</v>
      </c>
      <c r="N224" s="27"/>
      <c r="O224" s="28">
        <f>C224*M224</f>
        <v>0</v>
      </c>
      <c r="P224" s="43">
        <f t="shared" ref="P224:P226" si="39">L224*M224</f>
        <v>0</v>
      </c>
      <c r="Q224" s="36"/>
      <c r="R224" s="27"/>
    </row>
    <row r="225" spans="1:18" ht="39.6" x14ac:dyDescent="0.3">
      <c r="A225" s="3" t="str">
        <f>'Autoévaluation client'!A229</f>
        <v>3.9.1.b</v>
      </c>
      <c r="B225" s="6" t="str">
        <f>'Autoévaluation client'!C229</f>
        <v>discussions externes à l'entreprise? (p. ex. avec des tiers, d'autres entreprises, des membres de communautés de travail)?</v>
      </c>
      <c r="C225" s="38">
        <f>IF(ISBLANK('Autoévaluation client'!D229),0,1)</f>
        <v>0</v>
      </c>
      <c r="D225" s="165" t="str">
        <f>IF(AND('Autoévaluation client'!D229="",'Autoévaluation client'!E229=""),"*","")</f>
        <v>*</v>
      </c>
      <c r="E225" s="39" t="str">
        <f>IF(ISBLANK('Autoévaluation client'!F229),"",'Autoévaluation client'!F229)</f>
        <v/>
      </c>
      <c r="F225" s="118"/>
      <c r="G225" s="118"/>
      <c r="H225" s="118"/>
      <c r="I225" s="118"/>
      <c r="J225" s="118"/>
      <c r="K225" s="118"/>
      <c r="L225" s="112"/>
      <c r="M225" s="37">
        <v>2</v>
      </c>
      <c r="N225" s="27"/>
      <c r="O225" s="28">
        <f>C225*M225</f>
        <v>0</v>
      </c>
      <c r="P225" s="43">
        <f t="shared" si="39"/>
        <v>0</v>
      </c>
      <c r="Q225" s="36"/>
      <c r="R225" s="27"/>
    </row>
    <row r="226" spans="1:18" ht="105.6" x14ac:dyDescent="0.3">
      <c r="A226" s="3" t="str">
        <f>'Autoévaluation client'!A230</f>
        <v>3.9.2.</v>
      </c>
      <c r="B226" s="6" t="str">
        <f>'Autoévaluation client'!C230</f>
        <v>Dans les entretiens sur la sécurité et la promotion de la santé, les participants ont-ils non seulement discuté des problèmes, mais aussi fixé des objectifs de sécurité* et pris des mesures?
*Objectifs de sécurité: objectifs à atteindre pour garantir la sécurité et la santé selon l’expérience générale et l’état de la technique. Les objectifs de sécurité laissent entrevoir des moyens et des moyens de réalisation des objectifs.</v>
      </c>
      <c r="C226" s="38">
        <f>IF(ISBLANK('Autoévaluation client'!D230),0,1)</f>
        <v>0</v>
      </c>
      <c r="D226" s="165" t="str">
        <f>IF(AND('Autoévaluation client'!D230="",'Autoévaluation client'!E230=""),"*","")</f>
        <v>*</v>
      </c>
      <c r="E226" s="39" t="str">
        <f>IF(ISBLANK('Autoévaluation client'!F230),"",'Autoévaluation client'!F230)</f>
        <v/>
      </c>
      <c r="F226" s="118"/>
      <c r="G226" s="118"/>
      <c r="H226" s="118"/>
      <c r="I226" s="118"/>
      <c r="J226" s="118"/>
      <c r="K226" s="118"/>
      <c r="L226" s="112"/>
      <c r="M226" s="37">
        <v>3</v>
      </c>
      <c r="N226" s="27"/>
      <c r="O226" s="28">
        <f>C226*M226</f>
        <v>0</v>
      </c>
      <c r="P226" s="43">
        <f t="shared" si="39"/>
        <v>0</v>
      </c>
      <c r="Q226" s="36"/>
      <c r="R226" s="27"/>
    </row>
    <row r="227" spans="1:18" x14ac:dyDescent="0.3">
      <c r="A227" s="19" t="str">
        <f>'Autoévaluation client'!A231</f>
        <v>3.10.</v>
      </c>
      <c r="B227" s="20" t="str">
        <f>'Autoévaluation client'!B231</f>
        <v>Exigences posées aux entreprises tierces</v>
      </c>
      <c r="C227" s="21">
        <f>O227/N227</f>
        <v>0</v>
      </c>
      <c r="D227" s="23" t="str">
        <f>IF(ISBLANK('Autoévaluation client'!E231),"",'Autoévaluation client'!E231)</f>
        <v/>
      </c>
      <c r="E227" s="23" t="str">
        <f>IF(ISBLANK('Autoévaluation client'!F231),"",'Autoévaluation client'!F231)</f>
        <v/>
      </c>
      <c r="F227" s="115"/>
      <c r="G227" s="115"/>
      <c r="H227" s="115"/>
      <c r="I227" s="115"/>
      <c r="J227" s="115"/>
      <c r="K227" s="115"/>
      <c r="L227" s="50">
        <f>P227/N227</f>
        <v>0</v>
      </c>
      <c r="M227" s="22">
        <v>1</v>
      </c>
      <c r="N227" s="22">
        <f>SUM(M228:M239)</f>
        <v>16</v>
      </c>
      <c r="O227" s="24">
        <f>SUM(O228:O239)</f>
        <v>0</v>
      </c>
      <c r="P227" s="24">
        <f>SUM(P228:P239)</f>
        <v>0</v>
      </c>
      <c r="Q227" s="52">
        <f>O227/$N227*$M227</f>
        <v>0</v>
      </c>
      <c r="R227" s="52">
        <f>P227/$N227*$M227</f>
        <v>0</v>
      </c>
    </row>
    <row r="228" spans="1:18" ht="39.6" x14ac:dyDescent="0.3">
      <c r="A228" s="3" t="str">
        <f>'Autoévaluation client'!A232</f>
        <v>3.10.1.a</v>
      </c>
      <c r="B228" s="6" t="str">
        <f>'Autoévaluation client'!C232</f>
        <v>Votre entreprise compte-t-elle sur le soutien des entreprises de tierces:
Jamais?</v>
      </c>
      <c r="C228" s="38">
        <f>IF(ISBLANK('Autoévaluation client'!D232),0,1)</f>
        <v>0</v>
      </c>
      <c r="D228" s="165" t="str">
        <f>IF(AND('Autoévaluation client'!D232="",'Autoévaluation client'!E232=""),"*","")</f>
        <v>*</v>
      </c>
      <c r="E228" s="39" t="str">
        <f>IF(ISBLANK('Autoévaluation client'!F232),"",'Autoévaluation client'!F232)</f>
        <v/>
      </c>
      <c r="F228" s="116"/>
      <c r="G228" s="116"/>
      <c r="H228" s="116"/>
      <c r="I228" s="116"/>
      <c r="J228" s="116"/>
      <c r="K228" s="116"/>
      <c r="L228" s="112"/>
      <c r="M228" s="37">
        <v>0</v>
      </c>
      <c r="N228" s="27"/>
      <c r="O228" s="28">
        <f t="shared" ref="O228:O239" si="40">C228*M228</f>
        <v>0</v>
      </c>
      <c r="P228" s="43">
        <f t="shared" ref="P228:P239" si="41">L228*M228</f>
        <v>0</v>
      </c>
      <c r="Q228" s="36"/>
      <c r="R228" s="27"/>
    </row>
    <row r="229" spans="1:18" x14ac:dyDescent="0.3">
      <c r="A229" s="3" t="str">
        <f>'Autoévaluation client'!A233</f>
        <v>3.10.1.b</v>
      </c>
      <c r="B229" s="6" t="str">
        <f>'Autoévaluation client'!C233</f>
        <v>Rarement?</v>
      </c>
      <c r="C229" s="38">
        <f>IF(ISBLANK('Autoévaluation client'!D233),0,1)</f>
        <v>0</v>
      </c>
      <c r="D229" s="165" t="str">
        <f>IF(AND('Autoévaluation client'!D233="",'Autoévaluation client'!E233=""),"*","")</f>
        <v>*</v>
      </c>
      <c r="E229" s="39" t="str">
        <f>IF(ISBLANK('Autoévaluation client'!F233),"",'Autoévaluation client'!F233)</f>
        <v/>
      </c>
      <c r="F229" s="33"/>
      <c r="G229" s="33"/>
      <c r="H229" s="33"/>
      <c r="I229" s="33"/>
      <c r="J229" s="33"/>
      <c r="K229" s="33"/>
      <c r="L229" s="112"/>
      <c r="M229" s="37">
        <v>0</v>
      </c>
      <c r="N229" s="27"/>
      <c r="O229" s="28">
        <f t="shared" si="40"/>
        <v>0</v>
      </c>
      <c r="P229" s="43">
        <f t="shared" si="41"/>
        <v>0</v>
      </c>
      <c r="Q229" s="36"/>
      <c r="R229" s="27"/>
    </row>
    <row r="230" spans="1:18" x14ac:dyDescent="0.3">
      <c r="A230" s="3" t="str">
        <f>'Autoévaluation client'!A234</f>
        <v>3.10.1.c</v>
      </c>
      <c r="B230" s="6" t="str">
        <f>'Autoévaluation client'!C234</f>
        <v>Occasionnellement?</v>
      </c>
      <c r="C230" s="38">
        <f>IF(ISBLANK('Autoévaluation client'!D234),0,1)</f>
        <v>0</v>
      </c>
      <c r="D230" s="165" t="str">
        <f>IF(AND('Autoévaluation client'!D234="",'Autoévaluation client'!E234=""),"*","")</f>
        <v>*</v>
      </c>
      <c r="E230" s="39" t="str">
        <f>IF(ISBLANK('Autoévaluation client'!F234),"",'Autoévaluation client'!F234)</f>
        <v/>
      </c>
      <c r="F230" s="33"/>
      <c r="G230" s="33"/>
      <c r="H230" s="33"/>
      <c r="I230" s="33"/>
      <c r="J230" s="33"/>
      <c r="K230" s="33"/>
      <c r="L230" s="112"/>
      <c r="M230" s="37">
        <v>0</v>
      </c>
      <c r="N230" s="27"/>
      <c r="O230" s="28">
        <f t="shared" si="40"/>
        <v>0</v>
      </c>
      <c r="P230" s="43">
        <f t="shared" si="41"/>
        <v>0</v>
      </c>
      <c r="Q230" s="36"/>
      <c r="R230" s="27"/>
    </row>
    <row r="231" spans="1:18" x14ac:dyDescent="0.3">
      <c r="A231" s="3" t="str">
        <f>'Autoévaluation client'!A235</f>
        <v>3.10.1.d</v>
      </c>
      <c r="B231" s="6" t="str">
        <f>'Autoévaluation client'!C235</f>
        <v>Souvent?</v>
      </c>
      <c r="C231" s="38">
        <f>IF(ISBLANK('Autoévaluation client'!D235),0,1)</f>
        <v>0</v>
      </c>
      <c r="D231" s="165" t="str">
        <f>IF(AND('Autoévaluation client'!D235="",'Autoévaluation client'!E235=""),"*","")</f>
        <v>*</v>
      </c>
      <c r="E231" s="39" t="str">
        <f>IF(ISBLANK('Autoévaluation client'!F235),"",'Autoévaluation client'!F235)</f>
        <v/>
      </c>
      <c r="F231" s="33"/>
      <c r="G231" s="33"/>
      <c r="H231" s="33"/>
      <c r="I231" s="33"/>
      <c r="J231" s="33"/>
      <c r="K231" s="33"/>
      <c r="L231" s="112"/>
      <c r="M231" s="37">
        <v>0</v>
      </c>
      <c r="N231" s="27"/>
      <c r="O231" s="28">
        <f t="shared" si="40"/>
        <v>0</v>
      </c>
      <c r="P231" s="43">
        <f t="shared" si="41"/>
        <v>0</v>
      </c>
      <c r="Q231" s="36"/>
      <c r="R231" s="27"/>
    </row>
    <row r="232" spans="1:18" x14ac:dyDescent="0.3">
      <c r="A232" s="3" t="str">
        <f>'Autoévaluation client'!A236</f>
        <v>3.10.1.e</v>
      </c>
      <c r="B232" s="6" t="str">
        <f>'Autoévaluation client'!C236</f>
        <v>En permanence?</v>
      </c>
      <c r="C232" s="38">
        <f>IF(ISBLANK('Autoévaluation client'!D236),0,1)</f>
        <v>0</v>
      </c>
      <c r="D232" s="165" t="str">
        <f>IF(AND('Autoévaluation client'!D236="",'Autoévaluation client'!E236=""),"*","")</f>
        <v>*</v>
      </c>
      <c r="E232" s="39" t="str">
        <f>IF(ISBLANK('Autoévaluation client'!F236),"",'Autoévaluation client'!F236)</f>
        <v/>
      </c>
      <c r="F232" s="33"/>
      <c r="G232" s="33"/>
      <c r="H232" s="33"/>
      <c r="I232" s="33"/>
      <c r="J232" s="33"/>
      <c r="K232" s="33"/>
      <c r="L232" s="112"/>
      <c r="M232" s="37">
        <v>0</v>
      </c>
      <c r="N232" s="27"/>
      <c r="O232" s="28">
        <f t="shared" si="40"/>
        <v>0</v>
      </c>
      <c r="P232" s="43">
        <f t="shared" si="41"/>
        <v>0</v>
      </c>
      <c r="Q232" s="36"/>
      <c r="R232" s="27"/>
    </row>
    <row r="233" spans="1:18" ht="39.6" x14ac:dyDescent="0.3">
      <c r="A233" s="3" t="str">
        <f>'Autoévaluation client'!A237</f>
        <v>3.10.2.</v>
      </c>
      <c r="B233" s="6" t="str">
        <f>'Autoévaluation client'!C237</f>
        <v>Les entreprises tierces sont-elles rendues attentives aux dangers et aux exigences en matière de sécurité dans votre entreprise?</v>
      </c>
      <c r="C233" s="38">
        <f>IF(ISBLANK('Autoévaluation client'!D237),0,1)</f>
        <v>0</v>
      </c>
      <c r="D233" s="165" t="str">
        <f>IF(AND('Autoévaluation client'!D237="",'Autoévaluation client'!E237=""),"*","")</f>
        <v>*</v>
      </c>
      <c r="E233" s="39" t="str">
        <f>IF(ISBLANK('Autoévaluation client'!F237),"",'Autoévaluation client'!F237)</f>
        <v/>
      </c>
      <c r="F233" s="33"/>
      <c r="G233" s="33"/>
      <c r="H233" s="33"/>
      <c r="I233" s="33"/>
      <c r="J233" s="33"/>
      <c r="K233" s="33"/>
      <c r="L233" s="112"/>
      <c r="M233" s="37">
        <v>3</v>
      </c>
      <c r="N233" s="27"/>
      <c r="O233" s="28">
        <f t="shared" si="40"/>
        <v>0</v>
      </c>
      <c r="P233" s="43">
        <f t="shared" si="41"/>
        <v>0</v>
      </c>
      <c r="Q233" s="36"/>
      <c r="R233" s="27"/>
    </row>
    <row r="234" spans="1:18" ht="39.6" x14ac:dyDescent="0.3">
      <c r="A234" s="3" t="str">
        <f>'Autoévaluation client'!A238</f>
        <v>3.10.3.</v>
      </c>
      <c r="B234" s="6" t="str">
        <f>'Autoévaluation client'!C238</f>
        <v>L'observation des dispositions de sécurité fait-elle partie intégrante des contrats d'entreprise écrits avec les entreprises tierces?</v>
      </c>
      <c r="C234" s="38">
        <f>IF(ISBLANK('Autoévaluation client'!D238),0,1)</f>
        <v>0</v>
      </c>
      <c r="D234" s="165" t="str">
        <f>IF(AND('Autoévaluation client'!D238="",'Autoévaluation client'!E238=""),"*","")</f>
        <v>*</v>
      </c>
      <c r="E234" s="39" t="str">
        <f>IF(ISBLANK('Autoévaluation client'!F238),"",'Autoévaluation client'!F238)</f>
        <v/>
      </c>
      <c r="F234" s="33"/>
      <c r="G234" s="33"/>
      <c r="H234" s="33"/>
      <c r="I234" s="33"/>
      <c r="J234" s="33"/>
      <c r="K234" s="33"/>
      <c r="L234" s="112"/>
      <c r="M234" s="37">
        <v>1</v>
      </c>
      <c r="N234" s="27"/>
      <c r="O234" s="28">
        <f t="shared" si="40"/>
        <v>0</v>
      </c>
      <c r="P234" s="43">
        <f t="shared" si="41"/>
        <v>0</v>
      </c>
      <c r="Q234" s="36"/>
      <c r="R234" s="27"/>
    </row>
    <row r="235" spans="1:18" ht="39.6" x14ac:dyDescent="0.3">
      <c r="A235" s="3" t="str">
        <f>'Autoévaluation client'!A239</f>
        <v>3.10.4.</v>
      </c>
      <c r="B235" s="6" t="str">
        <f>'Autoévaluation client'!C239</f>
        <v>L'observation des dispositions de sécurité par les entreprises tierces est-elle surveillée et systématiquement contrôlée?</v>
      </c>
      <c r="C235" s="38">
        <f>IF(ISBLANK('Autoévaluation client'!D239),0,1)</f>
        <v>0</v>
      </c>
      <c r="D235" s="165" t="str">
        <f>IF(AND('Autoévaluation client'!D239="",'Autoévaluation client'!E239=""),"*","")</f>
        <v>*</v>
      </c>
      <c r="E235" s="39" t="str">
        <f>IF(ISBLANK('Autoévaluation client'!F239),"",'Autoévaluation client'!F239)</f>
        <v/>
      </c>
      <c r="F235" s="33"/>
      <c r="G235" s="33"/>
      <c r="H235" s="33"/>
      <c r="I235" s="33"/>
      <c r="J235" s="33"/>
      <c r="K235" s="33"/>
      <c r="L235" s="112"/>
      <c r="M235" s="37">
        <v>4</v>
      </c>
      <c r="N235" s="27"/>
      <c r="O235" s="28">
        <f t="shared" si="40"/>
        <v>0</v>
      </c>
      <c r="P235" s="43">
        <f t="shared" si="41"/>
        <v>0</v>
      </c>
      <c r="Q235" s="36"/>
      <c r="R235" s="27"/>
    </row>
    <row r="236" spans="1:18" ht="26.4" x14ac:dyDescent="0.3">
      <c r="A236" s="3" t="str">
        <f>'Autoévaluation client'!A240</f>
        <v>3.10.5.</v>
      </c>
      <c r="B236" s="6" t="str">
        <f>'Autoévaluation client'!C240</f>
        <v>L'observation des dispositions de sécurité est-elle systématiquement appliquée par les entreprises tierces?</v>
      </c>
      <c r="C236" s="38">
        <f>IF(ISBLANK('Autoévaluation client'!D240),0,1)</f>
        <v>0</v>
      </c>
      <c r="D236" s="165" t="str">
        <f>IF(AND('Autoévaluation client'!D240="",'Autoévaluation client'!E240=""),"*","")</f>
        <v>*</v>
      </c>
      <c r="E236" s="39" t="str">
        <f>IF(ISBLANK('Autoévaluation client'!F240),"",'Autoévaluation client'!F240)</f>
        <v/>
      </c>
      <c r="F236" s="33"/>
      <c r="G236" s="33"/>
      <c r="H236" s="33"/>
      <c r="I236" s="33"/>
      <c r="J236" s="33"/>
      <c r="K236" s="33"/>
      <c r="L236" s="112"/>
      <c r="M236" s="37">
        <v>4</v>
      </c>
      <c r="N236" s="27"/>
      <c r="O236" s="28">
        <f t="shared" si="40"/>
        <v>0</v>
      </c>
      <c r="P236" s="43">
        <f t="shared" si="41"/>
        <v>0</v>
      </c>
      <c r="Q236" s="36"/>
      <c r="R236" s="27"/>
    </row>
    <row r="237" spans="1:18" ht="39.6" x14ac:dyDescent="0.3">
      <c r="A237" s="3" t="str">
        <f>'Autoévaluation client'!A241</f>
        <v>3.10.6.</v>
      </c>
      <c r="B237" s="6" t="str">
        <f>'Autoévaluation client'!C241</f>
        <v>Votre entreprise serait-elle prête à résilier un contrat d'entreprise avec une entreprise tierce s'il s'avérait que celle-ci ne respecte pas les dispositions de sécurité?</v>
      </c>
      <c r="C237" s="38">
        <f>IF(ISBLANK('Autoévaluation client'!D241),0,1)</f>
        <v>0</v>
      </c>
      <c r="D237" s="165" t="str">
        <f>IF(AND('Autoévaluation client'!D241="",'Autoévaluation client'!E241=""),"*","")</f>
        <v>*</v>
      </c>
      <c r="E237" s="39" t="str">
        <f>IF(ISBLANK('Autoévaluation client'!F241),"",'Autoévaluation client'!F241)</f>
        <v/>
      </c>
      <c r="F237" s="33"/>
      <c r="G237" s="33"/>
      <c r="H237" s="33"/>
      <c r="I237" s="33"/>
      <c r="J237" s="33"/>
      <c r="K237" s="33"/>
      <c r="L237" s="112"/>
      <c r="M237" s="37">
        <v>2</v>
      </c>
      <c r="N237" s="27"/>
      <c r="O237" s="28">
        <f t="shared" si="40"/>
        <v>0</v>
      </c>
      <c r="P237" s="43">
        <f t="shared" si="41"/>
        <v>0</v>
      </c>
      <c r="Q237" s="36"/>
      <c r="R237" s="27"/>
    </row>
    <row r="238" spans="1:18" ht="39.6" x14ac:dyDescent="0.3">
      <c r="A238" s="3" t="str">
        <f>'Autoévaluation client'!A242</f>
        <v>3.10.7.</v>
      </c>
      <c r="B238" s="6" t="str">
        <f>'Autoévaluation client'!C242</f>
        <v>Le comportement des entreprises tierces en matière de sécurité et de protection de la santé est-il pris en compte dans l'évaluation de la qualité du fournisseur (système Q)?</v>
      </c>
      <c r="C238" s="38">
        <f>IF(ISBLANK('Autoévaluation client'!D242),0,1)</f>
        <v>0</v>
      </c>
      <c r="D238" s="165" t="str">
        <f>IF(AND('Autoévaluation client'!D242="",'Autoévaluation client'!E242=""),"*","")</f>
        <v>*</v>
      </c>
      <c r="E238" s="39" t="str">
        <f>IF(ISBLANK('Autoévaluation client'!F242),"",'Autoévaluation client'!F242)</f>
        <v/>
      </c>
      <c r="F238" s="33"/>
      <c r="G238" s="33"/>
      <c r="H238" s="33"/>
      <c r="I238" s="33"/>
      <c r="J238" s="33"/>
      <c r="K238" s="33"/>
      <c r="L238" s="112"/>
      <c r="M238" s="37">
        <v>2</v>
      </c>
      <c r="N238" s="27"/>
      <c r="O238" s="28">
        <f t="shared" si="40"/>
        <v>0</v>
      </c>
      <c r="P238" s="43">
        <f t="shared" si="41"/>
        <v>0</v>
      </c>
      <c r="Q238" s="36"/>
      <c r="R238" s="27"/>
    </row>
    <row r="239" spans="1:18" ht="39.6" x14ac:dyDescent="0.3">
      <c r="A239" s="3" t="str">
        <f>'Autoévaluation client'!A243</f>
        <v>3.10.8.</v>
      </c>
      <c r="B239" s="6" t="str">
        <f>'Autoévaluation client'!C243</f>
        <v>Votre entreprise offre-t-elle une possibilité de formation sur la sécurité aux préposés à la  sécurité des entreprises tierces?</v>
      </c>
      <c r="C239" s="38">
        <f>IF(ISBLANK('Autoévaluation client'!D243),0,1)</f>
        <v>0</v>
      </c>
      <c r="D239" s="165" t="str">
        <f>IF(AND('Autoévaluation client'!D243="",'Autoévaluation client'!E243=""),"*","")</f>
        <v>*</v>
      </c>
      <c r="E239" s="39" t="str">
        <f>IF(ISBLANK('Autoévaluation client'!F243),"",'Autoévaluation client'!F243)</f>
        <v/>
      </c>
      <c r="F239" s="33"/>
      <c r="G239" s="33"/>
      <c r="H239" s="33"/>
      <c r="I239" s="33"/>
      <c r="J239" s="33"/>
      <c r="K239" s="33"/>
      <c r="L239" s="112"/>
      <c r="M239" s="37">
        <v>0</v>
      </c>
      <c r="N239" s="27"/>
      <c r="O239" s="28">
        <f t="shared" si="40"/>
        <v>0</v>
      </c>
      <c r="P239" s="43">
        <f t="shared" si="41"/>
        <v>0</v>
      </c>
      <c r="Q239" s="36"/>
      <c r="R239" s="27"/>
    </row>
    <row r="240" spans="1:18" x14ac:dyDescent="0.3">
      <c r="A240" s="34" t="s">
        <v>596</v>
      </c>
      <c r="B240" s="7" t="str">
        <f>'Autoévaluation client'!B245</f>
        <v>Règles de sécurité</v>
      </c>
      <c r="C240" s="30">
        <f>O240/N240</f>
        <v>0.5</v>
      </c>
      <c r="D240" s="18"/>
      <c r="E240" s="18"/>
      <c r="F240" s="18"/>
      <c r="G240" s="18"/>
      <c r="H240" s="18"/>
      <c r="I240" s="18"/>
      <c r="J240" s="18"/>
      <c r="K240" s="18"/>
      <c r="L240" s="114">
        <f>P240/N240</f>
        <v>0</v>
      </c>
      <c r="M240" s="5"/>
      <c r="N240" s="5">
        <f>SUM(M241,M249,M285,M293,M297,M304,M309,M317,)</f>
        <v>20</v>
      </c>
      <c r="O240" s="48">
        <f>SUM(Q241:Q318)</f>
        <v>10</v>
      </c>
      <c r="P240" s="48">
        <f>SUM(R241:R318)</f>
        <v>0</v>
      </c>
      <c r="Q240" s="35"/>
      <c r="R240" s="35"/>
    </row>
    <row r="241" spans="1:18" ht="26.4" x14ac:dyDescent="0.3">
      <c r="A241" s="19" t="str">
        <f>'Autoévaluation client'!A247</f>
        <v>4.1.</v>
      </c>
      <c r="B241" s="20" t="str">
        <f>'Autoévaluation client'!B247</f>
        <v>Feuillets d'information, instructions et listes de contrôle</v>
      </c>
      <c r="C241" s="21">
        <f>O241/N241</f>
        <v>0</v>
      </c>
      <c r="D241" s="23"/>
      <c r="E241" s="23"/>
      <c r="F241" s="115"/>
      <c r="G241" s="115"/>
      <c r="H241" s="115"/>
      <c r="I241" s="115"/>
      <c r="J241" s="115"/>
      <c r="K241" s="115"/>
      <c r="L241" s="50">
        <f>P241/N241</f>
        <v>0</v>
      </c>
      <c r="M241" s="22">
        <v>1</v>
      </c>
      <c r="N241" s="22">
        <f>SUM(M242:M248)</f>
        <v>12</v>
      </c>
      <c r="O241" s="24">
        <f>SUM(O242:O248)</f>
        <v>0</v>
      </c>
      <c r="P241" s="24">
        <f>SUM(P242:P248)</f>
        <v>0</v>
      </c>
      <c r="Q241" s="52">
        <f>O241/$N241*$M241</f>
        <v>0</v>
      </c>
      <c r="R241" s="52">
        <f>P241/$N241*$M241</f>
        <v>0</v>
      </c>
    </row>
    <row r="242" spans="1:18" ht="39.6" x14ac:dyDescent="0.3">
      <c r="A242" s="3" t="str">
        <f>'Autoévaluation client'!A248</f>
        <v>4.1.1.</v>
      </c>
      <c r="B242" s="6" t="str">
        <f>'Autoévaluation client'!C248</f>
        <v>Votre entreprise dispose-t-elle de feuillets d'information et d'instructions de travail déterminants pour la santé et la sécurité?</v>
      </c>
      <c r="C242" s="38">
        <f>IF(ISBLANK('Autoévaluation client'!D248),0,1)</f>
        <v>0</v>
      </c>
      <c r="D242" s="165" t="str">
        <f>IF(AND('Autoévaluation client'!D248="",'Autoévaluation client'!E248=""),"*","")</f>
        <v>*</v>
      </c>
      <c r="E242" s="39" t="str">
        <f>IF(ISBLANK('Autoévaluation client'!F248),"",'Autoévaluation client'!F248)</f>
        <v/>
      </c>
      <c r="F242" s="118"/>
      <c r="G242" s="118"/>
      <c r="H242" s="118"/>
      <c r="I242" s="118"/>
      <c r="J242" s="118"/>
      <c r="K242" s="118"/>
      <c r="L242" s="112"/>
      <c r="M242" s="37">
        <v>3</v>
      </c>
      <c r="N242" s="27"/>
      <c r="O242" s="28">
        <f t="shared" ref="O242:O248" si="42">C242*M242</f>
        <v>0</v>
      </c>
      <c r="P242" s="43">
        <f t="shared" ref="P242:P248" si="43">L242*M242</f>
        <v>0</v>
      </c>
      <c r="Q242" s="36"/>
      <c r="R242" s="27"/>
    </row>
    <row r="243" spans="1:18" ht="26.4" x14ac:dyDescent="0.3">
      <c r="A243" s="3" t="str">
        <f>'Autoévaluation client'!A249</f>
        <v>4.1.2.</v>
      </c>
      <c r="B243" s="6" t="str">
        <f>'Autoévaluation client'!C249</f>
        <v>Votre entreprise utilise-t-elle les listes de contrôle de la Suva et de la solution par branche?</v>
      </c>
      <c r="C243" s="38">
        <f>IF(ISBLANK('Autoévaluation client'!D249),0,1)</f>
        <v>0</v>
      </c>
      <c r="D243" s="165" t="str">
        <f>IF(AND('Autoévaluation client'!D249="",'Autoévaluation client'!E249=""),"*","")</f>
        <v>*</v>
      </c>
      <c r="E243" s="39" t="str">
        <f>IF(ISBLANK('Autoévaluation client'!F249),"",'Autoévaluation client'!F249)</f>
        <v/>
      </c>
      <c r="F243" s="118"/>
      <c r="G243" s="118"/>
      <c r="H243" s="118"/>
      <c r="I243" s="118"/>
      <c r="J243" s="118"/>
      <c r="K243" s="118"/>
      <c r="L243" s="112"/>
      <c r="M243" s="37">
        <v>1</v>
      </c>
      <c r="N243" s="27"/>
      <c r="O243" s="28">
        <f t="shared" si="42"/>
        <v>0</v>
      </c>
      <c r="P243" s="43">
        <f t="shared" si="43"/>
        <v>0</v>
      </c>
      <c r="Q243" s="36"/>
      <c r="R243" s="27"/>
    </row>
    <row r="244" spans="1:18" ht="26.4" x14ac:dyDescent="0.3">
      <c r="A244" s="3" t="str">
        <f>'Autoévaluation client'!A250</f>
        <v>4.1.3.</v>
      </c>
      <c r="B244" s="6" t="str">
        <f>'Autoévaluation client'!C250</f>
        <v>Votre entreprise utilise-t-elle le booklet / la brochure "Règles vitales" de la Suva?</v>
      </c>
      <c r="C244" s="38">
        <f>IF(ISBLANK('Autoévaluation client'!D250),0,1)</f>
        <v>0</v>
      </c>
      <c r="D244" s="165" t="str">
        <f>IF(AND('Autoévaluation client'!D250="",'Autoévaluation client'!E250=""),"*","")</f>
        <v>*</v>
      </c>
      <c r="E244" s="39" t="str">
        <f>IF(ISBLANK('Autoévaluation client'!F250),"",'Autoévaluation client'!F250)</f>
        <v/>
      </c>
      <c r="F244" s="118"/>
      <c r="G244" s="118"/>
      <c r="H244" s="118"/>
      <c r="I244" s="118"/>
      <c r="J244" s="118"/>
      <c r="K244" s="118"/>
      <c r="L244" s="112"/>
      <c r="M244" s="37">
        <v>1</v>
      </c>
      <c r="N244" s="27"/>
      <c r="O244" s="28">
        <f t="shared" si="42"/>
        <v>0</v>
      </c>
      <c r="P244" s="43">
        <f t="shared" si="43"/>
        <v>0</v>
      </c>
      <c r="Q244" s="36"/>
      <c r="R244" s="27"/>
    </row>
    <row r="245" spans="1:18" ht="39.6" x14ac:dyDescent="0.3">
      <c r="A245" s="3" t="str">
        <f>'Autoévaluation client'!A251</f>
        <v>4.1.4.</v>
      </c>
      <c r="B245" s="6" t="str">
        <f>'Autoévaluation client'!C251</f>
        <v>Les destinataires disposent-ils des feuillets d'information et des instructions de travail déterminantes pour la sécurité et la santé ou peuvent-ils les consulter à tout temps?</v>
      </c>
      <c r="C245" s="38">
        <f>IF(ISBLANK('Autoévaluation client'!D251),0,1)</f>
        <v>0</v>
      </c>
      <c r="D245" s="165" t="str">
        <f>IF(AND('Autoévaluation client'!D251="",'Autoévaluation client'!E251=""),"*","")</f>
        <v>*</v>
      </c>
      <c r="E245" s="39" t="str">
        <f>IF(ISBLANK('Autoévaluation client'!F251),"",'Autoévaluation client'!F251)</f>
        <v/>
      </c>
      <c r="F245" s="118"/>
      <c r="G245" s="118"/>
      <c r="H245" s="118"/>
      <c r="I245" s="118"/>
      <c r="J245" s="118"/>
      <c r="K245" s="118"/>
      <c r="L245" s="112"/>
      <c r="M245" s="37">
        <v>2</v>
      </c>
      <c r="N245" s="27"/>
      <c r="O245" s="28">
        <f t="shared" si="42"/>
        <v>0</v>
      </c>
      <c r="P245" s="43">
        <f t="shared" si="43"/>
        <v>0</v>
      </c>
      <c r="Q245" s="36"/>
      <c r="R245" s="27"/>
    </row>
    <row r="246" spans="1:18" ht="66" x14ac:dyDescent="0.3">
      <c r="A246" s="3" t="str">
        <f>'Autoévaluation client'!A252</f>
        <v>4.1.5.</v>
      </c>
      <c r="B246" s="6" t="str">
        <f>'Autoévaluation client'!C252</f>
        <v>En complément des feuillets d’information et des instructions de travail officiels, votre entreprise rédige-t-elle et utilise-t-elle des directives internes en matière de sécurité au travail et de protection de la santé? Si oui, lesquelles?</v>
      </c>
      <c r="C246" s="38">
        <f>IF(ISBLANK('Autoévaluation client'!D252),0,1)</f>
        <v>0</v>
      </c>
      <c r="D246" s="165" t="str">
        <f>IF(AND('Autoévaluation client'!D252="",'Autoévaluation client'!E252=""),"*","")</f>
        <v>*</v>
      </c>
      <c r="E246" s="39" t="str">
        <f>IF(ISBLANK('Autoévaluation client'!F252),"",'Autoévaluation client'!F252)</f>
        <v/>
      </c>
      <c r="F246" s="118"/>
      <c r="G246" s="118"/>
      <c r="H246" s="118"/>
      <c r="I246" s="118"/>
      <c r="J246" s="118"/>
      <c r="K246" s="118"/>
      <c r="L246" s="112"/>
      <c r="M246" s="37">
        <v>1</v>
      </c>
      <c r="N246" s="27"/>
      <c r="O246" s="28">
        <f t="shared" si="42"/>
        <v>0</v>
      </c>
      <c r="P246" s="43">
        <f t="shared" si="43"/>
        <v>0</v>
      </c>
      <c r="Q246" s="36"/>
      <c r="R246" s="27"/>
    </row>
    <row r="247" spans="1:18" ht="26.4" x14ac:dyDescent="0.3">
      <c r="A247" s="3" t="str">
        <f>'Autoévaluation client'!A253</f>
        <v>4.1.6.</v>
      </c>
      <c r="B247" s="6" t="str">
        <f>'Autoévaluation client'!C253</f>
        <v>Les collaborateurs concernés sont-ils impliqués dans l’élaboration des directives internes?</v>
      </c>
      <c r="C247" s="38">
        <f>IF(ISBLANK('Autoévaluation client'!D253),0,1)</f>
        <v>0</v>
      </c>
      <c r="D247" s="165" t="str">
        <f>IF(AND('Autoévaluation client'!D253="",'Autoévaluation client'!E253=""),"*","")</f>
        <v>*</v>
      </c>
      <c r="E247" s="39" t="str">
        <f>IF(ISBLANK('Autoévaluation client'!F253),"",'Autoévaluation client'!F253)</f>
        <v/>
      </c>
      <c r="F247" s="118"/>
      <c r="G247" s="118"/>
      <c r="H247" s="118"/>
      <c r="I247" s="118"/>
      <c r="J247" s="118"/>
      <c r="K247" s="118"/>
      <c r="L247" s="112"/>
      <c r="M247" s="37">
        <v>3</v>
      </c>
      <c r="N247" s="27"/>
      <c r="O247" s="28">
        <f t="shared" si="42"/>
        <v>0</v>
      </c>
      <c r="P247" s="43">
        <f t="shared" si="43"/>
        <v>0</v>
      </c>
      <c r="Q247" s="36"/>
      <c r="R247" s="27"/>
    </row>
    <row r="248" spans="1:18" ht="52.8" x14ac:dyDescent="0.3">
      <c r="A248" s="3" t="str">
        <f>'Autoévaluation client'!A254</f>
        <v>4.1.7.</v>
      </c>
      <c r="B248" s="6" t="str">
        <f>'Autoévaluation client'!C254</f>
        <v>La mise à jour permanente des feuillets d’information, instructions de travail et directives internes est-elle garantie? Si oui, quel service ou quelle personne est chargé de cette tâche?</v>
      </c>
      <c r="C248" s="38">
        <f>IF(ISBLANK('Autoévaluation client'!D254),0,1)</f>
        <v>0</v>
      </c>
      <c r="D248" s="165" t="str">
        <f>IF(AND('Autoévaluation client'!D254="",'Autoévaluation client'!E254=""),"*","")</f>
        <v>*</v>
      </c>
      <c r="E248" s="39" t="str">
        <f>IF(ISBLANK('Autoévaluation client'!F254),"",'Autoévaluation client'!F254)</f>
        <v/>
      </c>
      <c r="F248" s="118"/>
      <c r="G248" s="118"/>
      <c r="H248" s="118"/>
      <c r="I248" s="118"/>
      <c r="J248" s="118"/>
      <c r="K248" s="118"/>
      <c r="L248" s="112"/>
      <c r="M248" s="37">
        <v>1</v>
      </c>
      <c r="N248" s="27"/>
      <c r="O248" s="28">
        <f t="shared" si="42"/>
        <v>0</v>
      </c>
      <c r="P248" s="43">
        <f t="shared" si="43"/>
        <v>0</v>
      </c>
      <c r="Q248" s="36"/>
      <c r="R248" s="27"/>
    </row>
    <row r="249" spans="1:18" x14ac:dyDescent="0.3">
      <c r="A249" s="19" t="str">
        <f>'Autoévaluation client'!A255</f>
        <v>4.2.</v>
      </c>
      <c r="B249" s="20" t="str">
        <f>'Autoévaluation client'!B255</f>
        <v>Protection individuelle: Besoins</v>
      </c>
      <c r="C249" s="21">
        <f>O249/N249</f>
        <v>0</v>
      </c>
      <c r="D249" s="23" t="str">
        <f>IF(ISBLANK('Autoévaluation client'!E255),"",'Autoévaluation client'!E255)</f>
        <v/>
      </c>
      <c r="E249" s="23" t="str">
        <f>IF(ISBLANK('Autoévaluation client'!F255),"",'Autoévaluation client'!F255)</f>
        <v/>
      </c>
      <c r="F249" s="115"/>
      <c r="G249" s="115"/>
      <c r="H249" s="115"/>
      <c r="I249" s="115"/>
      <c r="J249" s="115"/>
      <c r="K249" s="115"/>
      <c r="L249" s="50">
        <f>P249/N249</f>
        <v>0</v>
      </c>
      <c r="M249" s="22">
        <v>0</v>
      </c>
      <c r="N249" s="22">
        <f>SUM(M250:M284)</f>
        <v>35</v>
      </c>
      <c r="O249" s="24">
        <f>SUM(O250:O284)</f>
        <v>0</v>
      </c>
      <c r="P249" s="24">
        <f>SUM(P250:P284)</f>
        <v>0</v>
      </c>
      <c r="Q249" s="52">
        <f>O249/$N249*$M249</f>
        <v>0</v>
      </c>
      <c r="R249" s="52">
        <f>P249/$N249*$M249</f>
        <v>0</v>
      </c>
    </row>
    <row r="250" spans="1:18" ht="52.8" x14ac:dyDescent="0.3">
      <c r="A250" s="3" t="str">
        <f>'Autoévaluation client'!A256</f>
        <v>4.2.1.a</v>
      </c>
      <c r="B250" s="6" t="str">
        <f>'Autoévaluation client'!C256</f>
        <v>Compte tenu des risques propres à votre exploitation, quels sont les équipements de protection individuelle nécessaires:
Casques?</v>
      </c>
      <c r="C250" s="38">
        <f>IF(ISBLANK('Autoévaluation client'!D256),0,1)</f>
        <v>0</v>
      </c>
      <c r="D250" s="165" t="str">
        <f>IF(AND('Autoévaluation client'!D256="",'Autoévaluation client'!E256=""),"*","")</f>
        <v>*</v>
      </c>
      <c r="E250" s="39" t="str">
        <f>IF(ISBLANK('Autoévaluation client'!F256),"",'Autoévaluation client'!F256)</f>
        <v/>
      </c>
      <c r="F250" s="118"/>
      <c r="G250" s="118"/>
      <c r="H250" s="118"/>
      <c r="I250" s="118"/>
      <c r="J250" s="118"/>
      <c r="K250" s="118"/>
      <c r="L250" s="112"/>
      <c r="M250" s="37">
        <v>1</v>
      </c>
      <c r="N250" s="27"/>
      <c r="O250" s="28">
        <f t="shared" ref="O250:O284" si="44">C250*M250</f>
        <v>0</v>
      </c>
      <c r="P250" s="43">
        <f t="shared" ref="P250:P284" si="45">L250*M250</f>
        <v>0</v>
      </c>
      <c r="Q250" s="36"/>
      <c r="R250" s="27"/>
    </row>
    <row r="251" spans="1:18" x14ac:dyDescent="0.3">
      <c r="A251" s="3" t="str">
        <f>'Autoévaluation client'!A257</f>
        <v>4.2.1.b</v>
      </c>
      <c r="B251" s="6" t="str">
        <f>'Autoévaluation client'!C257</f>
        <v>Casques, protection du visage?</v>
      </c>
      <c r="C251" s="38">
        <f>IF(ISBLANK('Autoévaluation client'!D257),0,1)</f>
        <v>0</v>
      </c>
      <c r="D251" s="165" t="str">
        <f>IF(AND('Autoévaluation client'!D257="",'Autoévaluation client'!E257=""),"*","")</f>
        <v>*</v>
      </c>
      <c r="E251" s="39" t="str">
        <f>IF(ISBLANK('Autoévaluation client'!F257),"",'Autoévaluation client'!F257)</f>
        <v/>
      </c>
      <c r="F251" s="118"/>
      <c r="G251" s="118"/>
      <c r="H251" s="118"/>
      <c r="I251" s="118"/>
      <c r="J251" s="118"/>
      <c r="K251" s="118"/>
      <c r="L251" s="112"/>
      <c r="M251" s="37">
        <v>1</v>
      </c>
      <c r="N251" s="27"/>
      <c r="O251" s="28">
        <f t="shared" si="44"/>
        <v>0</v>
      </c>
      <c r="P251" s="43">
        <f t="shared" si="45"/>
        <v>0</v>
      </c>
      <c r="Q251" s="36"/>
      <c r="R251" s="27"/>
    </row>
    <row r="252" spans="1:18" x14ac:dyDescent="0.3">
      <c r="A252" s="3" t="str">
        <f>'Autoévaluation client'!A258</f>
        <v>4.2.1.c</v>
      </c>
      <c r="B252" s="6" t="str">
        <f>'Autoévaluation client'!C258</f>
        <v>Filets protégeant les cheveux?</v>
      </c>
      <c r="C252" s="38">
        <f>IF(ISBLANK('Autoévaluation client'!D258),0,1)</f>
        <v>0</v>
      </c>
      <c r="D252" s="165" t="str">
        <f>IF(AND('Autoévaluation client'!D258="",'Autoévaluation client'!E258=""),"*","")</f>
        <v>*</v>
      </c>
      <c r="E252" s="39" t="str">
        <f>IF(ISBLANK('Autoévaluation client'!F258),"",'Autoévaluation client'!F258)</f>
        <v/>
      </c>
      <c r="F252" s="118"/>
      <c r="G252" s="118"/>
      <c r="H252" s="118"/>
      <c r="I252" s="118"/>
      <c r="J252" s="118"/>
      <c r="K252" s="118"/>
      <c r="L252" s="112"/>
      <c r="M252" s="37">
        <v>1</v>
      </c>
      <c r="N252" s="27"/>
      <c r="O252" s="28">
        <f t="shared" si="44"/>
        <v>0</v>
      </c>
      <c r="P252" s="43">
        <f t="shared" si="45"/>
        <v>0</v>
      </c>
      <c r="Q252" s="36"/>
      <c r="R252" s="27"/>
    </row>
    <row r="253" spans="1:18" x14ac:dyDescent="0.3">
      <c r="A253" s="3" t="str">
        <f>'Autoévaluation client'!A259</f>
        <v>4.2.1.d</v>
      </c>
      <c r="B253" s="6" t="str">
        <f>'Autoévaluation client'!C259</f>
        <v>Lunettes de protection?</v>
      </c>
      <c r="C253" s="38">
        <f>IF(ISBLANK('Autoévaluation client'!D259),0,1)</f>
        <v>0</v>
      </c>
      <c r="D253" s="165" t="str">
        <f>IF(AND('Autoévaluation client'!D259="",'Autoévaluation client'!E259=""),"*","")</f>
        <v>*</v>
      </c>
      <c r="E253" s="39" t="str">
        <f>IF(ISBLANK('Autoévaluation client'!F259),"",'Autoévaluation client'!F259)</f>
        <v/>
      </c>
      <c r="F253" s="118"/>
      <c r="G253" s="118"/>
      <c r="H253" s="118"/>
      <c r="I253" s="118"/>
      <c r="J253" s="118"/>
      <c r="K253" s="118"/>
      <c r="L253" s="112"/>
      <c r="M253" s="37">
        <v>1</v>
      </c>
      <c r="N253" s="27"/>
      <c r="O253" s="28">
        <f t="shared" si="44"/>
        <v>0</v>
      </c>
      <c r="P253" s="43">
        <f t="shared" si="45"/>
        <v>0</v>
      </c>
      <c r="Q253" s="36"/>
      <c r="R253" s="27"/>
    </row>
    <row r="254" spans="1:18" x14ac:dyDescent="0.3">
      <c r="A254" s="3" t="str">
        <f>'Autoévaluation client'!A260</f>
        <v>4.2.1.e</v>
      </c>
      <c r="B254" s="6" t="str">
        <f>'Autoévaluation client'!C260</f>
        <v>Boucliers de protection?</v>
      </c>
      <c r="C254" s="38">
        <f>IF(ISBLANK('Autoévaluation client'!D260),0,1)</f>
        <v>0</v>
      </c>
      <c r="D254" s="165" t="str">
        <f>IF(AND('Autoévaluation client'!D260="",'Autoévaluation client'!E260=""),"*","")</f>
        <v>*</v>
      </c>
      <c r="E254" s="39" t="str">
        <f>IF(ISBLANK('Autoévaluation client'!F260),"",'Autoévaluation client'!F260)</f>
        <v/>
      </c>
      <c r="F254" s="118"/>
      <c r="G254" s="118"/>
      <c r="H254" s="118"/>
      <c r="I254" s="118"/>
      <c r="J254" s="118"/>
      <c r="K254" s="118"/>
      <c r="L254" s="112"/>
      <c r="M254" s="37">
        <v>1</v>
      </c>
      <c r="N254" s="27"/>
      <c r="O254" s="28">
        <f t="shared" si="44"/>
        <v>0</v>
      </c>
      <c r="P254" s="43">
        <f t="shared" si="45"/>
        <v>0</v>
      </c>
      <c r="Q254" s="36"/>
      <c r="R254" s="27"/>
    </row>
    <row r="255" spans="1:18" x14ac:dyDescent="0.3">
      <c r="A255" s="3" t="str">
        <f>'Autoévaluation client'!A261</f>
        <v>4.2.1.f</v>
      </c>
      <c r="B255" s="6" t="str">
        <f>'Autoévaluation client'!C261</f>
        <v>Coiffes de protection?</v>
      </c>
      <c r="C255" s="38">
        <f>IF(ISBLANK('Autoévaluation client'!D261),0,1)</f>
        <v>0</v>
      </c>
      <c r="D255" s="165" t="str">
        <f>IF(AND('Autoévaluation client'!D261="",'Autoévaluation client'!E261=""),"*","")</f>
        <v>*</v>
      </c>
      <c r="E255" s="39" t="str">
        <f>IF(ISBLANK('Autoévaluation client'!F261),"",'Autoévaluation client'!F261)</f>
        <v/>
      </c>
      <c r="F255" s="118"/>
      <c r="G255" s="118"/>
      <c r="H255" s="118"/>
      <c r="I255" s="118"/>
      <c r="J255" s="118"/>
      <c r="K255" s="118"/>
      <c r="L255" s="112"/>
      <c r="M255" s="37">
        <v>1</v>
      </c>
      <c r="N255" s="27"/>
      <c r="O255" s="28">
        <f t="shared" si="44"/>
        <v>0</v>
      </c>
      <c r="P255" s="43">
        <f t="shared" si="45"/>
        <v>0</v>
      </c>
      <c r="Q255" s="36"/>
      <c r="R255" s="27"/>
    </row>
    <row r="256" spans="1:18" x14ac:dyDescent="0.3">
      <c r="A256" s="3" t="str">
        <f>'Autoévaluation client'!A262</f>
        <v>4.2.1.g</v>
      </c>
      <c r="B256" s="6" t="str">
        <f>'Autoévaluation client'!C262</f>
        <v>Visières de protection?</v>
      </c>
      <c r="C256" s="38">
        <f>IF(ISBLANK('Autoévaluation client'!D262),0,1)</f>
        <v>0</v>
      </c>
      <c r="D256" s="165" t="str">
        <f>IF(AND('Autoévaluation client'!D262="",'Autoévaluation client'!E262=""),"*","")</f>
        <v>*</v>
      </c>
      <c r="E256" s="39" t="str">
        <f>IF(ISBLANK('Autoévaluation client'!F262),"",'Autoévaluation client'!F262)</f>
        <v/>
      </c>
      <c r="F256" s="118"/>
      <c r="G256" s="118"/>
      <c r="H256" s="118"/>
      <c r="I256" s="118"/>
      <c r="J256" s="118"/>
      <c r="K256" s="118"/>
      <c r="L256" s="112"/>
      <c r="M256" s="37">
        <v>1</v>
      </c>
      <c r="N256" s="27"/>
      <c r="O256" s="28">
        <f t="shared" si="44"/>
        <v>0</v>
      </c>
      <c r="P256" s="43">
        <f t="shared" si="45"/>
        <v>0</v>
      </c>
      <c r="Q256" s="36"/>
      <c r="R256" s="27"/>
    </row>
    <row r="257" spans="1:18" x14ac:dyDescent="0.3">
      <c r="A257" s="3" t="str">
        <f>'Autoévaluation client'!A263</f>
        <v>4.2.1.h</v>
      </c>
      <c r="B257" s="6" t="str">
        <f>'Autoévaluation client'!C263</f>
        <v>Tampons auriculaires?</v>
      </c>
      <c r="C257" s="38">
        <f>IF(ISBLANK('Autoévaluation client'!D263),0,1)</f>
        <v>0</v>
      </c>
      <c r="D257" s="165" t="str">
        <f>IF(AND('Autoévaluation client'!D263="",'Autoévaluation client'!E263=""),"*","")</f>
        <v>*</v>
      </c>
      <c r="E257" s="39" t="str">
        <f>IF(ISBLANK('Autoévaluation client'!F263),"",'Autoévaluation client'!F263)</f>
        <v/>
      </c>
      <c r="F257" s="118"/>
      <c r="G257" s="118"/>
      <c r="H257" s="118"/>
      <c r="I257" s="118"/>
      <c r="J257" s="118"/>
      <c r="K257" s="118"/>
      <c r="L257" s="112"/>
      <c r="M257" s="37">
        <v>1</v>
      </c>
      <c r="N257" s="27"/>
      <c r="O257" s="28">
        <f t="shared" si="44"/>
        <v>0</v>
      </c>
      <c r="P257" s="43">
        <f t="shared" si="45"/>
        <v>0</v>
      </c>
      <c r="Q257" s="36"/>
      <c r="R257" s="27"/>
    </row>
    <row r="258" spans="1:18" x14ac:dyDescent="0.3">
      <c r="A258" s="3" t="str">
        <f>'Autoévaluation client'!A264</f>
        <v>4.2.1.i</v>
      </c>
      <c r="B258" s="6" t="str">
        <f>'Autoévaluation client'!C264</f>
        <v>Coquilles de protection?</v>
      </c>
      <c r="C258" s="38">
        <f>IF(ISBLANK('Autoévaluation client'!D264),0,1)</f>
        <v>0</v>
      </c>
      <c r="D258" s="165" t="str">
        <f>IF(AND('Autoévaluation client'!D264="",'Autoévaluation client'!E264=""),"*","")</f>
        <v>*</v>
      </c>
      <c r="E258" s="39" t="str">
        <f>IF(ISBLANK('Autoévaluation client'!F264),"",'Autoévaluation client'!F264)</f>
        <v/>
      </c>
      <c r="F258" s="118"/>
      <c r="G258" s="118"/>
      <c r="H258" s="118"/>
      <c r="I258" s="118"/>
      <c r="J258" s="118"/>
      <c r="K258" s="118"/>
      <c r="L258" s="112"/>
      <c r="M258" s="37">
        <v>1</v>
      </c>
      <c r="N258" s="27"/>
      <c r="O258" s="28">
        <f t="shared" si="44"/>
        <v>0</v>
      </c>
      <c r="P258" s="43">
        <f t="shared" si="45"/>
        <v>0</v>
      </c>
      <c r="Q258" s="36"/>
      <c r="R258" s="27"/>
    </row>
    <row r="259" spans="1:18" x14ac:dyDescent="0.3">
      <c r="A259" s="3" t="str">
        <f>'Autoévaluation client'!A265</f>
        <v>4.2.1.j</v>
      </c>
      <c r="B259" s="6" t="str">
        <f>'Autoévaluation client'!C265</f>
        <v>Casques de protection?</v>
      </c>
      <c r="C259" s="38">
        <f>IF(ISBLANK('Autoévaluation client'!D265),0,1)</f>
        <v>0</v>
      </c>
      <c r="D259" s="165" t="str">
        <f>IF(AND('Autoévaluation client'!D265="",'Autoévaluation client'!E265=""),"*","")</f>
        <v>*</v>
      </c>
      <c r="E259" s="39" t="str">
        <f>IF(ISBLANK('Autoévaluation client'!F265),"",'Autoévaluation client'!F265)</f>
        <v/>
      </c>
      <c r="F259" s="118"/>
      <c r="G259" s="118"/>
      <c r="H259" s="118"/>
      <c r="I259" s="118"/>
      <c r="J259" s="118"/>
      <c r="K259" s="118"/>
      <c r="L259" s="112"/>
      <c r="M259" s="37">
        <v>1</v>
      </c>
      <c r="N259" s="27"/>
      <c r="O259" s="28">
        <f t="shared" si="44"/>
        <v>0</v>
      </c>
      <c r="P259" s="43">
        <f t="shared" si="45"/>
        <v>0</v>
      </c>
      <c r="Q259" s="36"/>
      <c r="R259" s="27"/>
    </row>
    <row r="260" spans="1:18" x14ac:dyDescent="0.3">
      <c r="A260" s="3" t="str">
        <f>'Autoévaluation client'!A266</f>
        <v>4.2.1.k</v>
      </c>
      <c r="B260" s="6" t="str">
        <f>'Autoévaluation client'!C266</f>
        <v>Combinaisons antibruit?</v>
      </c>
      <c r="C260" s="38">
        <f>IF(ISBLANK('Autoévaluation client'!D266),0,1)</f>
        <v>0</v>
      </c>
      <c r="D260" s="165" t="str">
        <f>IF(AND('Autoévaluation client'!D266="",'Autoévaluation client'!E266=""),"*","")</f>
        <v>*</v>
      </c>
      <c r="E260" s="39" t="str">
        <f>IF(ISBLANK('Autoévaluation client'!F266),"",'Autoévaluation client'!F266)</f>
        <v/>
      </c>
      <c r="F260" s="118"/>
      <c r="G260" s="118"/>
      <c r="H260" s="118"/>
      <c r="I260" s="118"/>
      <c r="J260" s="118"/>
      <c r="K260" s="118"/>
      <c r="L260" s="112"/>
      <c r="M260" s="37">
        <v>1</v>
      </c>
      <c r="N260" s="27"/>
      <c r="O260" s="28">
        <f t="shared" si="44"/>
        <v>0</v>
      </c>
      <c r="P260" s="43">
        <f t="shared" si="45"/>
        <v>0</v>
      </c>
      <c r="Q260" s="36"/>
      <c r="R260" s="27"/>
    </row>
    <row r="261" spans="1:18" x14ac:dyDescent="0.3">
      <c r="A261" s="3" t="str">
        <f>'Autoévaluation client'!A267</f>
        <v>4.2.1.l</v>
      </c>
      <c r="B261" s="6" t="str">
        <f>'Autoévaluation client'!C267</f>
        <v>Appareils filtrants?</v>
      </c>
      <c r="C261" s="38">
        <f>IF(ISBLANK('Autoévaluation client'!D267),0,1)</f>
        <v>0</v>
      </c>
      <c r="D261" s="165" t="str">
        <f>IF(AND('Autoévaluation client'!D267="",'Autoévaluation client'!E267=""),"*","")</f>
        <v>*</v>
      </c>
      <c r="E261" s="39" t="str">
        <f>IF(ISBLANK('Autoévaluation client'!F267),"",'Autoévaluation client'!F267)</f>
        <v/>
      </c>
      <c r="F261" s="118"/>
      <c r="G261" s="118"/>
      <c r="H261" s="118"/>
      <c r="I261" s="118"/>
      <c r="J261" s="118"/>
      <c r="K261" s="118"/>
      <c r="L261" s="112"/>
      <c r="M261" s="37">
        <v>1</v>
      </c>
      <c r="N261" s="27"/>
      <c r="O261" s="28">
        <f t="shared" si="44"/>
        <v>0</v>
      </c>
      <c r="P261" s="43">
        <f t="shared" si="45"/>
        <v>0</v>
      </c>
      <c r="Q261" s="36"/>
      <c r="R261" s="27"/>
    </row>
    <row r="262" spans="1:18" ht="26.4" x14ac:dyDescent="0.3">
      <c r="A262" s="3" t="str">
        <f>'Autoévaluation client'!A268</f>
        <v>4.2.1.m</v>
      </c>
      <c r="B262" s="6" t="str">
        <f>'Autoévaluation client'!C268</f>
        <v>Appareils de protection respiratoire isolants non autonomes?</v>
      </c>
      <c r="C262" s="38">
        <f>IF(ISBLANK('Autoévaluation client'!D268),0,1)</f>
        <v>0</v>
      </c>
      <c r="D262" s="165" t="str">
        <f>IF(AND('Autoévaluation client'!D268="",'Autoévaluation client'!E268=""),"*","")</f>
        <v>*</v>
      </c>
      <c r="E262" s="39" t="str">
        <f>IF(ISBLANK('Autoévaluation client'!F268),"",'Autoévaluation client'!F268)</f>
        <v/>
      </c>
      <c r="F262" s="118"/>
      <c r="G262" s="118"/>
      <c r="H262" s="118"/>
      <c r="I262" s="118"/>
      <c r="J262" s="118"/>
      <c r="K262" s="118"/>
      <c r="L262" s="112"/>
      <c r="M262" s="37">
        <v>1</v>
      </c>
      <c r="N262" s="27"/>
      <c r="O262" s="28">
        <f t="shared" si="44"/>
        <v>0</v>
      </c>
      <c r="P262" s="43">
        <f t="shared" si="45"/>
        <v>0</v>
      </c>
      <c r="Q262" s="36"/>
      <c r="R262" s="27"/>
    </row>
    <row r="263" spans="1:18" ht="26.4" x14ac:dyDescent="0.3">
      <c r="A263" s="3" t="str">
        <f>'Autoévaluation client'!A269</f>
        <v>4.2.1.n</v>
      </c>
      <c r="B263" s="6" t="str">
        <f>'Autoévaluation client'!C269</f>
        <v>Appareils à régénération pour la protection des voies respiratoires?</v>
      </c>
      <c r="C263" s="38">
        <f>IF(ISBLANK('Autoévaluation client'!D269),0,1)</f>
        <v>0</v>
      </c>
      <c r="D263" s="165" t="str">
        <f>IF(AND('Autoévaluation client'!D269="",'Autoévaluation client'!E269=""),"*","")</f>
        <v>*</v>
      </c>
      <c r="E263" s="39" t="str">
        <f>IF(ISBLANK('Autoévaluation client'!F269),"",'Autoévaluation client'!F269)</f>
        <v/>
      </c>
      <c r="F263" s="118"/>
      <c r="G263" s="118"/>
      <c r="H263" s="118"/>
      <c r="I263" s="118"/>
      <c r="J263" s="118"/>
      <c r="K263" s="118"/>
      <c r="L263" s="112"/>
      <c r="M263" s="37">
        <v>1</v>
      </c>
      <c r="N263" s="27"/>
      <c r="O263" s="28">
        <f t="shared" si="44"/>
        <v>0</v>
      </c>
      <c r="P263" s="43">
        <f t="shared" si="45"/>
        <v>0</v>
      </c>
      <c r="Q263" s="36"/>
      <c r="R263" s="27"/>
    </row>
    <row r="264" spans="1:18" ht="26.4" x14ac:dyDescent="0.3">
      <c r="A264" s="3" t="str">
        <f>'Autoévaluation client'!A270</f>
        <v>4.2.1.o</v>
      </c>
      <c r="B264" s="6" t="str">
        <f>'Autoévaluation client'!C270</f>
        <v>Appareil à réservoir pour la protection des voies respiratoires?</v>
      </c>
      <c r="C264" s="38">
        <f>IF(ISBLANK('Autoévaluation client'!D270),0,1)</f>
        <v>0</v>
      </c>
      <c r="D264" s="165" t="str">
        <f>IF(AND('Autoévaluation client'!D270="",'Autoévaluation client'!E270=""),"*","")</f>
        <v>*</v>
      </c>
      <c r="E264" s="39" t="str">
        <f>IF(ISBLANK('Autoévaluation client'!F270),"",'Autoévaluation client'!F270)</f>
        <v/>
      </c>
      <c r="F264" s="118"/>
      <c r="G264" s="118"/>
      <c r="H264" s="118"/>
      <c r="I264" s="118"/>
      <c r="J264" s="118"/>
      <c r="K264" s="118"/>
      <c r="L264" s="112"/>
      <c r="M264" s="37">
        <v>1</v>
      </c>
      <c r="N264" s="27"/>
      <c r="O264" s="28">
        <f t="shared" si="44"/>
        <v>0</v>
      </c>
      <c r="P264" s="43">
        <f t="shared" si="45"/>
        <v>0</v>
      </c>
      <c r="Q264" s="36"/>
      <c r="R264" s="27"/>
    </row>
    <row r="265" spans="1:18" x14ac:dyDescent="0.3">
      <c r="A265" s="3" t="str">
        <f>'Autoévaluation client'!A271</f>
        <v>4.2.1.p</v>
      </c>
      <c r="B265" s="6" t="str">
        <f>'Autoévaluation client'!C271</f>
        <v>Casques de protection pour les voies respiratoires?</v>
      </c>
      <c r="C265" s="38">
        <f>IF(ISBLANK('Autoévaluation client'!D271),0,1)</f>
        <v>0</v>
      </c>
      <c r="D265" s="165" t="str">
        <f>IF(AND('Autoévaluation client'!D271="",'Autoévaluation client'!E271=""),"*","")</f>
        <v>*</v>
      </c>
      <c r="E265" s="39" t="str">
        <f>IF(ISBLANK('Autoévaluation client'!F271),"",'Autoévaluation client'!F271)</f>
        <v/>
      </c>
      <c r="F265" s="118"/>
      <c r="G265" s="118"/>
      <c r="H265" s="118"/>
      <c r="I265" s="118"/>
      <c r="J265" s="118"/>
      <c r="K265" s="118"/>
      <c r="L265" s="112"/>
      <c r="M265" s="37">
        <v>1</v>
      </c>
      <c r="N265" s="27"/>
      <c r="O265" s="28">
        <f t="shared" si="44"/>
        <v>0</v>
      </c>
      <c r="P265" s="43">
        <f t="shared" si="45"/>
        <v>0</v>
      </c>
      <c r="Q265" s="36"/>
      <c r="R265" s="27"/>
    </row>
    <row r="266" spans="1:18" ht="26.4" x14ac:dyDescent="0.3">
      <c r="A266" s="3" t="str">
        <f>'Autoévaluation client'!A272</f>
        <v>4.2.1.q</v>
      </c>
      <c r="B266" s="6" t="str">
        <f>'Autoévaluation client'!C272</f>
        <v>Combinaison étanche pour la protection des voies respiratoires?</v>
      </c>
      <c r="C266" s="38">
        <f>IF(ISBLANK('Autoévaluation client'!D272),0,1)</f>
        <v>0</v>
      </c>
      <c r="D266" s="165" t="str">
        <f>IF(AND('Autoévaluation client'!D272="",'Autoévaluation client'!E272=""),"*","")</f>
        <v>*</v>
      </c>
      <c r="E266" s="39" t="str">
        <f>IF(ISBLANK('Autoévaluation client'!F272),"",'Autoévaluation client'!F272)</f>
        <v/>
      </c>
      <c r="F266" s="118"/>
      <c r="G266" s="118"/>
      <c r="H266" s="118"/>
      <c r="I266" s="118"/>
      <c r="J266" s="118"/>
      <c r="K266" s="118"/>
      <c r="L266" s="112"/>
      <c r="M266" s="37">
        <v>1</v>
      </c>
      <c r="N266" s="27"/>
      <c r="O266" s="28">
        <f t="shared" si="44"/>
        <v>0</v>
      </c>
      <c r="P266" s="43">
        <f t="shared" si="45"/>
        <v>0</v>
      </c>
      <c r="Q266" s="36"/>
      <c r="R266" s="27"/>
    </row>
    <row r="267" spans="1:18" x14ac:dyDescent="0.3">
      <c r="A267" s="3" t="str">
        <f>'Autoévaluation client'!A273</f>
        <v>4.2.1.r</v>
      </c>
      <c r="B267" s="6" t="str">
        <f>'Autoévaluation client'!C273</f>
        <v>Gants de protection?</v>
      </c>
      <c r="C267" s="38">
        <f>IF(ISBLANK('Autoévaluation client'!D273),0,1)</f>
        <v>0</v>
      </c>
      <c r="D267" s="165" t="str">
        <f>IF(AND('Autoévaluation client'!D273="",'Autoévaluation client'!E273=""),"*","")</f>
        <v>*</v>
      </c>
      <c r="E267" s="39" t="str">
        <f>IF(ISBLANK('Autoévaluation client'!F273),"",'Autoévaluation client'!F273)</f>
        <v/>
      </c>
      <c r="F267" s="118"/>
      <c r="G267" s="118"/>
      <c r="H267" s="118"/>
      <c r="I267" s="118"/>
      <c r="J267" s="118"/>
      <c r="K267" s="118"/>
      <c r="L267" s="112"/>
      <c r="M267" s="37">
        <v>1</v>
      </c>
      <c r="N267" s="27"/>
      <c r="O267" s="28">
        <f t="shared" si="44"/>
        <v>0</v>
      </c>
      <c r="P267" s="43">
        <f t="shared" si="45"/>
        <v>0</v>
      </c>
      <c r="Q267" s="36"/>
      <c r="R267" s="27"/>
    </row>
    <row r="268" spans="1:18" x14ac:dyDescent="0.3">
      <c r="A268" s="3" t="str">
        <f>'Autoévaluation client'!A274</f>
        <v>4.2.1.s</v>
      </c>
      <c r="B268" s="6" t="str">
        <f>'Autoévaluation client'!C274</f>
        <v>Protections pour les bras?</v>
      </c>
      <c r="C268" s="38">
        <f>IF(ISBLANK('Autoévaluation client'!D274),0,1)</f>
        <v>0</v>
      </c>
      <c r="D268" s="165" t="str">
        <f>IF(AND('Autoévaluation client'!D274="",'Autoévaluation client'!E274=""),"*","")</f>
        <v>*</v>
      </c>
      <c r="E268" s="39" t="str">
        <f>IF(ISBLANK('Autoévaluation client'!F274),"",'Autoévaluation client'!F274)</f>
        <v/>
      </c>
      <c r="F268" s="118"/>
      <c r="G268" s="118"/>
      <c r="H268" s="118"/>
      <c r="I268" s="118"/>
      <c r="J268" s="118"/>
      <c r="K268" s="118"/>
      <c r="L268" s="112"/>
      <c r="M268" s="37">
        <v>1</v>
      </c>
      <c r="N268" s="27"/>
      <c r="O268" s="28">
        <f t="shared" si="44"/>
        <v>0</v>
      </c>
      <c r="P268" s="43">
        <f t="shared" si="45"/>
        <v>0</v>
      </c>
      <c r="Q268" s="36"/>
      <c r="R268" s="27"/>
    </row>
    <row r="269" spans="1:18" x14ac:dyDescent="0.3">
      <c r="A269" s="3" t="str">
        <f>'Autoévaluation client'!A275</f>
        <v>4.2.1.t</v>
      </c>
      <c r="B269" s="6" t="str">
        <f>'Autoévaluation client'!C275</f>
        <v>Produits de protection de la peau?</v>
      </c>
      <c r="C269" s="38">
        <f>IF(ISBLANK('Autoévaluation client'!D275),0,1)</f>
        <v>0</v>
      </c>
      <c r="D269" s="165" t="str">
        <f>IF(AND('Autoévaluation client'!D275="",'Autoévaluation client'!E275=""),"*","")</f>
        <v>*</v>
      </c>
      <c r="E269" s="39" t="str">
        <f>IF(ISBLANK('Autoévaluation client'!F275),"",'Autoévaluation client'!F275)</f>
        <v/>
      </c>
      <c r="F269" s="118"/>
      <c r="G269" s="118"/>
      <c r="H269" s="118"/>
      <c r="I269" s="118"/>
      <c r="J269" s="118"/>
      <c r="K269" s="118"/>
      <c r="L269" s="112"/>
      <c r="M269" s="37">
        <v>1</v>
      </c>
      <c r="N269" s="27"/>
      <c r="O269" s="28">
        <f t="shared" si="44"/>
        <v>0</v>
      </c>
      <c r="P269" s="43">
        <f t="shared" si="45"/>
        <v>0</v>
      </c>
      <c r="Q269" s="36"/>
      <c r="R269" s="27"/>
    </row>
    <row r="270" spans="1:18" x14ac:dyDescent="0.3">
      <c r="A270" s="3" t="str">
        <f>'Autoévaluation client'!A276</f>
        <v>4.2.1.u</v>
      </c>
      <c r="B270" s="6" t="str">
        <f>'Autoévaluation client'!C276</f>
        <v>Chaussures de protection?</v>
      </c>
      <c r="C270" s="38">
        <f>IF(ISBLANK('Autoévaluation client'!D276),0,1)</f>
        <v>0</v>
      </c>
      <c r="D270" s="165" t="str">
        <f>IF(AND('Autoévaluation client'!D276="",'Autoévaluation client'!E276=""),"*","")</f>
        <v>*</v>
      </c>
      <c r="E270" s="39" t="str">
        <f>IF(ISBLANK('Autoévaluation client'!F276),"",'Autoévaluation client'!F276)</f>
        <v/>
      </c>
      <c r="F270" s="118"/>
      <c r="G270" s="118"/>
      <c r="H270" s="118"/>
      <c r="I270" s="118"/>
      <c r="J270" s="118"/>
      <c r="K270" s="118"/>
      <c r="L270" s="112"/>
      <c r="M270" s="37">
        <v>1</v>
      </c>
      <c r="N270" s="27"/>
      <c r="O270" s="28">
        <f t="shared" si="44"/>
        <v>0</v>
      </c>
      <c r="P270" s="43">
        <f t="shared" si="45"/>
        <v>0</v>
      </c>
      <c r="Q270" s="36"/>
      <c r="R270" s="27"/>
    </row>
    <row r="271" spans="1:18" x14ac:dyDescent="0.3">
      <c r="A271" s="3" t="str">
        <f>'Autoévaluation client'!A277</f>
        <v>4.2.1.v</v>
      </c>
      <c r="B271" s="6" t="str">
        <f>'Autoévaluation client'!C277</f>
        <v>Guêtres de protection?</v>
      </c>
      <c r="C271" s="38">
        <f>IF(ISBLANK('Autoévaluation client'!D277),0,1)</f>
        <v>0</v>
      </c>
      <c r="D271" s="165" t="str">
        <f>IF(AND('Autoévaluation client'!D277="",'Autoévaluation client'!E277=""),"*","")</f>
        <v>*</v>
      </c>
      <c r="E271" s="39" t="str">
        <f>IF(ISBLANK('Autoévaluation client'!F277),"",'Autoévaluation client'!F277)</f>
        <v/>
      </c>
      <c r="F271" s="120"/>
      <c r="G271" s="120"/>
      <c r="H271" s="120"/>
      <c r="I271" s="120"/>
      <c r="J271" s="120"/>
      <c r="K271" s="120"/>
      <c r="L271" s="112"/>
      <c r="M271" s="37">
        <v>1</v>
      </c>
      <c r="N271" s="27"/>
      <c r="O271" s="28">
        <f t="shared" si="44"/>
        <v>0</v>
      </c>
      <c r="P271" s="43">
        <f t="shared" si="45"/>
        <v>0</v>
      </c>
      <c r="Q271" s="36"/>
      <c r="R271" s="36"/>
    </row>
    <row r="272" spans="1:18" x14ac:dyDescent="0.3">
      <c r="A272" s="3" t="str">
        <f>'Autoévaluation client'!A278</f>
        <v>4.2.1.w</v>
      </c>
      <c r="B272" s="6" t="str">
        <f>'Autoévaluation client'!C278</f>
        <v>Protège-tibias?</v>
      </c>
      <c r="C272" s="38">
        <f>IF(ISBLANK('Autoévaluation client'!D278),0,1)</f>
        <v>0</v>
      </c>
      <c r="D272" s="165" t="str">
        <f>IF(AND('Autoévaluation client'!D278="",'Autoévaluation client'!E278=""),"*","")</f>
        <v>*</v>
      </c>
      <c r="E272" s="39" t="str">
        <f>IF(ISBLANK('Autoévaluation client'!F278),"",'Autoévaluation client'!F278)</f>
        <v/>
      </c>
      <c r="F272" s="118"/>
      <c r="G272" s="118"/>
      <c r="H272" s="118"/>
      <c r="I272" s="118"/>
      <c r="J272" s="118"/>
      <c r="K272" s="118"/>
      <c r="L272" s="112"/>
      <c r="M272" s="37">
        <v>1</v>
      </c>
      <c r="N272" s="27"/>
      <c r="O272" s="28">
        <f t="shared" si="44"/>
        <v>0</v>
      </c>
      <c r="P272" s="43">
        <f t="shared" si="45"/>
        <v>0</v>
      </c>
      <c r="Q272" s="36"/>
      <c r="R272" s="27"/>
    </row>
    <row r="273" spans="1:18" x14ac:dyDescent="0.3">
      <c r="A273" s="3" t="str">
        <f>'Autoévaluation client'!A279</f>
        <v>4.2.1.x</v>
      </c>
      <c r="B273" s="6" t="str">
        <f>'Autoévaluation client'!C279</f>
        <v>Protège-genoux?</v>
      </c>
      <c r="C273" s="38">
        <f>IF(ISBLANK('Autoévaluation client'!D279),0,1)</f>
        <v>0</v>
      </c>
      <c r="D273" s="165" t="str">
        <f>IF(AND('Autoévaluation client'!D279="",'Autoévaluation client'!E279=""),"*","")</f>
        <v>*</v>
      </c>
      <c r="E273" s="39" t="str">
        <f>IF(ISBLANK('Autoévaluation client'!F279),"",'Autoévaluation client'!F279)</f>
        <v/>
      </c>
      <c r="F273" s="118"/>
      <c r="G273" s="118"/>
      <c r="H273" s="118"/>
      <c r="I273" s="118"/>
      <c r="J273" s="118"/>
      <c r="K273" s="118"/>
      <c r="L273" s="112"/>
      <c r="M273" s="37">
        <v>1</v>
      </c>
      <c r="N273" s="27"/>
      <c r="O273" s="28">
        <f t="shared" si="44"/>
        <v>0</v>
      </c>
      <c r="P273" s="43">
        <f t="shared" si="45"/>
        <v>0</v>
      </c>
      <c r="Q273" s="36"/>
      <c r="R273" s="27"/>
    </row>
    <row r="274" spans="1:18" ht="26.4" x14ac:dyDescent="0.3">
      <c r="A274" s="3" t="str">
        <f>'Autoévaluation client'!A280</f>
        <v>4.2.1.y</v>
      </c>
      <c r="B274" s="6" t="str">
        <f>'Autoévaluation client'!C280</f>
        <v>Vêtements de signalisation à haute visibilité, couleurs de signalisation?</v>
      </c>
      <c r="C274" s="38">
        <f>IF(ISBLANK('Autoévaluation client'!D280),0,1)</f>
        <v>0</v>
      </c>
      <c r="D274" s="165" t="str">
        <f>IF(AND('Autoévaluation client'!D280="",'Autoévaluation client'!E280=""),"*","")</f>
        <v>*</v>
      </c>
      <c r="E274" s="39" t="str">
        <f>IF(ISBLANK('Autoévaluation client'!F280),"",'Autoévaluation client'!F280)</f>
        <v/>
      </c>
      <c r="F274" s="118"/>
      <c r="G274" s="118"/>
      <c r="H274" s="118"/>
      <c r="I274" s="118"/>
      <c r="J274" s="118"/>
      <c r="K274" s="118"/>
      <c r="L274" s="112"/>
      <c r="M274" s="37">
        <v>1</v>
      </c>
      <c r="N274" s="27"/>
      <c r="O274" s="28">
        <f t="shared" si="44"/>
        <v>0</v>
      </c>
      <c r="P274" s="43">
        <f t="shared" si="45"/>
        <v>0</v>
      </c>
      <c r="Q274" s="36"/>
      <c r="R274" s="27"/>
    </row>
    <row r="275" spans="1:18" x14ac:dyDescent="0.3">
      <c r="A275" s="3" t="str">
        <f>'Autoévaluation client'!A281</f>
        <v>4.2.1.z</v>
      </c>
      <c r="B275" s="6" t="str">
        <f>'Autoévaluation client'!C281</f>
        <v>Combinaisons de protection?</v>
      </c>
      <c r="C275" s="38">
        <f>IF(ISBLANK('Autoévaluation client'!D281),0,1)</f>
        <v>0</v>
      </c>
      <c r="D275" s="165" t="str">
        <f>IF(AND('Autoévaluation client'!D281="",'Autoévaluation client'!E281=""),"*","")</f>
        <v>*</v>
      </c>
      <c r="E275" s="39" t="str">
        <f>IF(ISBLANK('Autoévaluation client'!F281),"",'Autoévaluation client'!F281)</f>
        <v/>
      </c>
      <c r="F275" s="118"/>
      <c r="G275" s="118"/>
      <c r="H275" s="118"/>
      <c r="I275" s="118"/>
      <c r="J275" s="118"/>
      <c r="K275" s="118"/>
      <c r="L275" s="112"/>
      <c r="M275" s="37">
        <v>1</v>
      </c>
      <c r="N275" s="27"/>
      <c r="O275" s="28">
        <f t="shared" si="44"/>
        <v>0</v>
      </c>
      <c r="P275" s="43">
        <f t="shared" si="45"/>
        <v>0</v>
      </c>
      <c r="Q275" s="36"/>
      <c r="R275" s="27"/>
    </row>
    <row r="276" spans="1:18" x14ac:dyDescent="0.3">
      <c r="A276" s="3" t="str">
        <f>'Autoévaluation client'!A282</f>
        <v>4.2.1.aa</v>
      </c>
      <c r="B276" s="6" t="str">
        <f>'Autoévaluation client'!C282</f>
        <v>Tabliers de protection?</v>
      </c>
      <c r="C276" s="38">
        <f>IF(ISBLANK('Autoévaluation client'!D282),0,1)</f>
        <v>0</v>
      </c>
      <c r="D276" s="165" t="str">
        <f>IF(AND('Autoévaluation client'!D282="",'Autoévaluation client'!E282=""),"*","")</f>
        <v>*</v>
      </c>
      <c r="E276" s="39" t="str">
        <f>IF(ISBLANK('Autoévaluation client'!F282),"",'Autoévaluation client'!F282)</f>
        <v/>
      </c>
      <c r="F276" s="118"/>
      <c r="G276" s="118"/>
      <c r="H276" s="118"/>
      <c r="I276" s="118"/>
      <c r="J276" s="118"/>
      <c r="K276" s="118"/>
      <c r="L276" s="112"/>
      <c r="M276" s="37">
        <v>1</v>
      </c>
      <c r="N276" s="27"/>
      <c r="O276" s="28">
        <f t="shared" si="44"/>
        <v>0</v>
      </c>
      <c r="P276" s="43">
        <f t="shared" si="45"/>
        <v>0</v>
      </c>
      <c r="Q276" s="36"/>
      <c r="R276" s="27"/>
    </row>
    <row r="277" spans="1:18" x14ac:dyDescent="0.3">
      <c r="A277" s="3" t="str">
        <f>'Autoévaluation client'!A283</f>
        <v>4.2.1.bb</v>
      </c>
      <c r="B277" s="6" t="str">
        <f>'Autoévaluation client'!C283</f>
        <v>Manteaux de protection?</v>
      </c>
      <c r="C277" s="38">
        <f>IF(ISBLANK('Autoévaluation client'!D283),0,1)</f>
        <v>0</v>
      </c>
      <c r="D277" s="165" t="str">
        <f>IF(AND('Autoévaluation client'!D283="",'Autoévaluation client'!E283=""),"*","")</f>
        <v>*</v>
      </c>
      <c r="E277" s="39" t="str">
        <f>IF(ISBLANK('Autoévaluation client'!F283),"",'Autoévaluation client'!F283)</f>
        <v/>
      </c>
      <c r="F277" s="118"/>
      <c r="G277" s="118"/>
      <c r="H277" s="118"/>
      <c r="I277" s="118"/>
      <c r="J277" s="118"/>
      <c r="K277" s="118"/>
      <c r="L277" s="112"/>
      <c r="M277" s="37">
        <v>1</v>
      </c>
      <c r="N277" s="27"/>
      <c r="O277" s="28">
        <f t="shared" si="44"/>
        <v>0</v>
      </c>
      <c r="P277" s="43">
        <f t="shared" si="45"/>
        <v>0</v>
      </c>
      <c r="Q277" s="36"/>
      <c r="R277" s="27"/>
    </row>
    <row r="278" spans="1:18" x14ac:dyDescent="0.3">
      <c r="A278" s="3" t="str">
        <f>'Autoévaluation client'!A284</f>
        <v>4.2.1.cc</v>
      </c>
      <c r="B278" s="6" t="str">
        <f>'Autoévaluation client'!C284</f>
        <v>Protections contre le froid?</v>
      </c>
      <c r="C278" s="38">
        <f>IF(ISBLANK('Autoévaluation client'!D284),0,1)</f>
        <v>0</v>
      </c>
      <c r="D278" s="165" t="str">
        <f>IF(AND('Autoévaluation client'!D284="",'Autoévaluation client'!E284=""),"*","")</f>
        <v>*</v>
      </c>
      <c r="E278" s="39" t="str">
        <f>IF(ISBLANK('Autoévaluation client'!F284),"",'Autoévaluation client'!F284)</f>
        <v/>
      </c>
      <c r="F278" s="118"/>
      <c r="G278" s="118"/>
      <c r="H278" s="118"/>
      <c r="I278" s="118"/>
      <c r="J278" s="118"/>
      <c r="K278" s="118"/>
      <c r="L278" s="112"/>
      <c r="M278" s="37">
        <v>1</v>
      </c>
      <c r="N278" s="27"/>
      <c r="O278" s="28">
        <f t="shared" si="44"/>
        <v>0</v>
      </c>
      <c r="P278" s="43">
        <f t="shared" si="45"/>
        <v>0</v>
      </c>
      <c r="Q278" s="36"/>
      <c r="R278" s="27"/>
    </row>
    <row r="279" spans="1:18" x14ac:dyDescent="0.3">
      <c r="A279" s="3" t="str">
        <f>'Autoévaluation client'!A285</f>
        <v>4.2.1.dd</v>
      </c>
      <c r="B279" s="6" t="str">
        <f>'Autoévaluation client'!C285</f>
        <v>Protections contre l'humidité?</v>
      </c>
      <c r="C279" s="38">
        <f>IF(ISBLANK('Autoévaluation client'!D285),0,1)</f>
        <v>0</v>
      </c>
      <c r="D279" s="165" t="str">
        <f>IF(AND('Autoévaluation client'!D285="",'Autoévaluation client'!E285=""),"*","")</f>
        <v>*</v>
      </c>
      <c r="E279" s="39" t="str">
        <f>IF(ISBLANK('Autoévaluation client'!F285),"",'Autoévaluation client'!F285)</f>
        <v/>
      </c>
      <c r="F279" s="120"/>
      <c r="G279" s="120"/>
      <c r="H279" s="120"/>
      <c r="I279" s="120"/>
      <c r="J279" s="120"/>
      <c r="K279" s="120"/>
      <c r="L279" s="112"/>
      <c r="M279" s="37">
        <v>1</v>
      </c>
      <c r="N279" s="27"/>
      <c r="O279" s="28">
        <f t="shared" si="44"/>
        <v>0</v>
      </c>
      <c r="P279" s="43">
        <f t="shared" si="45"/>
        <v>0</v>
      </c>
      <c r="Q279" s="36"/>
      <c r="R279" s="36"/>
    </row>
    <row r="280" spans="1:18" x14ac:dyDescent="0.3">
      <c r="A280" s="3" t="str">
        <f>'Autoévaluation client'!A286</f>
        <v>4.2.1.ee</v>
      </c>
      <c r="B280" s="6" t="str">
        <f>'Autoévaluation client'!C286</f>
        <v>Pantalons anti-coupures?</v>
      </c>
      <c r="C280" s="38">
        <f>IF(ISBLANK('Autoévaluation client'!D286),0,1)</f>
        <v>0</v>
      </c>
      <c r="D280" s="165" t="str">
        <f>IF(AND('Autoévaluation client'!D286="",'Autoévaluation client'!E286=""),"*","")</f>
        <v>*</v>
      </c>
      <c r="E280" s="39" t="str">
        <f>IF(ISBLANK('Autoévaluation client'!F286),"",'Autoévaluation client'!F286)</f>
        <v/>
      </c>
      <c r="F280" s="118"/>
      <c r="G280" s="118"/>
      <c r="H280" s="118"/>
      <c r="I280" s="118"/>
      <c r="J280" s="118"/>
      <c r="K280" s="118"/>
      <c r="L280" s="112"/>
      <c r="M280" s="37">
        <v>1</v>
      </c>
      <c r="N280" s="27"/>
      <c r="O280" s="28">
        <f t="shared" si="44"/>
        <v>0</v>
      </c>
      <c r="P280" s="43">
        <f t="shared" si="45"/>
        <v>0</v>
      </c>
      <c r="Q280" s="36"/>
      <c r="R280" s="27"/>
    </row>
    <row r="281" spans="1:18" x14ac:dyDescent="0.3">
      <c r="A281" s="3" t="str">
        <f>'Autoévaluation client'!A287</f>
        <v>4.2.1.ff</v>
      </c>
      <c r="B281" s="6" t="str">
        <f>'Autoévaluation client'!C287</f>
        <v>Harnais anti-chutes?</v>
      </c>
      <c r="C281" s="38">
        <f>IF(ISBLANK('Autoévaluation client'!D287),0,1)</f>
        <v>0</v>
      </c>
      <c r="D281" s="165" t="str">
        <f>IF(AND('Autoévaluation client'!D287="",'Autoévaluation client'!E287=""),"*","")</f>
        <v>*</v>
      </c>
      <c r="E281" s="39" t="str">
        <f>IF(ISBLANK('Autoévaluation client'!F287),"",'Autoévaluation client'!F287)</f>
        <v/>
      </c>
      <c r="F281" s="118"/>
      <c r="G281" s="118"/>
      <c r="H281" s="118"/>
      <c r="I281" s="118"/>
      <c r="J281" s="118"/>
      <c r="K281" s="118"/>
      <c r="L281" s="112"/>
      <c r="M281" s="37">
        <v>1</v>
      </c>
      <c r="N281" s="27"/>
      <c r="O281" s="28">
        <f t="shared" si="44"/>
        <v>0</v>
      </c>
      <c r="P281" s="43">
        <f t="shared" si="45"/>
        <v>0</v>
      </c>
      <c r="Q281" s="36"/>
      <c r="R281" s="27"/>
    </row>
    <row r="282" spans="1:18" x14ac:dyDescent="0.3">
      <c r="A282" s="3" t="str">
        <f>'Autoévaluation client'!A288</f>
        <v>4.2.1.gg</v>
      </c>
      <c r="B282" s="6" t="str">
        <f>'Autoévaluation client'!C288</f>
        <v>Cordes d'assurage?</v>
      </c>
      <c r="C282" s="38">
        <f>IF(ISBLANK('Autoévaluation client'!D288),0,1)</f>
        <v>0</v>
      </c>
      <c r="D282" s="165" t="str">
        <f>IF(AND('Autoévaluation client'!D288="",'Autoévaluation client'!E288=""),"*","")</f>
        <v>*</v>
      </c>
      <c r="E282" s="39" t="str">
        <f>IF(ISBLANK('Autoévaluation client'!F288),"",'Autoévaluation client'!F288)</f>
        <v/>
      </c>
      <c r="F282" s="118"/>
      <c r="G282" s="118"/>
      <c r="H282" s="118"/>
      <c r="I282" s="118"/>
      <c r="J282" s="118"/>
      <c r="K282" s="118"/>
      <c r="L282" s="112"/>
      <c r="M282" s="37">
        <v>1</v>
      </c>
      <c r="N282" s="27"/>
      <c r="O282" s="28">
        <f t="shared" si="44"/>
        <v>0</v>
      </c>
      <c r="P282" s="43">
        <f t="shared" si="45"/>
        <v>0</v>
      </c>
      <c r="Q282" s="36"/>
      <c r="R282" s="27"/>
    </row>
    <row r="283" spans="1:18" x14ac:dyDescent="0.3">
      <c r="A283" s="3" t="str">
        <f>'Autoévaluation client'!A289</f>
        <v>4.2.1.hh</v>
      </c>
      <c r="B283" s="6" t="str">
        <f>'Autoévaluation client'!C289</f>
        <v>Gilets de sauvetage?</v>
      </c>
      <c r="C283" s="38">
        <f>IF(ISBLANK('Autoévaluation client'!D289),0,1)</f>
        <v>0</v>
      </c>
      <c r="D283" s="165" t="str">
        <f>IF(AND('Autoévaluation client'!D289="",'Autoévaluation client'!E289=""),"*","")</f>
        <v>*</v>
      </c>
      <c r="E283" s="39" t="str">
        <f>IF(ISBLANK('Autoévaluation client'!F289),"",'Autoévaluation client'!F289)</f>
        <v/>
      </c>
      <c r="F283" s="120"/>
      <c r="G283" s="120"/>
      <c r="H283" s="120"/>
      <c r="I283" s="120"/>
      <c r="J283" s="120"/>
      <c r="K283" s="120"/>
      <c r="L283" s="112"/>
      <c r="M283" s="37">
        <v>1</v>
      </c>
      <c r="N283" s="27"/>
      <c r="O283" s="28">
        <f t="shared" si="44"/>
        <v>0</v>
      </c>
      <c r="P283" s="43">
        <f t="shared" si="45"/>
        <v>0</v>
      </c>
      <c r="Q283" s="36"/>
      <c r="R283" s="36"/>
    </row>
    <row r="284" spans="1:18" x14ac:dyDescent="0.3">
      <c r="A284" s="3" t="str">
        <f>'Autoévaluation client'!A290</f>
        <v>4.2.1.ii</v>
      </c>
      <c r="B284" s="6" t="str">
        <f>'Autoévaluation client'!C290</f>
        <v>Autres moyens de protection?Si oui, lesquels?</v>
      </c>
      <c r="C284" s="38">
        <f>IF(ISBLANK('Autoévaluation client'!D290),0,1)</f>
        <v>0</v>
      </c>
      <c r="D284" s="165" t="str">
        <f>IF(AND('Autoévaluation client'!D290="",'Autoévaluation client'!E290=""),"*","")</f>
        <v>*</v>
      </c>
      <c r="E284" s="39" t="str">
        <f>IF(ISBLANK('Autoévaluation client'!F290),"",'Autoévaluation client'!F290)</f>
        <v/>
      </c>
      <c r="F284" s="120"/>
      <c r="G284" s="120"/>
      <c r="H284" s="120"/>
      <c r="I284" s="120"/>
      <c r="J284" s="120"/>
      <c r="K284" s="120"/>
      <c r="L284" s="112"/>
      <c r="M284" s="37">
        <v>1</v>
      </c>
      <c r="N284" s="27"/>
      <c r="O284" s="28">
        <f t="shared" si="44"/>
        <v>0</v>
      </c>
      <c r="P284" s="43">
        <f t="shared" si="45"/>
        <v>0</v>
      </c>
      <c r="Q284" s="36"/>
      <c r="R284" s="36"/>
    </row>
    <row r="285" spans="1:18" x14ac:dyDescent="0.3">
      <c r="A285" s="20" t="str">
        <f>'Autoévaluation client'!A291</f>
        <v>4.3.</v>
      </c>
      <c r="B285" s="20" t="str">
        <f>'Autoévaluation client'!B291</f>
        <v>Protection individuelle: Application</v>
      </c>
      <c r="C285" s="38">
        <f>O285/N285</f>
        <v>0</v>
      </c>
      <c r="D285" s="23" t="str">
        <f>IF(ISBLANK('Autoévaluation client'!E291),"",'Autoévaluation client'!E291)</f>
        <v/>
      </c>
      <c r="E285" s="23" t="str">
        <f>IF(ISBLANK('Autoévaluation client'!F291),"",'Autoévaluation client'!F291)</f>
        <v/>
      </c>
      <c r="F285" s="115"/>
      <c r="G285" s="115"/>
      <c r="H285" s="115"/>
      <c r="I285" s="115"/>
      <c r="J285" s="115"/>
      <c r="K285" s="115"/>
      <c r="L285" s="50">
        <f>P285/N285</f>
        <v>0</v>
      </c>
      <c r="M285" s="22">
        <v>2</v>
      </c>
      <c r="N285" s="22">
        <f>SUM(M286:M292)</f>
        <v>20</v>
      </c>
      <c r="O285" s="24">
        <f>SUM(O286:O292)</f>
        <v>0</v>
      </c>
      <c r="P285" s="24">
        <f>SUM(P286:P292)</f>
        <v>0</v>
      </c>
      <c r="Q285" s="52">
        <f>O285/$N285*$M285</f>
        <v>0</v>
      </c>
      <c r="R285" s="52">
        <f>P285/$N285*$M285</f>
        <v>0</v>
      </c>
    </row>
    <row r="286" spans="1:18" ht="26.4" x14ac:dyDescent="0.3">
      <c r="A286" s="3" t="str">
        <f>'Autoévaluation client'!A292</f>
        <v>4.3.1.</v>
      </c>
      <c r="B286" s="6" t="str">
        <f>'Autoévaluation client'!C292</f>
        <v>Les collaborateurs concernés sont-ils associés au choix des équipements de protection individuelle?</v>
      </c>
      <c r="C286" s="38">
        <f>IF(ISBLANK('Autoévaluation client'!D292),0,1)</f>
        <v>0</v>
      </c>
      <c r="D286" s="165" t="str">
        <f>IF(AND('Autoévaluation client'!D292="",'Autoévaluation client'!E292=""),"*","")</f>
        <v>*</v>
      </c>
      <c r="E286" s="39" t="str">
        <f>IF(ISBLANK('Autoévaluation client'!F292),"",'Autoévaluation client'!F292)</f>
        <v/>
      </c>
      <c r="F286" s="118"/>
      <c r="G286" s="118"/>
      <c r="H286" s="118"/>
      <c r="I286" s="118"/>
      <c r="J286" s="118"/>
      <c r="K286" s="118"/>
      <c r="L286" s="112"/>
      <c r="M286" s="37">
        <v>3</v>
      </c>
      <c r="N286" s="27"/>
      <c r="O286" s="28">
        <f t="shared" ref="O286:O292" si="46">C286*M286</f>
        <v>0</v>
      </c>
      <c r="P286" s="43">
        <f t="shared" ref="P286:P292" si="47">L286*M286</f>
        <v>0</v>
      </c>
      <c r="Q286" s="36"/>
      <c r="R286" s="27"/>
    </row>
    <row r="287" spans="1:18" ht="39.6" x14ac:dyDescent="0.3">
      <c r="A287" s="3" t="str">
        <f>'Autoévaluation client'!A293</f>
        <v>4.3.2.</v>
      </c>
      <c r="B287" s="6" t="str">
        <f>'Autoévaluation client'!C293</f>
        <v>Disposez-vous d'instructions écrites, internes à l'entreprise, concernant l'utilisation d'équipements de protection individuelle?</v>
      </c>
      <c r="C287" s="38">
        <f>IF(ISBLANK('Autoévaluation client'!D293),0,1)</f>
        <v>0</v>
      </c>
      <c r="D287" s="165" t="str">
        <f>IF(AND('Autoévaluation client'!D293="",'Autoévaluation client'!E293=""),"*","")</f>
        <v>*</v>
      </c>
      <c r="E287" s="39" t="str">
        <f>IF(ISBLANK('Autoévaluation client'!F293),"",'Autoévaluation client'!F293)</f>
        <v/>
      </c>
      <c r="F287" s="118"/>
      <c r="G287" s="118"/>
      <c r="H287" s="118"/>
      <c r="I287" s="118"/>
      <c r="J287" s="118"/>
      <c r="K287" s="118"/>
      <c r="L287" s="112"/>
      <c r="M287" s="37">
        <v>3</v>
      </c>
      <c r="N287" s="27"/>
      <c r="O287" s="28">
        <f t="shared" si="46"/>
        <v>0</v>
      </c>
      <c r="P287" s="43">
        <f t="shared" si="47"/>
        <v>0</v>
      </c>
      <c r="Q287" s="36"/>
      <c r="R287" s="27"/>
    </row>
    <row r="288" spans="1:18" ht="26.4" x14ac:dyDescent="0.3">
      <c r="A288" s="3" t="str">
        <f>'Autoévaluation client'!A294</f>
        <v>4.3.3.</v>
      </c>
      <c r="B288" s="6" t="str">
        <f>'Autoévaluation client'!C294</f>
        <v>Les supérieurs hiérarchiques montrent-ils l'exemple quant au port des équipements de protection individuelle?</v>
      </c>
      <c r="C288" s="38">
        <f>IF(ISBLANK('Autoévaluation client'!D294),0,1)</f>
        <v>0</v>
      </c>
      <c r="D288" s="165" t="str">
        <f>IF(AND('Autoévaluation client'!D294="",'Autoévaluation client'!E294=""),"*","")</f>
        <v>*</v>
      </c>
      <c r="E288" s="39" t="str">
        <f>IF(ISBLANK('Autoévaluation client'!F294),"",'Autoévaluation client'!F294)</f>
        <v/>
      </c>
      <c r="F288" s="118"/>
      <c r="G288" s="118"/>
      <c r="H288" s="118"/>
      <c r="I288" s="118"/>
      <c r="J288" s="118"/>
      <c r="K288" s="118"/>
      <c r="L288" s="112"/>
      <c r="M288" s="37">
        <v>5</v>
      </c>
      <c r="N288" s="27"/>
      <c r="O288" s="28">
        <f t="shared" si="46"/>
        <v>0</v>
      </c>
      <c r="P288" s="43">
        <f t="shared" si="47"/>
        <v>0</v>
      </c>
      <c r="Q288" s="36"/>
      <c r="R288" s="27"/>
    </row>
    <row r="289" spans="1:18" ht="39.6" x14ac:dyDescent="0.3">
      <c r="A289" s="3" t="str">
        <f>'Autoévaluation client'!A295</f>
        <v>4.3.4.</v>
      </c>
      <c r="B289" s="6" t="str">
        <f>'Autoévaluation client'!C295</f>
        <v>Les collaborateurs sont-ils informés des risques inhérents à leur poste de travail et des mesures de sécurité correspondantes?</v>
      </c>
      <c r="C289" s="38">
        <f>IF(ISBLANK('Autoévaluation client'!D295),0,1)</f>
        <v>0</v>
      </c>
      <c r="D289" s="165" t="str">
        <f>IF(AND('Autoévaluation client'!D295="",'Autoévaluation client'!E295=""),"*","")</f>
        <v>*</v>
      </c>
      <c r="E289" s="39" t="str">
        <f>IF(ISBLANK('Autoévaluation client'!F295),"",'Autoévaluation client'!F295)</f>
        <v/>
      </c>
      <c r="F289" s="118"/>
      <c r="G289" s="118"/>
      <c r="H289" s="118"/>
      <c r="I289" s="118"/>
      <c r="J289" s="118"/>
      <c r="K289" s="118"/>
      <c r="L289" s="112"/>
      <c r="M289" s="37">
        <v>3</v>
      </c>
      <c r="N289" s="27"/>
      <c r="O289" s="28">
        <f t="shared" si="46"/>
        <v>0</v>
      </c>
      <c r="P289" s="43">
        <f t="shared" si="47"/>
        <v>0</v>
      </c>
      <c r="Q289" s="36"/>
      <c r="R289" s="27"/>
    </row>
    <row r="290" spans="1:18" ht="26.4" x14ac:dyDescent="0.3">
      <c r="A290" s="3" t="str">
        <f>'Autoévaluation client'!A296</f>
        <v>4.3.5.</v>
      </c>
      <c r="B290" s="6" t="str">
        <f>'Autoévaluation client'!C296</f>
        <v>Les collaborateurs sont-ils instruits sur l’utilisation correcte et l’entretien des équipements de protection individuelle?</v>
      </c>
      <c r="C290" s="38">
        <f>IF(ISBLANK('Autoévaluation client'!D296),0,1)</f>
        <v>0</v>
      </c>
      <c r="D290" s="165" t="str">
        <f>IF(AND('Autoévaluation client'!D296="",'Autoévaluation client'!E296=""),"*","")</f>
        <v>*</v>
      </c>
      <c r="E290" s="39" t="str">
        <f>IF(ISBLANK('Autoévaluation client'!F296),"",'Autoévaluation client'!F296)</f>
        <v/>
      </c>
      <c r="F290" s="118"/>
      <c r="G290" s="118"/>
      <c r="H290" s="118"/>
      <c r="I290" s="118"/>
      <c r="J290" s="118"/>
      <c r="K290" s="118"/>
      <c r="L290" s="112"/>
      <c r="M290" s="37">
        <v>2</v>
      </c>
      <c r="N290" s="27"/>
      <c r="O290" s="28">
        <f t="shared" si="46"/>
        <v>0</v>
      </c>
      <c r="P290" s="43">
        <f t="shared" si="47"/>
        <v>0</v>
      </c>
      <c r="Q290" s="36"/>
      <c r="R290" s="27"/>
    </row>
    <row r="291" spans="1:18" ht="26.4" x14ac:dyDescent="0.3">
      <c r="A291" s="3" t="str">
        <f>'Autoévaluation client'!A297</f>
        <v>4.3.6.</v>
      </c>
      <c r="B291" s="6" t="str">
        <f>'Autoévaluation client'!C297</f>
        <v>L'utilisation correcte de l'équipement de protection individuelle est-elle contrôlée et imposée?</v>
      </c>
      <c r="C291" s="38">
        <f>IF(ISBLANK('Autoévaluation client'!D297),0,1)</f>
        <v>0</v>
      </c>
      <c r="D291" s="165" t="str">
        <f>IF(AND('Autoévaluation client'!D297="",'Autoévaluation client'!E297=""),"*","")</f>
        <v>*</v>
      </c>
      <c r="E291" s="39" t="str">
        <f>IF(ISBLANK('Autoévaluation client'!F297),"",'Autoévaluation client'!F297)</f>
        <v/>
      </c>
      <c r="F291" s="120"/>
      <c r="G291" s="120"/>
      <c r="H291" s="120"/>
      <c r="I291" s="120"/>
      <c r="J291" s="120"/>
      <c r="K291" s="120"/>
      <c r="L291" s="112"/>
      <c r="M291" s="37">
        <v>4</v>
      </c>
      <c r="N291" s="27"/>
      <c r="O291" s="28">
        <f t="shared" si="46"/>
        <v>0</v>
      </c>
      <c r="P291" s="43">
        <f t="shared" si="47"/>
        <v>0</v>
      </c>
      <c r="Q291" s="36"/>
      <c r="R291" s="36"/>
    </row>
    <row r="292" spans="1:18" ht="66" x14ac:dyDescent="0.3">
      <c r="A292" s="3" t="str">
        <f>'Autoévaluation client'!A298</f>
        <v>4.3.7.</v>
      </c>
      <c r="B292" s="6" t="str">
        <f>'Autoévaluation client'!C298</f>
        <v xml:space="preserve">Existe-t-il des postes de travail ou des activités lors desquelles vous constatez une acceptation insatisfaisante des moyens de protection? Dans l’affirmative, quels moyens de protection et quels postes de travail/activités sont concernés? </v>
      </c>
      <c r="C292" s="38">
        <f>IF(ISBLANK('Autoévaluation client'!D298),0,1)</f>
        <v>0</v>
      </c>
      <c r="D292" s="165" t="str">
        <f>IF(AND('Autoévaluation client'!D298="",'Autoévaluation client'!E298=""),"*","")</f>
        <v>*</v>
      </c>
      <c r="E292" s="39" t="str">
        <f>IF(ISBLANK('Autoévaluation client'!F298),"",'Autoévaluation client'!F298)</f>
        <v/>
      </c>
      <c r="F292" s="118"/>
      <c r="G292" s="118"/>
      <c r="H292" s="118"/>
      <c r="I292" s="118"/>
      <c r="J292" s="118"/>
      <c r="K292" s="118"/>
      <c r="L292" s="112"/>
      <c r="M292" s="37">
        <v>0</v>
      </c>
      <c r="N292" s="27"/>
      <c r="O292" s="28">
        <f t="shared" si="46"/>
        <v>0</v>
      </c>
      <c r="P292" s="43">
        <f t="shared" si="47"/>
        <v>0</v>
      </c>
      <c r="Q292" s="36"/>
      <c r="R292" s="27"/>
    </row>
    <row r="293" spans="1:18" x14ac:dyDescent="0.3">
      <c r="A293" s="20" t="str">
        <f>'Autoévaluation client'!A299</f>
        <v>4.4.</v>
      </c>
      <c r="B293" s="20" t="str">
        <f>'Autoévaluation client'!B299</f>
        <v>Fonctionnement normal et particulier</v>
      </c>
      <c r="C293" s="21">
        <f>O293/N293</f>
        <v>0</v>
      </c>
      <c r="D293" s="23" t="str">
        <f>IF(ISBLANK('Autoévaluation client'!E299),"",'Autoévaluation client'!E299)</f>
        <v/>
      </c>
      <c r="E293" s="23" t="str">
        <f>IF(ISBLANK('Autoévaluation client'!F299),"",'Autoévaluation client'!F299)</f>
        <v/>
      </c>
      <c r="F293" s="115"/>
      <c r="G293" s="115"/>
      <c r="H293" s="115"/>
      <c r="I293" s="115"/>
      <c r="J293" s="115"/>
      <c r="K293" s="115"/>
      <c r="L293" s="50">
        <f>P293/N293</f>
        <v>0</v>
      </c>
      <c r="M293" s="22">
        <v>2</v>
      </c>
      <c r="N293" s="22">
        <f>SUM(M294:M296)</f>
        <v>4</v>
      </c>
      <c r="O293" s="24">
        <f>SUM(O294:O296)</f>
        <v>0</v>
      </c>
      <c r="P293" s="24">
        <f>SUM(P294:P296)</f>
        <v>0</v>
      </c>
      <c r="Q293" s="52">
        <f>O293/$N293*$M293</f>
        <v>0</v>
      </c>
      <c r="R293" s="52">
        <f>P293/$N293*$M293</f>
        <v>0</v>
      </c>
    </row>
    <row r="294" spans="1:18" ht="145.19999999999999" x14ac:dyDescent="0.3">
      <c r="A294" s="3" t="str">
        <f>'Autoévaluation client'!A300</f>
        <v>4.4.1.</v>
      </c>
      <c r="B294" s="6" t="str">
        <f>'Autoévaluation client'!C300</f>
        <v>Les instructions des fabricants et fournisseurs concernant le fonctionnement normal* et particulier** d'installations, de machines et d'appareils sont-elles respectées?
* Fonctionnement normal: emploi d'équipements de travail conforme à leur destination, dans le sens de leur affectation première.
** Fonctionnement particulier: tous les autres travaux sur les équipements de travail, tels que préparation et adaptation, mise en place et réglage, essai de fonctionnement, localisation et levée de dérangements, nettoyage.</v>
      </c>
      <c r="C294" s="38">
        <f>IF(ISBLANK('Autoévaluation client'!D300),0,1)</f>
        <v>0</v>
      </c>
      <c r="D294" s="165" t="str">
        <f>IF(AND('Autoévaluation client'!D300="",'Autoévaluation client'!E300=""),"*","")</f>
        <v>*</v>
      </c>
      <c r="E294" s="39" t="str">
        <f>IF(ISBLANK('Autoévaluation client'!F300),"",'Autoévaluation client'!F300)</f>
        <v/>
      </c>
      <c r="F294" s="118"/>
      <c r="G294" s="118"/>
      <c r="H294" s="118"/>
      <c r="I294" s="118"/>
      <c r="J294" s="118"/>
      <c r="K294" s="118"/>
      <c r="L294" s="112"/>
      <c r="M294" s="37">
        <v>3</v>
      </c>
      <c r="N294" s="27"/>
      <c r="O294" s="28">
        <f>C294*M294</f>
        <v>0</v>
      </c>
      <c r="P294" s="43">
        <f t="shared" ref="P294:P296" si="48">L294*M294</f>
        <v>0</v>
      </c>
      <c r="Q294" s="36"/>
      <c r="R294" s="27"/>
    </row>
    <row r="295" spans="1:18" ht="39.6" x14ac:dyDescent="0.3">
      <c r="A295" s="3" t="str">
        <f>'Autoévaluation client'!A301</f>
        <v>4.4.2.</v>
      </c>
      <c r="B295" s="6" t="str">
        <f>'Autoévaluation client'!C301</f>
        <v>Disposez-vous d'instructions internes concernant le fonctionnement normal et particulier d'installations, de machines et d'appareils?</v>
      </c>
      <c r="C295" s="38">
        <f>IF(ISBLANK('Autoévaluation client'!D301),0,1)</f>
        <v>0</v>
      </c>
      <c r="D295" s="165" t="str">
        <f>IF(AND('Autoévaluation client'!D301="",'Autoévaluation client'!E301=""),"*","")</f>
        <v>*</v>
      </c>
      <c r="E295" s="39" t="str">
        <f>IF(ISBLANK('Autoévaluation client'!F301),"",'Autoévaluation client'!F301)</f>
        <v/>
      </c>
      <c r="F295" s="118"/>
      <c r="G295" s="118"/>
      <c r="H295" s="118"/>
      <c r="I295" s="118"/>
      <c r="J295" s="118"/>
      <c r="K295" s="118"/>
      <c r="L295" s="112"/>
      <c r="M295" s="37">
        <v>1</v>
      </c>
      <c r="N295" s="27"/>
      <c r="O295" s="28">
        <f>C295*M295</f>
        <v>0</v>
      </c>
      <c r="P295" s="43">
        <f t="shared" si="48"/>
        <v>0</v>
      </c>
      <c r="Q295" s="36"/>
      <c r="R295" s="27"/>
    </row>
    <row r="296" spans="1:18" ht="39.6" x14ac:dyDescent="0.3">
      <c r="A296" s="3" t="str">
        <f>'Autoévaluation client'!A302</f>
        <v>4.4.3.</v>
      </c>
      <c r="B296" s="6" t="str">
        <f>'Autoévaluation client'!C302</f>
        <v>Connaissez-vous le rapport entre le nombre d'accidents, de presqu'accidents et de perturbations du processus en fonctionnement normal et particulier?</v>
      </c>
      <c r="C296" s="38">
        <f>IF(ISBLANK('Autoévaluation client'!D302),0,1)</f>
        <v>0</v>
      </c>
      <c r="D296" s="165" t="str">
        <f>IF(AND('Autoévaluation client'!D302="",'Autoévaluation client'!E302=""),"*","")</f>
        <v>*</v>
      </c>
      <c r="E296" s="39" t="str">
        <f>IF(ISBLANK('Autoévaluation client'!F302),"",'Autoévaluation client'!F302)</f>
        <v/>
      </c>
      <c r="F296" s="120"/>
      <c r="G296" s="120"/>
      <c r="H296" s="120"/>
      <c r="I296" s="120"/>
      <c r="J296" s="120"/>
      <c r="K296" s="120"/>
      <c r="L296" s="112"/>
      <c r="M296" s="37">
        <v>0</v>
      </c>
      <c r="N296" s="27"/>
      <c r="O296" s="28">
        <f>C296*M296</f>
        <v>0</v>
      </c>
      <c r="P296" s="43">
        <f t="shared" si="48"/>
        <v>0</v>
      </c>
      <c r="Q296" s="36"/>
      <c r="R296" s="36"/>
    </row>
    <row r="297" spans="1:18" x14ac:dyDescent="0.3">
      <c r="A297" s="20" t="str">
        <f>'Autoévaluation client'!A303</f>
        <v>4.5.</v>
      </c>
      <c r="B297" s="20" t="str">
        <f>'Autoévaluation client'!B303</f>
        <v>Maintenance des équipements de travail</v>
      </c>
      <c r="C297" s="21">
        <f>O297/N297</f>
        <v>0</v>
      </c>
      <c r="D297" s="23" t="str">
        <f>IF(ISBLANK('Autoévaluation client'!E303),"",'Autoévaluation client'!E303)</f>
        <v/>
      </c>
      <c r="E297" s="23" t="str">
        <f>IF(ISBLANK('Autoévaluation client'!F303),"",'Autoévaluation client'!F303)</f>
        <v/>
      </c>
      <c r="F297" s="115"/>
      <c r="G297" s="115"/>
      <c r="H297" s="115"/>
      <c r="I297" s="115"/>
      <c r="J297" s="115"/>
      <c r="K297" s="115"/>
      <c r="L297" s="50">
        <f>P297/N297</f>
        <v>0</v>
      </c>
      <c r="M297" s="22">
        <v>2</v>
      </c>
      <c r="N297" s="22">
        <f>SUM(M298:M303)</f>
        <v>6</v>
      </c>
      <c r="O297" s="24">
        <f>SUM(O298:O303)</f>
        <v>0</v>
      </c>
      <c r="P297" s="24">
        <f>SUM(P298:P303)</f>
        <v>0</v>
      </c>
      <c r="Q297" s="52">
        <f>O297/$N297*$M297</f>
        <v>0</v>
      </c>
      <c r="R297" s="52">
        <f>P297/$N297*$M297</f>
        <v>0</v>
      </c>
    </row>
    <row r="298" spans="1:18" ht="106.5" customHeight="1" x14ac:dyDescent="0.3">
      <c r="A298" s="3" t="str">
        <f>'Autoévaluation client'!A304</f>
        <v>4.5.1.</v>
      </c>
      <c r="B298" s="6" t="str">
        <f>'Autoévaluation client'!C304</f>
        <v>Votre entreprise dispose-t-elle d'une unité d'organisation spécifique chargée de la maintenance des équipements de travail*?
*Equipements de travail = ensemble des outils, engins, machines et installations utilisés au travail; installations et appareils techniques (IAT) appartenant à l'environnement de travail (p. ex. ventilation, chauffage, éclairage); équipements de protection individuelle (EPI).</v>
      </c>
      <c r="C298" s="38">
        <f>IF(ISBLANK('Autoévaluation client'!D304),0,1)</f>
        <v>0</v>
      </c>
      <c r="D298" s="165" t="str">
        <f>IF(AND('Autoévaluation client'!D304="",'Autoévaluation client'!E304=""),"*","")</f>
        <v>*</v>
      </c>
      <c r="E298" s="39" t="str">
        <f>IF(ISBLANK('Autoévaluation client'!F304),"",'Autoévaluation client'!F304)</f>
        <v/>
      </c>
      <c r="F298" s="118"/>
      <c r="G298" s="118"/>
      <c r="H298" s="118"/>
      <c r="I298" s="118"/>
      <c r="J298" s="118"/>
      <c r="K298" s="118"/>
      <c r="L298" s="112"/>
      <c r="M298" s="37">
        <v>1</v>
      </c>
      <c r="N298" s="27"/>
      <c r="O298" s="28">
        <f t="shared" ref="O298:O303" si="49">C298*M298</f>
        <v>0</v>
      </c>
      <c r="P298" s="43">
        <f t="shared" ref="P298:P303" si="50">L298*M298</f>
        <v>0</v>
      </c>
      <c r="Q298" s="36"/>
      <c r="R298" s="27"/>
    </row>
    <row r="299" spans="1:18" ht="52.8" x14ac:dyDescent="0.3">
      <c r="A299" s="3" t="str">
        <f>'Autoévaluation client'!A305</f>
        <v>4.5.2.</v>
      </c>
      <c r="B299" s="6" t="str">
        <f>'Autoévaluation client'!C305</f>
        <v>Certains collaborateurs de votre entreprise reçoivent-ils une formation approfondie à la maintenance dispensée par des fabricants ou des fournisseurs d’équipements de travail?</v>
      </c>
      <c r="C299" s="38">
        <f>IF(ISBLANK('Autoévaluation client'!D305),0,1)</f>
        <v>0</v>
      </c>
      <c r="D299" s="165" t="str">
        <f>IF(AND('Autoévaluation client'!D305="",'Autoévaluation client'!E305=""),"*","")</f>
        <v>*</v>
      </c>
      <c r="E299" s="39" t="str">
        <f>IF(ISBLANK('Autoévaluation client'!F305),"",'Autoévaluation client'!F305)</f>
        <v/>
      </c>
      <c r="F299" s="118"/>
      <c r="G299" s="118"/>
      <c r="H299" s="118"/>
      <c r="I299" s="118"/>
      <c r="J299" s="118"/>
      <c r="K299" s="118"/>
      <c r="L299" s="112"/>
      <c r="M299" s="37">
        <v>1</v>
      </c>
      <c r="N299" s="27"/>
      <c r="O299" s="28">
        <f t="shared" si="49"/>
        <v>0</v>
      </c>
      <c r="P299" s="43">
        <f t="shared" si="50"/>
        <v>0</v>
      </c>
      <c r="Q299" s="36"/>
      <c r="R299" s="27"/>
    </row>
    <row r="300" spans="1:18" ht="26.4" x14ac:dyDescent="0.3">
      <c r="A300" s="3" t="str">
        <f>'Autoévaluation client'!A306</f>
        <v>4.5.3.</v>
      </c>
      <c r="B300" s="6" t="str">
        <f>'Autoévaluation client'!C306</f>
        <v>Disposez-vous d'instructions internes concernant la maintenance des équipements de travail?</v>
      </c>
      <c r="C300" s="38">
        <f>IF(ISBLANK('Autoévaluation client'!D306),0,1)</f>
        <v>0</v>
      </c>
      <c r="D300" s="165" t="str">
        <f>IF(AND('Autoévaluation client'!D306="",'Autoévaluation client'!E306=""),"*","")</f>
        <v>*</v>
      </c>
      <c r="E300" s="39" t="str">
        <f>IF(ISBLANK('Autoévaluation client'!F306),"",'Autoévaluation client'!F306)</f>
        <v/>
      </c>
      <c r="F300" s="118"/>
      <c r="G300" s="118"/>
      <c r="H300" s="118"/>
      <c r="I300" s="118"/>
      <c r="J300" s="118"/>
      <c r="K300" s="118"/>
      <c r="L300" s="112"/>
      <c r="M300" s="37">
        <v>1</v>
      </c>
      <c r="N300" s="27"/>
      <c r="O300" s="28">
        <f t="shared" si="49"/>
        <v>0</v>
      </c>
      <c r="P300" s="43">
        <f t="shared" si="50"/>
        <v>0</v>
      </c>
      <c r="Q300" s="36"/>
      <c r="R300" s="27"/>
    </row>
    <row r="301" spans="1:18" ht="52.8" x14ac:dyDescent="0.3">
      <c r="A301" s="3" t="str">
        <f>'Autoévaluation client'!A307</f>
        <v>4.5.4.</v>
      </c>
      <c r="B301" s="6" t="str">
        <f>'Autoévaluation client'!C307</f>
        <v>Les instructions des fabricants et des fournisseurs et, le cas échéant, les instructions internes en matière de maintenance des équipements de travail sont-elles observées?</v>
      </c>
      <c r="C301" s="38">
        <f>IF(ISBLANK('Autoévaluation client'!D307),0,1)</f>
        <v>0</v>
      </c>
      <c r="D301" s="165" t="str">
        <f>IF(AND('Autoévaluation client'!D307="",'Autoévaluation client'!E307=""),"*","")</f>
        <v>*</v>
      </c>
      <c r="E301" s="39" t="str">
        <f>IF(ISBLANK('Autoévaluation client'!F307),"",'Autoévaluation client'!F307)</f>
        <v/>
      </c>
      <c r="F301" s="118"/>
      <c r="G301" s="118"/>
      <c r="H301" s="118"/>
      <c r="I301" s="118"/>
      <c r="J301" s="118"/>
      <c r="K301" s="118"/>
      <c r="L301" s="112"/>
      <c r="M301" s="37">
        <v>1</v>
      </c>
      <c r="N301" s="27"/>
      <c r="O301" s="28">
        <f t="shared" si="49"/>
        <v>0</v>
      </c>
      <c r="P301" s="43">
        <f t="shared" si="50"/>
        <v>0</v>
      </c>
      <c r="Q301" s="36"/>
      <c r="R301" s="27"/>
    </row>
    <row r="302" spans="1:18" ht="39.6" x14ac:dyDescent="0.3">
      <c r="A302" s="3" t="str">
        <f>'Autoévaluation client'!A308</f>
        <v>4.5.5.</v>
      </c>
      <c r="B302" s="6" t="str">
        <f>'Autoévaluation client'!C308</f>
        <v>Les travaux de maintenance sont-ils planifiés (plan de maintenance) et discutés avec les collaborateurs concernés?</v>
      </c>
      <c r="C302" s="38">
        <f>IF(ISBLANK('Autoévaluation client'!D308),0,1)</f>
        <v>0</v>
      </c>
      <c r="D302" s="165" t="str">
        <f>IF(AND('Autoévaluation client'!D308="",'Autoévaluation client'!E308=""),"*","")</f>
        <v>*</v>
      </c>
      <c r="E302" s="39" t="str">
        <f>IF(ISBLANK('Autoévaluation client'!F308),"",'Autoévaluation client'!F308)</f>
        <v/>
      </c>
      <c r="F302" s="118"/>
      <c r="G302" s="118"/>
      <c r="H302" s="118"/>
      <c r="I302" s="118"/>
      <c r="J302" s="118"/>
      <c r="K302" s="118"/>
      <c r="L302" s="112"/>
      <c r="M302" s="37">
        <v>1</v>
      </c>
      <c r="N302" s="27"/>
      <c r="O302" s="28">
        <f t="shared" si="49"/>
        <v>0</v>
      </c>
      <c r="P302" s="43">
        <f t="shared" si="50"/>
        <v>0</v>
      </c>
      <c r="Q302" s="36"/>
      <c r="R302" s="27"/>
    </row>
    <row r="303" spans="1:18" ht="39.6" x14ac:dyDescent="0.3">
      <c r="A303" s="3" t="str">
        <f>'Autoévaluation client'!A309</f>
        <v>4.5.6.</v>
      </c>
      <c r="B303" s="6" t="str">
        <f>'Autoévaluation client'!C309</f>
        <v>L'autorisation d'exploiter les équipements de travail à la suite de travaux de maintenance est-elle accordée en fonction de dispositions de sécurité spécifiques?</v>
      </c>
      <c r="C303" s="38">
        <f>IF(ISBLANK('Autoévaluation client'!D309),0,1)</f>
        <v>0</v>
      </c>
      <c r="D303" s="165" t="str">
        <f>IF(AND('Autoévaluation client'!D309="",'Autoévaluation client'!E309=""),"*","")</f>
        <v>*</v>
      </c>
      <c r="E303" s="39" t="str">
        <f>IF(ISBLANK('Autoévaluation client'!F309),"",'Autoévaluation client'!F309)</f>
        <v/>
      </c>
      <c r="F303" s="120"/>
      <c r="G303" s="120"/>
      <c r="H303" s="120"/>
      <c r="I303" s="120"/>
      <c r="J303" s="120"/>
      <c r="K303" s="120"/>
      <c r="L303" s="112"/>
      <c r="M303" s="37">
        <v>1</v>
      </c>
      <c r="N303" s="27"/>
      <c r="O303" s="28">
        <f t="shared" si="49"/>
        <v>0</v>
      </c>
      <c r="P303" s="43">
        <f t="shared" si="50"/>
        <v>0</v>
      </c>
      <c r="Q303" s="36"/>
      <c r="R303" s="36"/>
    </row>
    <row r="304" spans="1:18" x14ac:dyDescent="0.3">
      <c r="A304" s="20" t="str">
        <f>'Autoévaluation client'!A310</f>
        <v>4.6.</v>
      </c>
      <c r="B304" s="20" t="str">
        <f>'Autoévaluation client'!B310</f>
        <v>Bâtiments et installations</v>
      </c>
      <c r="C304" s="21">
        <f>O304/N304</f>
        <v>0</v>
      </c>
      <c r="D304" s="23" t="str">
        <f>IF(ISBLANK('Autoévaluation client'!E310),"",'Autoévaluation client'!E310)</f>
        <v/>
      </c>
      <c r="E304" s="23" t="str">
        <f>IF(ISBLANK('Autoévaluation client'!F310),"",'Autoévaluation client'!F310)</f>
        <v/>
      </c>
      <c r="F304" s="115"/>
      <c r="G304" s="115"/>
      <c r="H304" s="115"/>
      <c r="I304" s="115"/>
      <c r="J304" s="115"/>
      <c r="K304" s="115"/>
      <c r="L304" s="50">
        <f>P304/N304</f>
        <v>0</v>
      </c>
      <c r="M304" s="22">
        <v>1</v>
      </c>
      <c r="N304" s="22">
        <f>SUM(M305:M308)</f>
        <v>9</v>
      </c>
      <c r="O304" s="24">
        <f>SUM(O305:O308)</f>
        <v>0</v>
      </c>
      <c r="P304" s="24">
        <f>SUM(P305:P308)</f>
        <v>0</v>
      </c>
      <c r="Q304" s="52">
        <f>O304/$N304*$M304</f>
        <v>0</v>
      </c>
      <c r="R304" s="52">
        <f>P304/$N304*$M304</f>
        <v>0</v>
      </c>
    </row>
    <row r="305" spans="1:18" ht="39.6" x14ac:dyDescent="0.3">
      <c r="A305" s="3" t="str">
        <f>'Autoévaluation client'!A311</f>
        <v>4.6.1.</v>
      </c>
      <c r="B305" s="6" t="str">
        <f>'Autoévaluation client'!C311</f>
        <v>Votre entreprise dispose-t-elle d'une unité d'organisation spécifique chargée de la maintenance des bâtiments et des installations?</v>
      </c>
      <c r="C305" s="38">
        <f>IF(ISBLANK('Autoévaluation client'!D311),0,1)</f>
        <v>0</v>
      </c>
      <c r="D305" s="165" t="str">
        <f>IF(AND('Autoévaluation client'!D311="",'Autoévaluation client'!E311=""),"*","")</f>
        <v>*</v>
      </c>
      <c r="E305" s="39" t="str">
        <f>IF(ISBLANK('Autoévaluation client'!F311),"",'Autoévaluation client'!F311)</f>
        <v/>
      </c>
      <c r="F305" s="120"/>
      <c r="G305" s="120"/>
      <c r="H305" s="120"/>
      <c r="I305" s="120"/>
      <c r="J305" s="120"/>
      <c r="K305" s="120"/>
      <c r="L305" s="112"/>
      <c r="M305" s="37">
        <v>2</v>
      </c>
      <c r="N305" s="27"/>
      <c r="O305" s="28">
        <f>M305*C305</f>
        <v>0</v>
      </c>
      <c r="P305" s="43">
        <f t="shared" ref="P305:P308" si="51">L305*M305</f>
        <v>0</v>
      </c>
      <c r="Q305" s="36"/>
      <c r="R305" s="27"/>
    </row>
    <row r="306" spans="1:18" ht="39.6" x14ac:dyDescent="0.3">
      <c r="A306" s="3" t="str">
        <f>'Autoévaluation client'!A312</f>
        <v>4.6.2.</v>
      </c>
      <c r="B306" s="6" t="str">
        <f>'Autoévaluation client'!C312</f>
        <v>Les mises en danger pouvant survenir lors des travaux de maintenance des bâtiments ont-elles été localisées et consignées?</v>
      </c>
      <c r="C306" s="38">
        <f>IF(ISBLANK('Autoévaluation client'!D312),0,1)</f>
        <v>0</v>
      </c>
      <c r="D306" s="165" t="str">
        <f>IF(AND('Autoévaluation client'!D312="",'Autoévaluation client'!E312=""),"*","")</f>
        <v>*</v>
      </c>
      <c r="E306" s="39" t="str">
        <f>IF(ISBLANK('Autoévaluation client'!F312),"",'Autoévaluation client'!F312)</f>
        <v/>
      </c>
      <c r="F306" s="120"/>
      <c r="G306" s="120"/>
      <c r="H306" s="120"/>
      <c r="I306" s="120"/>
      <c r="J306" s="120"/>
      <c r="K306" s="120"/>
      <c r="L306" s="112"/>
      <c r="M306" s="37">
        <v>3</v>
      </c>
      <c r="N306" s="27"/>
      <c r="O306" s="28">
        <f>M306*C306</f>
        <v>0</v>
      </c>
      <c r="P306" s="43">
        <f t="shared" si="51"/>
        <v>0</v>
      </c>
      <c r="Q306" s="36"/>
      <c r="R306" s="36"/>
    </row>
    <row r="307" spans="1:18" ht="39.6" x14ac:dyDescent="0.3">
      <c r="A307" s="3" t="str">
        <f>'Autoévaluation client'!A313</f>
        <v>4.6.3.</v>
      </c>
      <c r="B307" s="6" t="str">
        <f>'Autoévaluation client'!C313</f>
        <v>Disposez-vous de directives et de règles de sécurité en matière de maintenance de bâtiments et d'installations (p. ex. sur l'accessibilité de certaines parties d'un bâtiment)?</v>
      </c>
      <c r="C307" s="38">
        <f>IF(ISBLANK('Autoévaluation client'!D313),0,1)</f>
        <v>0</v>
      </c>
      <c r="D307" s="165" t="str">
        <f>IF(AND('Autoévaluation client'!D313="",'Autoévaluation client'!E313=""),"*","")</f>
        <v>*</v>
      </c>
      <c r="E307" s="39" t="str">
        <f>IF(ISBLANK('Autoévaluation client'!F313),"",'Autoévaluation client'!F313)</f>
        <v/>
      </c>
      <c r="F307" s="118"/>
      <c r="G307" s="118"/>
      <c r="H307" s="118"/>
      <c r="I307" s="118"/>
      <c r="J307" s="118"/>
      <c r="K307" s="118"/>
      <c r="L307" s="112"/>
      <c r="M307" s="37">
        <v>2</v>
      </c>
      <c r="N307" s="27"/>
      <c r="O307" s="28">
        <f>M307*C307</f>
        <v>0</v>
      </c>
      <c r="P307" s="43">
        <f t="shared" si="51"/>
        <v>0</v>
      </c>
      <c r="Q307" s="36"/>
      <c r="R307" s="27"/>
    </row>
    <row r="308" spans="1:18" ht="39.6" x14ac:dyDescent="0.3">
      <c r="A308" s="3" t="str">
        <f>'Autoévaluation client'!A314</f>
        <v>4.6.4.</v>
      </c>
      <c r="B308" s="6" t="str">
        <f>'Autoévaluation client'!C314</f>
        <v>Certains collaborateurs de votre entreprise bénéficient-ils d’une formation et d’une instruction à la maintenance des bâtiments et installations?</v>
      </c>
      <c r="C308" s="38">
        <f>IF(ISBLANK('Autoévaluation client'!D314),0,1)</f>
        <v>0</v>
      </c>
      <c r="D308" s="165" t="str">
        <f>IF(AND('Autoévaluation client'!D314="",'Autoévaluation client'!E314=""),"*","")</f>
        <v>*</v>
      </c>
      <c r="E308" s="39" t="str">
        <f>IF(ISBLANK('Autoévaluation client'!F314),"",'Autoévaluation client'!F314)</f>
        <v/>
      </c>
      <c r="F308" s="120"/>
      <c r="G308" s="120"/>
      <c r="H308" s="120"/>
      <c r="I308" s="120"/>
      <c r="J308" s="120"/>
      <c r="K308" s="120"/>
      <c r="L308" s="112"/>
      <c r="M308" s="37">
        <v>2</v>
      </c>
      <c r="N308" s="27"/>
      <c r="O308" s="28">
        <f>M308*C308</f>
        <v>0</v>
      </c>
      <c r="P308" s="43">
        <f t="shared" si="51"/>
        <v>0</v>
      </c>
      <c r="Q308" s="36"/>
      <c r="R308" s="36"/>
    </row>
    <row r="309" spans="1:18" x14ac:dyDescent="0.3">
      <c r="A309" s="20" t="str">
        <f>'Autoévaluation client'!A315</f>
        <v>4.7.</v>
      </c>
      <c r="B309" s="20" t="str">
        <f>'Autoévaluation client'!B315</f>
        <v xml:space="preserve">Acquisition des équipements de travail </v>
      </c>
      <c r="C309" s="21">
        <f>O309/N309</f>
        <v>0</v>
      </c>
      <c r="D309" s="23" t="str">
        <f>IF(ISBLANK('Autoévaluation client'!E315),"",'Autoévaluation client'!E315)</f>
        <v/>
      </c>
      <c r="E309" s="23" t="str">
        <f>IF(ISBLANK('Autoévaluation client'!F315),"",'Autoévaluation client'!F315)</f>
        <v/>
      </c>
      <c r="F309" s="115"/>
      <c r="G309" s="115"/>
      <c r="H309" s="115"/>
      <c r="I309" s="115"/>
      <c r="J309" s="115"/>
      <c r="K309" s="115"/>
      <c r="L309" s="50">
        <f>P309/N309</f>
        <v>0</v>
      </c>
      <c r="M309" s="22">
        <v>2</v>
      </c>
      <c r="N309" s="22">
        <f>SUM(M310:M316)</f>
        <v>13</v>
      </c>
      <c r="O309" s="24">
        <f>SUM(O310:O316)</f>
        <v>0</v>
      </c>
      <c r="P309" s="24">
        <f>SUM(P310:P316)</f>
        <v>0</v>
      </c>
      <c r="Q309" s="52">
        <f>O309/$N309*$M309</f>
        <v>0</v>
      </c>
      <c r="R309" s="52">
        <f>P309/$N309*$M309</f>
        <v>0</v>
      </c>
    </row>
    <row r="310" spans="1:18" ht="26.4" x14ac:dyDescent="0.3">
      <c r="A310" s="3" t="str">
        <f>'Autoévaluation client'!A316</f>
        <v>4.7.1.</v>
      </c>
      <c r="B310" s="6" t="str">
        <f>'Autoévaluation client'!C316</f>
        <v>Est-il tenu compte des aspects de sécurité lors de l'acquisition d'équipements de travail?</v>
      </c>
      <c r="C310" s="38">
        <f>IF(ISBLANK('Autoévaluation client'!D316),0,1)</f>
        <v>0</v>
      </c>
      <c r="D310" s="165" t="str">
        <f>IF(AND('Autoévaluation client'!D316="",'Autoévaluation client'!E316=""),"*","")</f>
        <v>*</v>
      </c>
      <c r="E310" s="39" t="str">
        <f>IF(ISBLANK('Autoévaluation client'!F316),"",'Autoévaluation client'!F316)</f>
        <v/>
      </c>
      <c r="F310" s="120"/>
      <c r="G310" s="120"/>
      <c r="H310" s="120"/>
      <c r="I310" s="120"/>
      <c r="J310" s="120"/>
      <c r="K310" s="120"/>
      <c r="L310" s="112"/>
      <c r="M310" s="37">
        <v>3</v>
      </c>
      <c r="N310" s="27"/>
      <c r="O310" s="28">
        <f t="shared" ref="O310:O316" si="52">C310*M310</f>
        <v>0</v>
      </c>
      <c r="P310" s="43">
        <f t="shared" ref="P310:P316" si="53">L310*M310</f>
        <v>0</v>
      </c>
      <c r="Q310" s="36"/>
      <c r="R310" s="27"/>
    </row>
    <row r="311" spans="1:18" ht="52.8" x14ac:dyDescent="0.3">
      <c r="A311" s="3" t="str">
        <f>'Autoévaluation client'!A317</f>
        <v>4.7.2.</v>
      </c>
      <c r="B311" s="6" t="str">
        <f>'Autoévaluation client'!C317</f>
        <v>Lors de l'acquisition d'équipements de travail, utilisez-vous des listes de contrôle, des mots-clés ou des dispositions internes spécifiques en vue de contrôler les aspects de sécurité?</v>
      </c>
      <c r="C311" s="38">
        <f>IF(ISBLANK('Autoévaluation client'!D317),0,1)</f>
        <v>0</v>
      </c>
      <c r="D311" s="165" t="str">
        <f>IF(AND('Autoévaluation client'!D317="",'Autoévaluation client'!E317=""),"*","")</f>
        <v>*</v>
      </c>
      <c r="E311" s="39" t="str">
        <f>IF(ISBLANK('Autoévaluation client'!F317),"",'Autoévaluation client'!F317)</f>
        <v/>
      </c>
      <c r="F311" s="118"/>
      <c r="G311" s="118"/>
      <c r="H311" s="118"/>
      <c r="I311" s="118"/>
      <c r="J311" s="118"/>
      <c r="K311" s="118"/>
      <c r="L311" s="112"/>
      <c r="M311" s="37">
        <v>1</v>
      </c>
      <c r="N311" s="27"/>
      <c r="O311" s="28">
        <f t="shared" si="52"/>
        <v>0</v>
      </c>
      <c r="P311" s="43">
        <f t="shared" si="53"/>
        <v>0</v>
      </c>
      <c r="Q311" s="36"/>
      <c r="R311" s="27"/>
    </row>
    <row r="312" spans="1:18" ht="30.75" customHeight="1" x14ac:dyDescent="0.3">
      <c r="A312" s="3" t="str">
        <f>'Autoévaluation client'!A318</f>
        <v>4.7.3.</v>
      </c>
      <c r="B312" s="6" t="str">
        <f>'Autoévaluation client'!C318</f>
        <v>Vérifiez-vous que les équipements de travail, installations et produits sont sûrs avant d'être utilisés par vos employés?</v>
      </c>
      <c r="C312" s="38">
        <f>IF(ISBLANK('Autoévaluation client'!D318),0,1)</f>
        <v>0</v>
      </c>
      <c r="D312" s="165" t="str">
        <f>IF(AND('Autoévaluation client'!D318="",'Autoévaluation client'!E318=""),"*","")</f>
        <v/>
      </c>
      <c r="E312" s="39" t="str">
        <f>IF(ISBLANK('Autoévaluation client'!F318),"",'Autoévaluation client'!F318)</f>
        <v/>
      </c>
      <c r="F312" s="118"/>
      <c r="G312" s="118"/>
      <c r="H312" s="118"/>
      <c r="I312" s="118"/>
      <c r="J312" s="118"/>
      <c r="K312" s="118"/>
      <c r="L312" s="112"/>
      <c r="M312" s="37">
        <v>1</v>
      </c>
      <c r="N312" s="27"/>
      <c r="O312" s="28">
        <f t="shared" si="52"/>
        <v>0</v>
      </c>
      <c r="P312" s="43">
        <f t="shared" ref="P312:P313" si="54">L312*M312</f>
        <v>0</v>
      </c>
      <c r="Q312" s="36"/>
      <c r="R312" s="27"/>
    </row>
    <row r="313" spans="1:18" ht="39.75" customHeight="1" x14ac:dyDescent="0.3">
      <c r="A313" s="3" t="str">
        <f>'Autoévaluation client'!A319</f>
        <v>4.7.4.</v>
      </c>
      <c r="B313" s="6" t="str">
        <f>'Autoévaluation client'!C319</f>
        <v>Est-que les vérifications des équipements de travail, installations et produits sont documentés par vos collaborateurs?</v>
      </c>
      <c r="C313" s="38">
        <f>IF(ISBLANK('Autoévaluation client'!D319),0,1)</f>
        <v>0</v>
      </c>
      <c r="D313" s="165" t="str">
        <f>IF(AND('Autoévaluation client'!D319="",'Autoévaluation client'!E319=""),"*","")</f>
        <v/>
      </c>
      <c r="E313" s="39" t="str">
        <f>IF(ISBLANK('Autoévaluation client'!F319),"",'Autoévaluation client'!F319)</f>
        <v/>
      </c>
      <c r="F313" s="118"/>
      <c r="G313" s="118"/>
      <c r="H313" s="118"/>
      <c r="I313" s="118"/>
      <c r="J313" s="118"/>
      <c r="K313" s="118"/>
      <c r="L313" s="112"/>
      <c r="M313" s="37">
        <v>1</v>
      </c>
      <c r="N313" s="27"/>
      <c r="O313" s="28">
        <f t="shared" si="52"/>
        <v>0</v>
      </c>
      <c r="P313" s="43">
        <f t="shared" si="54"/>
        <v>0</v>
      </c>
      <c r="Q313" s="36"/>
      <c r="R313" s="27"/>
    </row>
    <row r="314" spans="1:18" ht="38.25" customHeight="1" x14ac:dyDescent="0.3">
      <c r="A314" s="3" t="str">
        <f>'Autoévaluation client'!A320</f>
        <v>4.7.5.</v>
      </c>
      <c r="B314" s="6" t="str">
        <f>'Autoévaluation client'!C320</f>
        <v>Exigez-vous de vos fournisseurs des données sur la sécurité, des rapports d'essai, des certificats, des résultats de tests, des références déjà lors de la demande d'offre?</v>
      </c>
      <c r="C314" s="38">
        <f>IF(ISBLANK('Autoévaluation client'!D320),0,1)</f>
        <v>0</v>
      </c>
      <c r="D314" s="165" t="str">
        <f>IF(AND('Autoévaluation client'!D320="",'Autoévaluation client'!E320=""),"*","")</f>
        <v>*</v>
      </c>
      <c r="E314" s="39" t="str">
        <f>IF(ISBLANK('Autoévaluation client'!F320),"",'Autoévaluation client'!F320)</f>
        <v/>
      </c>
      <c r="F314" s="118"/>
      <c r="G314" s="118"/>
      <c r="H314" s="118"/>
      <c r="I314" s="118"/>
      <c r="J314" s="118"/>
      <c r="K314" s="118"/>
      <c r="L314" s="112"/>
      <c r="M314" s="37">
        <v>1</v>
      </c>
      <c r="N314" s="27"/>
      <c r="O314" s="28">
        <f t="shared" si="52"/>
        <v>0</v>
      </c>
      <c r="P314" s="43">
        <f t="shared" si="53"/>
        <v>0</v>
      </c>
      <c r="Q314" s="36"/>
      <c r="R314" s="27"/>
    </row>
    <row r="315" spans="1:18" ht="52.8" x14ac:dyDescent="0.3">
      <c r="A315" s="3" t="str">
        <f>'Autoévaluation client'!A321</f>
        <v>4.7.6.</v>
      </c>
      <c r="B315" s="6" t="str">
        <f>'Autoévaluation client'!C321</f>
        <v>Exigez-vous de vos fournisseurs une déclaration de conformité (déclaration du fabricant) ou, si nécessaire, un examen de type selon l'OSPro*?
* OSPro = ordonnance sur la sécurité des produits</v>
      </c>
      <c r="C315" s="38">
        <f>IF(ISBLANK('Autoévaluation client'!D321),0,1)</f>
        <v>0</v>
      </c>
      <c r="D315" s="165" t="str">
        <f>IF(AND('Autoévaluation client'!D321="",'Autoévaluation client'!E321=""),"*","")</f>
        <v>*</v>
      </c>
      <c r="E315" s="39" t="str">
        <f>IF(ISBLANK('Autoévaluation client'!F321),"",'Autoévaluation client'!F321)</f>
        <v/>
      </c>
      <c r="F315" s="118"/>
      <c r="G315" s="118"/>
      <c r="H315" s="118"/>
      <c r="I315" s="118"/>
      <c r="J315" s="118"/>
      <c r="K315" s="118"/>
      <c r="L315" s="112"/>
      <c r="M315" s="37">
        <v>3</v>
      </c>
      <c r="N315" s="27"/>
      <c r="O315" s="28">
        <f t="shared" si="52"/>
        <v>0</v>
      </c>
      <c r="P315" s="43">
        <f t="shared" si="53"/>
        <v>0</v>
      </c>
      <c r="Q315" s="36"/>
      <c r="R315" s="27"/>
    </row>
    <row r="316" spans="1:18" ht="26.4" x14ac:dyDescent="0.3">
      <c r="A316" s="3" t="str">
        <f>'Autoévaluation client'!A322</f>
        <v>4.7.7.</v>
      </c>
      <c r="B316" s="6" t="str">
        <f>'Autoévaluation client'!C322</f>
        <v>Les déclarations de conformité sont-elles contrôlées quant à leur intégralité puis archivées?</v>
      </c>
      <c r="C316" s="38">
        <f>IF(ISBLANK('Autoévaluation client'!D322),0,1)</f>
        <v>0</v>
      </c>
      <c r="D316" s="165" t="str">
        <f>IF(AND('Autoévaluation client'!D322="",'Autoévaluation client'!E322=""),"*","")</f>
        <v>*</v>
      </c>
      <c r="E316" s="39" t="str">
        <f>IF(ISBLANK('Autoévaluation client'!F322),"",'Autoévaluation client'!F322)</f>
        <v/>
      </c>
      <c r="F316" s="118"/>
      <c r="G316" s="118"/>
      <c r="H316" s="118"/>
      <c r="I316" s="118"/>
      <c r="J316" s="118"/>
      <c r="K316" s="118"/>
      <c r="L316" s="112"/>
      <c r="M316" s="37">
        <v>3</v>
      </c>
      <c r="N316" s="27"/>
      <c r="O316" s="28">
        <f t="shared" si="52"/>
        <v>0</v>
      </c>
      <c r="P316" s="43">
        <f t="shared" si="53"/>
        <v>0</v>
      </c>
      <c r="Q316" s="36"/>
      <c r="R316" s="27"/>
    </row>
    <row r="317" spans="1:18" x14ac:dyDescent="0.3">
      <c r="A317" s="20" t="s">
        <v>1568</v>
      </c>
      <c r="B317" s="20" t="s">
        <v>1569</v>
      </c>
      <c r="C317" s="21">
        <f>O317/N317</f>
        <v>1</v>
      </c>
      <c r="D317" s="23" t="str">
        <f>IF(ISBLANK('Autoévaluation client'!E323),"",'Autoévaluation client'!E323)</f>
        <v/>
      </c>
      <c r="E317" s="23" t="str">
        <f>IF(ISBLANK('Autoévaluation client'!F323),"",'Autoévaluation client'!F323)</f>
        <v/>
      </c>
      <c r="F317" s="115"/>
      <c r="G317" s="115"/>
      <c r="H317" s="115"/>
      <c r="I317" s="115"/>
      <c r="J317" s="115"/>
      <c r="K317" s="115"/>
      <c r="L317" s="50">
        <f>P317/N317</f>
        <v>0</v>
      </c>
      <c r="M317" s="22">
        <v>10</v>
      </c>
      <c r="N317" s="22">
        <f>M318</f>
        <v>5</v>
      </c>
      <c r="O317" s="24">
        <f>O318</f>
        <v>5</v>
      </c>
      <c r="P317" s="24">
        <f>P318</f>
        <v>0</v>
      </c>
      <c r="Q317" s="52">
        <f>O317/$N317*$M317</f>
        <v>10</v>
      </c>
      <c r="R317" s="52">
        <f>P317/$N317*$M317</f>
        <v>0</v>
      </c>
    </row>
    <row r="318" spans="1:18" ht="26.4" x14ac:dyDescent="0.3">
      <c r="A318" s="3" t="s">
        <v>1570</v>
      </c>
      <c r="B318" s="6" t="s">
        <v>1571</v>
      </c>
      <c r="C318" s="38">
        <v>1</v>
      </c>
      <c r="D318" s="165" t="str">
        <f>IF(AND('Autoévaluation client'!D324="",'Autoévaluation client'!E324=""),"*","")</f>
        <v>*</v>
      </c>
      <c r="E318" s="39" t="str">
        <f>IF(ISBLANK('Autoévaluation client'!F324),"",'Autoévaluation client'!F324)</f>
        <v/>
      </c>
      <c r="F318" s="120"/>
      <c r="G318" s="120"/>
      <c r="H318" s="120"/>
      <c r="I318" s="120"/>
      <c r="J318" s="120"/>
      <c r="K318" s="120"/>
      <c r="L318" s="112"/>
      <c r="M318" s="37">
        <v>5</v>
      </c>
      <c r="N318" s="27"/>
      <c r="O318" s="28">
        <f>C318*M318</f>
        <v>5</v>
      </c>
      <c r="P318" s="43">
        <f t="shared" ref="P318" si="55">L318*M318</f>
        <v>0</v>
      </c>
      <c r="Q318" s="36"/>
      <c r="R318" s="27"/>
    </row>
    <row r="319" spans="1:18" ht="26.4" x14ac:dyDescent="0.3">
      <c r="A319" s="34" t="str">
        <f>'Autoévaluation client'!A324</f>
        <v>5.</v>
      </c>
      <c r="B319" s="7" t="str">
        <f>'Autoévaluation client'!B324</f>
        <v>Détermination des phénomènes dangereux et évaluation des risques</v>
      </c>
      <c r="C319" s="30">
        <f>O319/N319</f>
        <v>3.4090909090909088E-2</v>
      </c>
      <c r="D319" s="18"/>
      <c r="E319" s="18"/>
      <c r="F319" s="18"/>
      <c r="G319" s="18"/>
      <c r="H319" s="18"/>
      <c r="I319" s="18"/>
      <c r="J319" s="18"/>
      <c r="K319" s="18"/>
      <c r="L319" s="114">
        <f>P319/N319</f>
        <v>3.4090909090909088E-2</v>
      </c>
      <c r="M319" s="5"/>
      <c r="N319" s="5">
        <f>SUM(M320,M326,M340,M350)</f>
        <v>11</v>
      </c>
      <c r="O319" s="48">
        <f>SUM(Q320:Q367)</f>
        <v>0.375</v>
      </c>
      <c r="P319" s="48">
        <f>SUM(R320:R367)</f>
        <v>0.375</v>
      </c>
      <c r="Q319" s="35"/>
      <c r="R319" s="35"/>
    </row>
    <row r="320" spans="1:18" x14ac:dyDescent="0.3">
      <c r="A320" s="20" t="str">
        <f>'Autoévaluation client'!A326</f>
        <v>5.1.</v>
      </c>
      <c r="B320" s="20" t="str">
        <f>'Autoévaluation client'!B326</f>
        <v>Appel à des spécialistes (selon la directive CFST 6508)</v>
      </c>
      <c r="C320" s="21">
        <f>O320/N320</f>
        <v>0</v>
      </c>
      <c r="D320" s="23"/>
      <c r="E320" s="23"/>
      <c r="F320" s="115"/>
      <c r="G320" s="115"/>
      <c r="H320" s="115"/>
      <c r="I320" s="115"/>
      <c r="J320" s="115"/>
      <c r="K320" s="115"/>
      <c r="L320" s="50">
        <f>P320/N320</f>
        <v>0</v>
      </c>
      <c r="M320" s="22">
        <v>1</v>
      </c>
      <c r="N320" s="46">
        <f>MAX(M321:M325)</f>
        <v>1</v>
      </c>
      <c r="O320" s="42">
        <f>MAX(O321:O325)</f>
        <v>0</v>
      </c>
      <c r="P320" s="42">
        <f>MAX(P321:P325)</f>
        <v>0</v>
      </c>
      <c r="Q320" s="52">
        <f>O320/N320*M320</f>
        <v>0</v>
      </c>
      <c r="R320" s="52">
        <f>P320/N320*$M320</f>
        <v>0</v>
      </c>
    </row>
    <row r="321" spans="1:18" ht="99" customHeight="1" x14ac:dyDescent="0.3">
      <c r="A321" s="3" t="str">
        <f>'Autoévaluation client'!A327</f>
        <v>5.1.1.a</v>
      </c>
      <c r="B321" s="6" t="str">
        <f>'Autoévaluation client'!C327</f>
        <v>De quelle manière avez-vous défini dans votre entreprise le recours à des médecins du travail et à d'autres spécialistes de la sécurité au travail:
Solution propre à votre entreprise?
Si oui, les noms des médecins du travail et des spécialistes compétents doivent être insérés dans la feuille de calcul «Personnes clés pour la sécurité»</v>
      </c>
      <c r="C321" s="38">
        <f>IF(ISBLANK('Autoévaluation client'!D327),0,1)</f>
        <v>0</v>
      </c>
      <c r="D321" s="165" t="str">
        <f>IF(AND('Autoévaluation client'!D327="",'Autoévaluation client'!E327=""),"*","")</f>
        <v>*</v>
      </c>
      <c r="E321" s="39" t="str">
        <f>IF(ISBLANK('Autoévaluation client'!F327),"",'Autoévaluation client'!F327)</f>
        <v/>
      </c>
      <c r="F321" s="120"/>
      <c r="G321" s="120"/>
      <c r="H321" s="120"/>
      <c r="I321" s="120"/>
      <c r="J321" s="120"/>
      <c r="K321" s="120"/>
      <c r="L321" s="112"/>
      <c r="M321" s="37">
        <v>1</v>
      </c>
      <c r="N321" s="27"/>
      <c r="O321" s="28">
        <f>M321*C321</f>
        <v>0</v>
      </c>
      <c r="P321" s="43">
        <f t="shared" ref="P321:P325" si="56">L321*M321</f>
        <v>0</v>
      </c>
      <c r="Q321" s="36"/>
      <c r="R321" s="27"/>
    </row>
    <row r="322" spans="1:18" ht="26.4" x14ac:dyDescent="0.3">
      <c r="A322" s="3" t="str">
        <f>'Autoévaluation client'!A328</f>
        <v>5.1.1.b</v>
      </c>
      <c r="B322" s="6" t="str">
        <f>'Autoévaluation client'!C328</f>
        <v>Participation à la solution par branche? Si oui, veuillez inscrire quelle solution par branche.</v>
      </c>
      <c r="C322" s="38">
        <f>IF(ISBLANK('Autoévaluation client'!D328),0,1)</f>
        <v>0</v>
      </c>
      <c r="D322" s="165" t="str">
        <f>IF(AND('Autoévaluation client'!D328="",'Autoévaluation client'!E328=""),"*","")</f>
        <v>*</v>
      </c>
      <c r="E322" s="39" t="str">
        <f>IF(ISBLANK('Autoévaluation client'!F328),"",'Autoévaluation client'!F328)</f>
        <v/>
      </c>
      <c r="F322" s="118"/>
      <c r="G322" s="118"/>
      <c r="H322" s="118"/>
      <c r="I322" s="118"/>
      <c r="J322" s="118"/>
      <c r="K322" s="118"/>
      <c r="L322" s="112"/>
      <c r="M322" s="37">
        <v>1</v>
      </c>
      <c r="N322" s="27"/>
      <c r="O322" s="28">
        <f>M322*C322</f>
        <v>0</v>
      </c>
      <c r="P322" s="43">
        <f t="shared" si="56"/>
        <v>0</v>
      </c>
      <c r="Q322" s="36"/>
      <c r="R322" s="27"/>
    </row>
    <row r="323" spans="1:18" ht="26.4" x14ac:dyDescent="0.3">
      <c r="A323" s="3" t="str">
        <f>'Autoévaluation client'!A329</f>
        <v>5.1.1.c</v>
      </c>
      <c r="B323" s="6" t="str">
        <f>'Autoévaluation client'!C329</f>
        <v>Participation à la solution par groupe d'entreprises? Si oui, veuillez inscrire quelle solution par groupe d'entreprises?</v>
      </c>
      <c r="C323" s="38">
        <f>IF(ISBLANK('Autoévaluation client'!D329),0,1)</f>
        <v>0</v>
      </c>
      <c r="D323" s="165" t="str">
        <f>IF(AND('Autoévaluation client'!D329="",'Autoévaluation client'!E329=""),"*","")</f>
        <v>*</v>
      </c>
      <c r="E323" s="39" t="str">
        <f>IF(ISBLANK('Autoévaluation client'!F329),"",'Autoévaluation client'!F329)</f>
        <v/>
      </c>
      <c r="F323" s="118"/>
      <c r="G323" s="118"/>
      <c r="H323" s="118"/>
      <c r="I323" s="118"/>
      <c r="J323" s="118"/>
      <c r="K323" s="118"/>
      <c r="L323" s="112"/>
      <c r="M323" s="37">
        <v>1</v>
      </c>
      <c r="N323" s="27"/>
      <c r="O323" s="28">
        <f>M323*C323</f>
        <v>0</v>
      </c>
      <c r="P323" s="43">
        <f t="shared" si="56"/>
        <v>0</v>
      </c>
      <c r="Q323" s="36"/>
      <c r="R323" s="27"/>
    </row>
    <row r="324" spans="1:18" x14ac:dyDescent="0.3">
      <c r="A324" s="3" t="str">
        <f>'Autoévaluation client'!A330</f>
        <v>5.1.1.d</v>
      </c>
      <c r="B324" s="6" t="str">
        <f>'Autoévaluation client'!C330</f>
        <v>Solution type?  Si oui, laquelle?</v>
      </c>
      <c r="C324" s="38">
        <f>IF(ISBLANK('Autoévaluation client'!D330),0,1)</f>
        <v>0</v>
      </c>
      <c r="D324" s="165" t="str">
        <f>IF(AND('Autoévaluation client'!D330="",'Autoévaluation client'!E330=""),"*","")</f>
        <v>*</v>
      </c>
      <c r="E324" s="39" t="str">
        <f>IF(ISBLANK('Autoévaluation client'!F330),"",'Autoévaluation client'!F330)</f>
        <v/>
      </c>
      <c r="F324" s="118"/>
      <c r="G324" s="118"/>
      <c r="H324" s="118"/>
      <c r="I324" s="118"/>
      <c r="J324" s="118"/>
      <c r="K324" s="118"/>
      <c r="L324" s="112"/>
      <c r="M324" s="37">
        <v>1</v>
      </c>
      <c r="N324" s="27"/>
      <c r="O324" s="28">
        <f>M324*C324</f>
        <v>0</v>
      </c>
      <c r="P324" s="43">
        <f t="shared" si="56"/>
        <v>0</v>
      </c>
      <c r="Q324" s="36"/>
      <c r="R324" s="27"/>
    </row>
    <row r="325" spans="1:18" x14ac:dyDescent="0.3">
      <c r="A325" s="3" t="str">
        <f>'Autoévaluation client'!A331</f>
        <v>5.1.1.e</v>
      </c>
      <c r="B325" s="6" t="str">
        <f>'Autoévaluation client'!C331</f>
        <v>Autre solution? Si oui, laquellle?</v>
      </c>
      <c r="C325" s="38">
        <f>IF(ISBLANK('Autoévaluation client'!D331),0,1)</f>
        <v>0</v>
      </c>
      <c r="D325" s="165" t="str">
        <f>IF(AND('Autoévaluation client'!D331="",'Autoévaluation client'!E331=""),"*","")</f>
        <v>*</v>
      </c>
      <c r="E325" s="39" t="str">
        <f>IF(ISBLANK('Autoévaluation client'!F331),"",'Autoévaluation client'!F331)</f>
        <v/>
      </c>
      <c r="F325" s="118"/>
      <c r="G325" s="118"/>
      <c r="H325" s="118"/>
      <c r="I325" s="118"/>
      <c r="J325" s="118"/>
      <c r="K325" s="118"/>
      <c r="L325" s="112"/>
      <c r="M325" s="37">
        <v>1</v>
      </c>
      <c r="N325" s="27"/>
      <c r="O325" s="28">
        <f>M325*C325</f>
        <v>0</v>
      </c>
      <c r="P325" s="43">
        <f t="shared" si="56"/>
        <v>0</v>
      </c>
      <c r="Q325" s="36"/>
      <c r="R325" s="27"/>
    </row>
    <row r="326" spans="1:18" x14ac:dyDescent="0.3">
      <c r="A326" s="20" t="str">
        <f>'Autoévaluation client'!A332</f>
        <v>5.2.</v>
      </c>
      <c r="B326" s="20" t="str">
        <f>'Autoévaluation client'!B332</f>
        <v>Détermination des phénomènes dangereux</v>
      </c>
      <c r="C326" s="21">
        <f>O326/N326</f>
        <v>0</v>
      </c>
      <c r="D326" s="23" t="str">
        <f>IF(ISBLANK('Autoévaluation client'!E332),"",'Autoévaluation client'!E332)</f>
        <v/>
      </c>
      <c r="E326" s="23" t="str">
        <f>IF(ISBLANK('Autoévaluation client'!F332),"",'Autoévaluation client'!F332)</f>
        <v/>
      </c>
      <c r="F326" s="115"/>
      <c r="G326" s="115"/>
      <c r="H326" s="115"/>
      <c r="I326" s="115"/>
      <c r="J326" s="115"/>
      <c r="K326" s="115"/>
      <c r="L326" s="50">
        <f>P326/N326</f>
        <v>0</v>
      </c>
      <c r="M326" s="22">
        <v>3</v>
      </c>
      <c r="N326" s="22">
        <f>SUM(M327:M339)</f>
        <v>16</v>
      </c>
      <c r="O326" s="24">
        <f>SUM(O327:O339)</f>
        <v>0</v>
      </c>
      <c r="P326" s="24">
        <f>SUM(P327:P339)</f>
        <v>0</v>
      </c>
      <c r="Q326" s="52">
        <f>O326/$N326*$M326</f>
        <v>0</v>
      </c>
      <c r="R326" s="52">
        <f>P326/$N326*$M326</f>
        <v>0</v>
      </c>
    </row>
    <row r="327" spans="1:18" ht="52.8" x14ac:dyDescent="0.3">
      <c r="A327" s="3" t="str">
        <f>'Autoévaluation client'!A333</f>
        <v>5.2.1.</v>
      </c>
      <c r="B327" s="6" t="str">
        <f>'Autoévaluation client'!C333</f>
        <v xml:space="preserve">Les dangers concernant la sécurité et la santé des travailleurs dans votre entreprise ont-ils été déterminés et consignés?
Si oui, à l'aide de quelles méthodes? </v>
      </c>
      <c r="C327" s="38">
        <f>IF(ISBLANK('Autoévaluation client'!D333),0,1)</f>
        <v>0</v>
      </c>
      <c r="D327" s="165" t="str">
        <f>IF(AND('Autoévaluation client'!D333="",'Autoévaluation client'!E333=""),"*","")</f>
        <v>*</v>
      </c>
      <c r="E327" s="39" t="str">
        <f>IF(ISBLANK('Autoévaluation client'!F333),"",'Autoévaluation client'!F333)</f>
        <v/>
      </c>
      <c r="F327" s="118"/>
      <c r="G327" s="118"/>
      <c r="H327" s="118"/>
      <c r="I327" s="118"/>
      <c r="J327" s="118"/>
      <c r="K327" s="118"/>
      <c r="L327" s="112"/>
      <c r="M327" s="37">
        <v>3</v>
      </c>
      <c r="N327" s="27"/>
      <c r="O327" s="28">
        <f t="shared" ref="O327:O339" si="57">C327*M327</f>
        <v>0</v>
      </c>
      <c r="P327" s="43">
        <f t="shared" ref="P327:P339" si="58">L327*M327</f>
        <v>0</v>
      </c>
      <c r="Q327" s="36"/>
      <c r="R327" s="27"/>
    </row>
    <row r="328" spans="1:18" ht="39.6" x14ac:dyDescent="0.3">
      <c r="A328" s="3" t="str">
        <f>'Autoévaluation client'!A334</f>
        <v>5.2.2.a</v>
      </c>
      <c r="B328" s="6" t="str">
        <f>'Autoévaluation client'!C334</f>
        <v>À quelle situation, respectivement à quels éléments se rapporte la détermination des phénomènes dangereux:
Equipements de travail?</v>
      </c>
      <c r="C328" s="38">
        <f>IF(ISBLANK('Autoévaluation client'!D334),0,1)</f>
        <v>0</v>
      </c>
      <c r="D328" s="165" t="str">
        <f>IF(AND('Autoévaluation client'!D334="",'Autoévaluation client'!E334=""),"*","")</f>
        <v>*</v>
      </c>
      <c r="E328" s="39" t="str">
        <f>IF(ISBLANK('Autoévaluation client'!F334),"",'Autoévaluation client'!F334)</f>
        <v/>
      </c>
      <c r="F328" s="118"/>
      <c r="G328" s="118"/>
      <c r="H328" s="118"/>
      <c r="I328" s="118"/>
      <c r="J328" s="118"/>
      <c r="K328" s="118"/>
      <c r="L328" s="112"/>
      <c r="M328" s="37">
        <v>1</v>
      </c>
      <c r="N328" s="27"/>
      <c r="O328" s="28">
        <f t="shared" si="57"/>
        <v>0</v>
      </c>
      <c r="P328" s="43">
        <f t="shared" si="58"/>
        <v>0</v>
      </c>
      <c r="Q328" s="36"/>
      <c r="R328" s="27"/>
    </row>
    <row r="329" spans="1:18" x14ac:dyDescent="0.3">
      <c r="A329" s="3" t="str">
        <f>'Autoévaluation client'!A335</f>
        <v>5.2.2.b</v>
      </c>
      <c r="B329" s="6" t="str">
        <f>'Autoévaluation client'!C335</f>
        <v>Processus de travail, méthodes, procédés?</v>
      </c>
      <c r="C329" s="38">
        <f>IF(ISBLANK('Autoévaluation client'!D335),0,1)</f>
        <v>0</v>
      </c>
      <c r="D329" s="165" t="str">
        <f>IF(AND('Autoévaluation client'!D335="",'Autoévaluation client'!E335=""),"*","")</f>
        <v>*</v>
      </c>
      <c r="E329" s="39" t="str">
        <f>IF(ISBLANK('Autoévaluation client'!F335),"",'Autoévaluation client'!F335)</f>
        <v/>
      </c>
      <c r="F329" s="118"/>
      <c r="G329" s="118"/>
      <c r="H329" s="118"/>
      <c r="I329" s="118"/>
      <c r="J329" s="118"/>
      <c r="K329" s="118"/>
      <c r="L329" s="112"/>
      <c r="M329" s="37">
        <v>1</v>
      </c>
      <c r="N329" s="27"/>
      <c r="O329" s="28">
        <f t="shared" si="57"/>
        <v>0</v>
      </c>
      <c r="P329" s="43">
        <f t="shared" si="58"/>
        <v>0</v>
      </c>
      <c r="Q329" s="36"/>
      <c r="R329" s="27"/>
    </row>
    <row r="330" spans="1:18" x14ac:dyDescent="0.3">
      <c r="A330" s="3" t="str">
        <f>'Autoévaluation client'!A336</f>
        <v>5.2.2.c</v>
      </c>
      <c r="B330" s="6" t="str">
        <f>'Autoévaluation client'!C336</f>
        <v>Activités?</v>
      </c>
      <c r="C330" s="38">
        <f>IF(ISBLANK('Autoévaluation client'!D336),0,1)</f>
        <v>0</v>
      </c>
      <c r="D330" s="165" t="str">
        <f>IF(AND('Autoévaluation client'!D336="",'Autoévaluation client'!E336=""),"*","")</f>
        <v>*</v>
      </c>
      <c r="E330" s="39" t="str">
        <f>IF(ISBLANK('Autoévaluation client'!F336),"",'Autoévaluation client'!F336)</f>
        <v/>
      </c>
      <c r="F330" s="120"/>
      <c r="G330" s="120"/>
      <c r="H330" s="120"/>
      <c r="I330" s="120"/>
      <c r="J330" s="120"/>
      <c r="K330" s="120"/>
      <c r="L330" s="112"/>
      <c r="M330" s="37">
        <v>0</v>
      </c>
      <c r="N330" s="27"/>
      <c r="O330" s="28">
        <f t="shared" si="57"/>
        <v>0</v>
      </c>
      <c r="P330" s="43">
        <f t="shared" si="58"/>
        <v>0</v>
      </c>
      <c r="Q330" s="36"/>
      <c r="R330" s="36"/>
    </row>
    <row r="331" spans="1:18" x14ac:dyDescent="0.3">
      <c r="A331" s="3" t="str">
        <f>'Autoévaluation client'!A337</f>
        <v>5.2.2.d</v>
      </c>
      <c r="B331" s="6" t="str">
        <f>'Autoévaluation client'!C337</f>
        <v>Places de travail?</v>
      </c>
      <c r="C331" s="38">
        <f>IF(ISBLANK('Autoévaluation client'!D337),0,1)</f>
        <v>0</v>
      </c>
      <c r="D331" s="165" t="str">
        <f>IF(AND('Autoévaluation client'!D337="",'Autoévaluation client'!E337=""),"*","")</f>
        <v>*</v>
      </c>
      <c r="E331" s="39" t="str">
        <f>IF(ISBLANK('Autoévaluation client'!F337),"",'Autoévaluation client'!F337)</f>
        <v/>
      </c>
      <c r="F331" s="120"/>
      <c r="G331" s="120"/>
      <c r="H331" s="120"/>
      <c r="I331" s="120"/>
      <c r="J331" s="120"/>
      <c r="K331" s="120"/>
      <c r="L331" s="112"/>
      <c r="M331" s="37">
        <v>1</v>
      </c>
      <c r="N331" s="27"/>
      <c r="O331" s="28">
        <f t="shared" si="57"/>
        <v>0</v>
      </c>
      <c r="P331" s="43">
        <f t="shared" si="58"/>
        <v>0</v>
      </c>
      <c r="Q331" s="36"/>
      <c r="R331" s="27"/>
    </row>
    <row r="332" spans="1:18" ht="27" customHeight="1" x14ac:dyDescent="0.3">
      <c r="A332" s="3" t="str">
        <f>'Autoévaluation client'!A338</f>
        <v>5.2.2.e</v>
      </c>
      <c r="B332" s="6" t="str">
        <f>'Autoévaluation client'!C338</f>
        <v>Activités et places de travail avec soustraitants (p.ex. entreprise tierce)</v>
      </c>
      <c r="C332" s="38">
        <f>IF(ISBLANK('Autoévaluation client'!D338),0,1)</f>
        <v>0</v>
      </c>
      <c r="D332" s="165" t="str">
        <f>IF(AND('Autoévaluation client'!D338="",'Autoévaluation client'!E338=""),"*","")</f>
        <v>*</v>
      </c>
      <c r="E332" s="39" t="str">
        <f>IF(ISBLANK('Autoévaluation client'!F338),"",'Autoévaluation client'!F338)</f>
        <v/>
      </c>
      <c r="F332" s="118"/>
      <c r="G332" s="118"/>
      <c r="H332" s="118"/>
      <c r="I332" s="118"/>
      <c r="J332" s="118"/>
      <c r="K332" s="118"/>
      <c r="L332" s="112"/>
      <c r="M332" s="37">
        <v>1</v>
      </c>
      <c r="N332" s="27"/>
      <c r="O332" s="28">
        <f t="shared" ref="O332" si="59">C332*M332</f>
        <v>0</v>
      </c>
      <c r="P332" s="43">
        <f t="shared" ref="P332" si="60">L332*M332</f>
        <v>0</v>
      </c>
      <c r="Q332" s="36"/>
      <c r="R332" s="27"/>
    </row>
    <row r="333" spans="1:18" x14ac:dyDescent="0.3">
      <c r="A333" s="3" t="str">
        <f>'Autoévaluation client'!A339</f>
        <v>5.2.2.f</v>
      </c>
      <c r="B333" s="6" t="str">
        <f>'Autoévaluation client'!C339</f>
        <v>Produits?</v>
      </c>
      <c r="C333" s="38">
        <f>IF(ISBLANK('Autoévaluation client'!D339),0,1)</f>
        <v>0</v>
      </c>
      <c r="D333" s="165" t="str">
        <f>IF(AND('Autoévaluation client'!D339="",'Autoévaluation client'!E339=""),"*","")</f>
        <v>*</v>
      </c>
      <c r="E333" s="39" t="str">
        <f>IF(ISBLANK('Autoévaluation client'!F339),"",'Autoévaluation client'!F339)</f>
        <v/>
      </c>
      <c r="F333" s="118"/>
      <c r="G333" s="118"/>
      <c r="H333" s="118"/>
      <c r="I333" s="118"/>
      <c r="J333" s="118"/>
      <c r="K333" s="118"/>
      <c r="L333" s="112"/>
      <c r="M333" s="37">
        <v>1</v>
      </c>
      <c r="N333" s="27"/>
      <c r="O333" s="28">
        <f t="shared" si="57"/>
        <v>0</v>
      </c>
      <c r="P333" s="43">
        <f t="shared" si="58"/>
        <v>0</v>
      </c>
      <c r="Q333" s="36"/>
      <c r="R333" s="27"/>
    </row>
    <row r="334" spans="1:18" x14ac:dyDescent="0.3">
      <c r="A334" s="3" t="str">
        <f>'Autoévaluation client'!A340</f>
        <v>5.2.2.g</v>
      </c>
      <c r="B334" s="6" t="str">
        <f>'Autoévaluation client'!C340</f>
        <v>Substances dangereuses pour la santé?</v>
      </c>
      <c r="C334" s="38">
        <f>IF(ISBLANK('Autoévaluation client'!D340),0,1)</f>
        <v>0</v>
      </c>
      <c r="D334" s="165" t="str">
        <f>IF(AND('Autoévaluation client'!D340="",'Autoévaluation client'!E340=""),"*","")</f>
        <v>*</v>
      </c>
      <c r="E334" s="39" t="str">
        <f>IF(ISBLANK('Autoévaluation client'!F340),"",'Autoévaluation client'!F340)</f>
        <v/>
      </c>
      <c r="F334" s="118"/>
      <c r="G334" s="118"/>
      <c r="H334" s="118"/>
      <c r="I334" s="118"/>
      <c r="J334" s="118"/>
      <c r="K334" s="118"/>
      <c r="L334" s="112"/>
      <c r="M334" s="37">
        <v>1</v>
      </c>
      <c r="N334" s="27"/>
      <c r="O334" s="28">
        <f t="shared" si="57"/>
        <v>0</v>
      </c>
      <c r="P334" s="43">
        <f t="shared" si="58"/>
        <v>0</v>
      </c>
      <c r="Q334" s="36"/>
      <c r="R334" s="27"/>
    </row>
    <row r="335" spans="1:18" x14ac:dyDescent="0.3">
      <c r="A335" s="3" t="str">
        <f>'Autoévaluation client'!A341</f>
        <v>5.2.2.h</v>
      </c>
      <c r="B335" s="6" t="str">
        <f>'Autoévaluation client'!C341</f>
        <v>Autres faits ou objets? Si oui, lesquels?</v>
      </c>
      <c r="C335" s="38">
        <f>IF(ISBLANK('Autoévaluation client'!D341),0,1)</f>
        <v>0</v>
      </c>
      <c r="D335" s="165" t="str">
        <f>IF(AND('Autoévaluation client'!D341="",'Autoévaluation client'!E341=""),"*","")</f>
        <v>*</v>
      </c>
      <c r="E335" s="39" t="str">
        <f>IF(ISBLANK('Autoévaluation client'!F341),"",'Autoévaluation client'!F341)</f>
        <v/>
      </c>
      <c r="F335" s="118"/>
      <c r="G335" s="118"/>
      <c r="H335" s="118"/>
      <c r="I335" s="118"/>
      <c r="J335" s="118"/>
      <c r="K335" s="118"/>
      <c r="L335" s="112"/>
      <c r="M335" s="37">
        <v>0</v>
      </c>
      <c r="N335" s="27"/>
      <c r="O335" s="28">
        <f t="shared" si="57"/>
        <v>0</v>
      </c>
      <c r="P335" s="43">
        <f t="shared" si="58"/>
        <v>0</v>
      </c>
      <c r="Q335" s="36"/>
      <c r="R335" s="27"/>
    </row>
    <row r="336" spans="1:18" ht="39.6" x14ac:dyDescent="0.3">
      <c r="A336" s="3" t="str">
        <f>'Autoévaluation client'!A342</f>
        <v>5.2.3.</v>
      </c>
      <c r="B336" s="6" t="str">
        <f>'Autoévaluation client'!C342</f>
        <v>La détermination des phénomènes dangereux est-elle régulièrement vérifiée et adaptée en fonction des changements dans l'entreprise?</v>
      </c>
      <c r="C336" s="38">
        <f>IF(ISBLANK('Autoévaluation client'!D342),0,1)</f>
        <v>0</v>
      </c>
      <c r="D336" s="165" t="str">
        <f>IF(AND('Autoévaluation client'!D342="",'Autoévaluation client'!E342=""),"*","")</f>
        <v>*</v>
      </c>
      <c r="E336" s="39" t="str">
        <f>IF(ISBLANK('Autoévaluation client'!F342),"",'Autoévaluation client'!F342)</f>
        <v/>
      </c>
      <c r="F336" s="118"/>
      <c r="G336" s="118"/>
      <c r="H336" s="118"/>
      <c r="I336" s="118"/>
      <c r="J336" s="118"/>
      <c r="K336" s="118"/>
      <c r="L336" s="112"/>
      <c r="M336" s="37">
        <v>3</v>
      </c>
      <c r="N336" s="27"/>
      <c r="O336" s="28">
        <f t="shared" si="57"/>
        <v>0</v>
      </c>
      <c r="P336" s="43">
        <f t="shared" si="58"/>
        <v>0</v>
      </c>
      <c r="Q336" s="36"/>
      <c r="R336" s="27"/>
    </row>
    <row r="337" spans="1:18" ht="52.8" x14ac:dyDescent="0.3">
      <c r="A337" s="3" t="str">
        <f>'Autoévaluation client'!A343</f>
        <v>5.2.4.</v>
      </c>
      <c r="B337" s="6" t="str">
        <f>'Autoévaluation client'!C343</f>
        <v>Dans votre entreprise y a-t-il une personne / organisme responsable de la détermination systématique des phénomènes dangereux? Si oui, quelle personne / organisme?</v>
      </c>
      <c r="C337" s="38">
        <f>IF(ISBLANK('Autoévaluation client'!D343),0,1)</f>
        <v>0</v>
      </c>
      <c r="D337" s="165" t="str">
        <f>IF(AND('Autoévaluation client'!D343="",'Autoévaluation client'!E343=""),"*","")</f>
        <v>*</v>
      </c>
      <c r="E337" s="39" t="str">
        <f>IF(ISBLANK('Autoévaluation client'!F343),"",'Autoévaluation client'!F343)</f>
        <v/>
      </c>
      <c r="F337" s="118"/>
      <c r="G337" s="118"/>
      <c r="H337" s="118"/>
      <c r="I337" s="118"/>
      <c r="J337" s="118"/>
      <c r="K337" s="118"/>
      <c r="L337" s="112"/>
      <c r="M337" s="37">
        <v>1</v>
      </c>
      <c r="N337" s="27"/>
      <c r="O337" s="28">
        <f t="shared" si="57"/>
        <v>0</v>
      </c>
      <c r="P337" s="43">
        <f t="shared" si="58"/>
        <v>0</v>
      </c>
      <c r="Q337" s="36"/>
      <c r="R337" s="27"/>
    </row>
    <row r="338" spans="1:18" ht="52.8" x14ac:dyDescent="0.3">
      <c r="A338" s="3" t="str">
        <f>'Autoévaluation client'!A344</f>
        <v>5.2.5.</v>
      </c>
      <c r="B338" s="6" t="str">
        <f>'Autoévaluation client'!C344</f>
        <v xml:space="preserve">Qui est compétent dans votre entreprise pour la détermination
systématique des phénomènes dangereux?
</v>
      </c>
      <c r="C338" s="38">
        <f>IF(ISBLANK('Autoévaluation client'!D344),0,1)</f>
        <v>0</v>
      </c>
      <c r="D338" s="165" t="str">
        <f>IF(AND('Autoévaluation client'!D344="",'Autoévaluation client'!E344=""),"*","")</f>
        <v>*</v>
      </c>
      <c r="E338" s="39" t="str">
        <f>IF(ISBLANK('Autoévaluation client'!F344),"",'Autoévaluation client'!F344)</f>
        <v/>
      </c>
      <c r="F338" s="118"/>
      <c r="G338" s="118"/>
      <c r="H338" s="118"/>
      <c r="I338" s="118"/>
      <c r="J338" s="118"/>
      <c r="K338" s="118"/>
      <c r="L338" s="112"/>
      <c r="M338" s="37">
        <v>2</v>
      </c>
      <c r="N338" s="27"/>
      <c r="O338" s="28">
        <f t="shared" si="57"/>
        <v>0</v>
      </c>
      <c r="P338" s="43">
        <f t="shared" si="58"/>
        <v>0</v>
      </c>
      <c r="Q338" s="36"/>
      <c r="R338" s="27"/>
    </row>
    <row r="339" spans="1:18" ht="79.2" x14ac:dyDescent="0.3">
      <c r="A339" s="3" t="str">
        <f>'Autoévaluation client'!A345</f>
        <v>5.2.7.</v>
      </c>
      <c r="B339" s="6" t="str">
        <f>'Autoévaluation client'!C345</f>
        <v xml:space="preserve">Les résultats de la détermination des phénomènes dangereux
sont-ils pris en considération lors de la définition des objectifs en matière de sécurité et de protection de la santé?
</v>
      </c>
      <c r="C339" s="38">
        <f>IF(ISBLANK('Autoévaluation client'!D345),0,1)</f>
        <v>0</v>
      </c>
      <c r="D339" s="165" t="str">
        <f>IF(AND('Autoévaluation client'!D345="",'Autoévaluation client'!E345=""),"*","")</f>
        <v>*</v>
      </c>
      <c r="E339" s="39" t="str">
        <f>IF(ISBLANK('Autoévaluation client'!F345),"",'Autoévaluation client'!F345)</f>
        <v/>
      </c>
      <c r="F339" s="118"/>
      <c r="G339" s="118"/>
      <c r="H339" s="118"/>
      <c r="I339" s="118"/>
      <c r="J339" s="118"/>
      <c r="K339" s="118"/>
      <c r="L339" s="112"/>
      <c r="M339" s="37">
        <v>1</v>
      </c>
      <c r="N339" s="27"/>
      <c r="O339" s="28">
        <f t="shared" si="57"/>
        <v>0</v>
      </c>
      <c r="P339" s="43">
        <f t="shared" si="58"/>
        <v>0</v>
      </c>
      <c r="Q339" s="36"/>
      <c r="R339" s="27"/>
    </row>
    <row r="340" spans="1:18" x14ac:dyDescent="0.3">
      <c r="A340" s="20" t="str">
        <f>'Autoévaluation client'!A346</f>
        <v>5.3.</v>
      </c>
      <c r="B340" s="20" t="str">
        <f>'Autoévaluation client'!B346</f>
        <v>Evaluation des risques</v>
      </c>
      <c r="C340" s="21">
        <f>O340/N340</f>
        <v>0</v>
      </c>
      <c r="D340" s="23" t="str">
        <f>IF(ISBLANK('Autoévaluation client'!E346),"",'Autoévaluation client'!E346)</f>
        <v/>
      </c>
      <c r="E340" s="23" t="str">
        <f>IF(ISBLANK('Autoévaluation client'!F346),"",'Autoévaluation client'!F346)</f>
        <v/>
      </c>
      <c r="F340" s="115"/>
      <c r="G340" s="115"/>
      <c r="H340" s="115"/>
      <c r="I340" s="115"/>
      <c r="J340" s="115"/>
      <c r="K340" s="115"/>
      <c r="L340" s="50">
        <f>P340/N340</f>
        <v>0</v>
      </c>
      <c r="M340" s="22">
        <v>3</v>
      </c>
      <c r="N340" s="24">
        <f>SUM(M341:M349)</f>
        <v>15</v>
      </c>
      <c r="O340" s="24">
        <f>SUM(O341:O349)</f>
        <v>0</v>
      </c>
      <c r="P340" s="24">
        <f>SUM(P341:P349)</f>
        <v>0</v>
      </c>
      <c r="Q340" s="52">
        <f>O340/$N340*$M340</f>
        <v>0</v>
      </c>
      <c r="R340" s="52">
        <f>P340/$N340*$M340</f>
        <v>0</v>
      </c>
    </row>
    <row r="341" spans="1:18" ht="39.6" x14ac:dyDescent="0.3">
      <c r="A341" s="3" t="str">
        <f>'Autoévaluation client'!A347</f>
        <v>5.3.1</v>
      </c>
      <c r="B341" s="6" t="str">
        <f>'Autoévaluation client'!C347</f>
        <v>Des évaluations des risques sont-elles effectuées dans votre
entreprise? Si oui, à l'aide de quelle méthode?</v>
      </c>
      <c r="C341" s="38">
        <f>IF(ISBLANK('Autoévaluation client'!D347),0,1)</f>
        <v>0</v>
      </c>
      <c r="D341" s="165" t="str">
        <f>IF(AND('Autoévaluation client'!D347="",'Autoévaluation client'!E347=""),"*","")</f>
        <v>*</v>
      </c>
      <c r="E341" s="39" t="str">
        <f>IF(ISBLANK('Autoévaluation client'!F347),"",'Autoévaluation client'!F347)</f>
        <v/>
      </c>
      <c r="F341" s="118"/>
      <c r="G341" s="118"/>
      <c r="H341" s="118"/>
      <c r="I341" s="118"/>
      <c r="J341" s="118"/>
      <c r="K341" s="118"/>
      <c r="L341" s="112"/>
      <c r="M341" s="37">
        <v>2</v>
      </c>
      <c r="N341" s="27"/>
      <c r="O341" s="28">
        <f t="shared" ref="O341:O349" si="61">C341*M341</f>
        <v>0</v>
      </c>
      <c r="P341" s="43">
        <f t="shared" ref="P341:P349" si="62">L341*M341</f>
        <v>0</v>
      </c>
      <c r="Q341" s="36"/>
      <c r="R341" s="27"/>
    </row>
    <row r="342" spans="1:18" ht="52.8" x14ac:dyDescent="0.3">
      <c r="A342" s="3" t="str">
        <f>'Autoévaluation client'!A348</f>
        <v>5.3.2.a</v>
      </c>
      <c r="B342" s="6" t="str">
        <f>'Autoévaluation client'!C348</f>
        <v>Dans quelles situations l'évaluation des risques est-elle réalisée:
Lors de nouveaux équipements de travail, nouveaux processus, nouveaux produits?</v>
      </c>
      <c r="C342" s="38">
        <f>IF(ISBLANK('Autoévaluation client'!D348),0,1)</f>
        <v>0</v>
      </c>
      <c r="D342" s="165" t="str">
        <f>IF(AND('Autoévaluation client'!D348="",'Autoévaluation client'!E348=""),"*","")</f>
        <v>*</v>
      </c>
      <c r="E342" s="39" t="str">
        <f>IF(ISBLANK('Autoévaluation client'!F348),"",'Autoévaluation client'!F348)</f>
        <v/>
      </c>
      <c r="F342" s="120"/>
      <c r="G342" s="120"/>
      <c r="H342" s="120"/>
      <c r="I342" s="120"/>
      <c r="J342" s="120"/>
      <c r="K342" s="120"/>
      <c r="L342" s="112"/>
      <c r="M342" s="37">
        <v>2</v>
      </c>
      <c r="N342" s="27"/>
      <c r="O342" s="28">
        <f t="shared" si="61"/>
        <v>0</v>
      </c>
      <c r="P342" s="43">
        <f t="shared" si="62"/>
        <v>0</v>
      </c>
      <c r="Q342" s="36"/>
      <c r="R342" s="27"/>
    </row>
    <row r="343" spans="1:18" ht="26.4" x14ac:dyDescent="0.3">
      <c r="A343" s="3" t="str">
        <f>'Autoévaluation client'!A349</f>
        <v>5.3.2.b</v>
      </c>
      <c r="B343" s="6" t="str">
        <f>'Autoévaluation client'!C349</f>
        <v>Lors de modification ou d’adaptation des processus ou moyens de travail?</v>
      </c>
      <c r="C343" s="38">
        <f>IF(ISBLANK('Autoévaluation client'!D349),0,1)</f>
        <v>0</v>
      </c>
      <c r="D343" s="165" t="str">
        <f>IF(AND('Autoévaluation client'!D349="",'Autoévaluation client'!E349=""),"*","")</f>
        <v>*</v>
      </c>
      <c r="E343" s="39" t="str">
        <f>IF(ISBLANK('Autoévaluation client'!F349),"",'Autoévaluation client'!F349)</f>
        <v/>
      </c>
      <c r="F343" s="118"/>
      <c r="G343" s="118"/>
      <c r="H343" s="118"/>
      <c r="I343" s="118"/>
      <c r="J343" s="118"/>
      <c r="K343" s="118"/>
      <c r="L343" s="112"/>
      <c r="M343" s="37">
        <v>2</v>
      </c>
      <c r="N343" s="27"/>
      <c r="O343" s="28">
        <f t="shared" si="61"/>
        <v>0</v>
      </c>
      <c r="P343" s="43">
        <f t="shared" si="62"/>
        <v>0</v>
      </c>
      <c r="Q343" s="36"/>
      <c r="R343" s="27"/>
    </row>
    <row r="344" spans="1:18" ht="26.4" x14ac:dyDescent="0.3">
      <c r="A344" s="3" t="str">
        <f>'Autoévaluation client'!A350</f>
        <v>5.3.2.c</v>
      </c>
      <c r="B344" s="6" t="str">
        <f>'Autoévaluation client'!C350</f>
        <v>Lorsque les règles de la technique manquent ou sont incomplètes?</v>
      </c>
      <c r="C344" s="38">
        <f>IF(ISBLANK('Autoévaluation client'!D350),0,1)</f>
        <v>0</v>
      </c>
      <c r="D344" s="165" t="str">
        <f>IF(AND('Autoévaluation client'!D350="",'Autoévaluation client'!E350=""),"*","")</f>
        <v>*</v>
      </c>
      <c r="E344" s="39" t="str">
        <f>IF(ISBLANK('Autoévaluation client'!F350),"",'Autoévaluation client'!F350)</f>
        <v/>
      </c>
      <c r="F344" s="118"/>
      <c r="G344" s="118"/>
      <c r="H344" s="118"/>
      <c r="I344" s="118"/>
      <c r="J344" s="118"/>
      <c r="K344" s="118"/>
      <c r="L344" s="112"/>
      <c r="M344" s="37">
        <v>1</v>
      </c>
      <c r="N344" s="27"/>
      <c r="O344" s="28">
        <f t="shared" si="61"/>
        <v>0</v>
      </c>
      <c r="P344" s="43">
        <f t="shared" si="62"/>
        <v>0</v>
      </c>
      <c r="Q344" s="36"/>
      <c r="R344" s="27"/>
    </row>
    <row r="345" spans="1:18" ht="26.4" x14ac:dyDescent="0.3">
      <c r="A345" s="3" t="str">
        <f>'Autoévaluation client'!A351</f>
        <v>5.3.3.</v>
      </c>
      <c r="B345" s="6" t="str">
        <f>'Autoévaluation client'!C351</f>
        <v xml:space="preserve">L'évaluation des risques est-elle régulièrement vérifiée et adaptée en fonction des changements dans l'entreprise? </v>
      </c>
      <c r="C345" s="38">
        <f>IF(ISBLANK('Autoévaluation client'!D351),0,1)</f>
        <v>0</v>
      </c>
      <c r="D345" s="165" t="str">
        <f>IF(AND('Autoévaluation client'!D351="",'Autoévaluation client'!E351=""),"*","")</f>
        <v>*</v>
      </c>
      <c r="E345" s="39" t="str">
        <f>IF(ISBLANK('Autoévaluation client'!F351),"",'Autoévaluation client'!F351)</f>
        <v/>
      </c>
      <c r="F345" s="118"/>
      <c r="G345" s="118"/>
      <c r="H345" s="118"/>
      <c r="I345" s="118"/>
      <c r="J345" s="118"/>
      <c r="K345" s="118"/>
      <c r="L345" s="112"/>
      <c r="M345" s="37">
        <v>2</v>
      </c>
      <c r="N345" s="27"/>
      <c r="O345" s="28">
        <f t="shared" si="61"/>
        <v>0</v>
      </c>
      <c r="P345" s="43">
        <f t="shared" si="62"/>
        <v>0</v>
      </c>
      <c r="Q345" s="36"/>
      <c r="R345" s="27"/>
    </row>
    <row r="346" spans="1:18" ht="39.6" x14ac:dyDescent="0.3">
      <c r="A346" s="3" t="str">
        <f>'Autoévaluation client'!A352</f>
        <v>5.3.4.</v>
      </c>
      <c r="B346" s="6" t="str">
        <f>'Autoévaluation client'!C352</f>
        <v>Dans votre entreprise y a-t-il une personne / organisme responsable pour l'évaluation systématique des risques? Si oui, quelle personne / organisme?</v>
      </c>
      <c r="C346" s="38">
        <f>IF(ISBLANK('Autoévaluation client'!D352),0,1)</f>
        <v>0</v>
      </c>
      <c r="D346" s="165" t="str">
        <f>IF(AND('Autoévaluation client'!D352="",'Autoévaluation client'!E352=""),"*","")</f>
        <v>*</v>
      </c>
      <c r="E346" s="39" t="str">
        <f>IF(ISBLANK('Autoévaluation client'!F352),"",'Autoévaluation client'!F352)</f>
        <v/>
      </c>
      <c r="F346" s="118"/>
      <c r="G346" s="118"/>
      <c r="H346" s="118"/>
      <c r="I346" s="118"/>
      <c r="J346" s="118"/>
      <c r="K346" s="118"/>
      <c r="L346" s="112"/>
      <c r="M346" s="37">
        <v>1</v>
      </c>
      <c r="N346" s="27"/>
      <c r="O346" s="28">
        <f t="shared" si="61"/>
        <v>0</v>
      </c>
      <c r="P346" s="43">
        <f t="shared" si="62"/>
        <v>0</v>
      </c>
      <c r="Q346" s="36"/>
      <c r="R346" s="27"/>
    </row>
    <row r="347" spans="1:18" ht="26.4" x14ac:dyDescent="0.3">
      <c r="A347" s="3" t="str">
        <f>'Autoévaluation client'!A353</f>
        <v>5.3.5.</v>
      </c>
      <c r="B347" s="6" t="str">
        <f>'Autoévaluation client'!C353</f>
        <v>Vos collaborateurs sont-ils consultés pour l'évaluation des risques?</v>
      </c>
      <c r="C347" s="38">
        <f>IF(ISBLANK('Autoévaluation client'!D353),0,1)</f>
        <v>0</v>
      </c>
      <c r="D347" s="165" t="str">
        <f>IF(AND('Autoévaluation client'!D353="",'Autoévaluation client'!E353=""),"*","")</f>
        <v>*</v>
      </c>
      <c r="E347" s="39" t="str">
        <f>IF(ISBLANK('Autoévaluation client'!F353),"",'Autoévaluation client'!F353)</f>
        <v/>
      </c>
      <c r="F347" s="118"/>
      <c r="G347" s="118"/>
      <c r="H347" s="118"/>
      <c r="I347" s="118"/>
      <c r="J347" s="118"/>
      <c r="K347" s="118"/>
      <c r="L347" s="112"/>
      <c r="M347" s="37">
        <v>2</v>
      </c>
      <c r="N347" s="27"/>
      <c r="O347" s="28">
        <f t="shared" si="61"/>
        <v>0</v>
      </c>
      <c r="P347" s="43">
        <f t="shared" si="62"/>
        <v>0</v>
      </c>
      <c r="Q347" s="36"/>
      <c r="R347" s="27"/>
    </row>
    <row r="348" spans="1:18" ht="26.4" x14ac:dyDescent="0.3">
      <c r="A348" s="3" t="str">
        <f>'Autoévaluation client'!A354</f>
        <v>5.3.6.</v>
      </c>
      <c r="B348" s="6" t="str">
        <f>'Autoévaluation client'!C354</f>
        <v>Les résultats des évaluations des risques sont-ils consignés
par écrit? Si oui, de quelle manière?</v>
      </c>
      <c r="C348" s="38">
        <f>IF(ISBLANK('Autoévaluation client'!D354),0,1)</f>
        <v>0</v>
      </c>
      <c r="D348" s="165" t="str">
        <f>IF(AND('Autoévaluation client'!D354="",'Autoévaluation client'!E354=""),"*","")</f>
        <v>*</v>
      </c>
      <c r="E348" s="39" t="str">
        <f>IF(ISBLANK('Autoévaluation client'!F354),"",'Autoévaluation client'!F354)</f>
        <v/>
      </c>
      <c r="F348" s="118"/>
      <c r="G348" s="118"/>
      <c r="H348" s="118"/>
      <c r="I348" s="118"/>
      <c r="J348" s="118"/>
      <c r="K348" s="118"/>
      <c r="L348" s="112"/>
      <c r="M348" s="37">
        <v>2</v>
      </c>
      <c r="N348" s="27"/>
      <c r="O348" s="28">
        <f t="shared" si="61"/>
        <v>0</v>
      </c>
      <c r="P348" s="43">
        <f t="shared" si="62"/>
        <v>0</v>
      </c>
      <c r="Q348" s="36"/>
      <c r="R348" s="27"/>
    </row>
    <row r="349" spans="1:18" ht="39.6" x14ac:dyDescent="0.3">
      <c r="A349" s="3" t="str">
        <f>'Autoévaluation client'!A355</f>
        <v>5.3.7.</v>
      </c>
      <c r="B349" s="6" t="str">
        <f>'Autoévaluation client'!C355</f>
        <v>Les résultats de l'évaluation des risques sont-ils pris en considération lors de la définition des objectifs en matière de sécurité et de protection de la santé?</v>
      </c>
      <c r="C349" s="38">
        <f>IF(ISBLANK('Autoévaluation client'!D355),0,1)</f>
        <v>0</v>
      </c>
      <c r="D349" s="165" t="str">
        <f>IF(AND('Autoévaluation client'!D355="",'Autoévaluation client'!E355=""),"*","")</f>
        <v>*</v>
      </c>
      <c r="E349" s="39" t="str">
        <f>IF(ISBLANK('Autoévaluation client'!F355),"",'Autoévaluation client'!F355)</f>
        <v/>
      </c>
      <c r="F349" s="118"/>
      <c r="G349" s="118"/>
      <c r="H349" s="118"/>
      <c r="I349" s="118"/>
      <c r="J349" s="118"/>
      <c r="K349" s="118"/>
      <c r="L349" s="112"/>
      <c r="M349" s="37">
        <v>1</v>
      </c>
      <c r="N349" s="27"/>
      <c r="O349" s="28">
        <f t="shared" si="61"/>
        <v>0</v>
      </c>
      <c r="P349" s="43">
        <f t="shared" si="62"/>
        <v>0</v>
      </c>
      <c r="Q349" s="36"/>
      <c r="R349" s="27"/>
    </row>
    <row r="350" spans="1:18" x14ac:dyDescent="0.3">
      <c r="A350" s="20" t="str">
        <f>'Autoévaluation client'!A356</f>
        <v>5.4.</v>
      </c>
      <c r="B350" s="20" t="str">
        <f>'Autoévaluation client'!B356</f>
        <v>Analyse des événements</v>
      </c>
      <c r="C350" s="21">
        <f>O350/N350</f>
        <v>9.375E-2</v>
      </c>
      <c r="D350" s="23" t="str">
        <f>IF(ISBLANK('Autoévaluation client'!E356),"",'Autoévaluation client'!E356)</f>
        <v/>
      </c>
      <c r="E350" s="23" t="str">
        <f>IF(ISBLANK('Autoévaluation client'!F356),"",'Autoévaluation client'!F356)</f>
        <v/>
      </c>
      <c r="F350" s="115"/>
      <c r="G350" s="115"/>
      <c r="H350" s="115"/>
      <c r="I350" s="115"/>
      <c r="J350" s="115"/>
      <c r="K350" s="115"/>
      <c r="L350" s="50">
        <f>P350/N350</f>
        <v>9.375E-2</v>
      </c>
      <c r="M350" s="22">
        <v>4</v>
      </c>
      <c r="N350" s="22">
        <f>SUM(M351:M367)</f>
        <v>32</v>
      </c>
      <c r="O350" s="24">
        <f>SUM(O351:O367)</f>
        <v>3</v>
      </c>
      <c r="P350" s="24">
        <f>SUM(P351:P367)</f>
        <v>3</v>
      </c>
      <c r="Q350" s="52">
        <f>O350/$N350*$M350</f>
        <v>0.375</v>
      </c>
      <c r="R350" s="52">
        <f>P350/$N350*$M350</f>
        <v>0.375</v>
      </c>
    </row>
    <row r="351" spans="1:18" ht="66" x14ac:dyDescent="0.3">
      <c r="A351" s="3" t="str">
        <f>'Autoévaluation client'!A357</f>
        <v>5.4.1.a</v>
      </c>
      <c r="B351" s="6" t="str">
        <f>'Autoévaluation client'!C357</f>
        <v>Disposez-vous dans votre entreprises d'instructions stipulant que
tous les événements doivent être signalés dans un certain délai:
Maladies et accidents professionnels?</v>
      </c>
      <c r="C351" s="38">
        <f>IF(ISBLANK('Autoévaluation client'!D357),0,1)</f>
        <v>0</v>
      </c>
      <c r="D351" s="165" t="str">
        <f>IF(AND('Autoévaluation client'!D357="",'Autoévaluation client'!E357=""),"*","")</f>
        <v>*</v>
      </c>
      <c r="E351" s="39" t="str">
        <f>IF(ISBLANK('Autoévaluation client'!F357),"",'Autoévaluation client'!F357)</f>
        <v/>
      </c>
      <c r="F351" s="120"/>
      <c r="G351" s="120"/>
      <c r="H351" s="120"/>
      <c r="I351" s="120"/>
      <c r="J351" s="120"/>
      <c r="K351" s="120"/>
      <c r="L351" s="112"/>
      <c r="M351" s="37">
        <v>3</v>
      </c>
      <c r="N351" s="27"/>
      <c r="O351" s="28">
        <f t="shared" ref="O351:O366" si="63">C351*M351</f>
        <v>0</v>
      </c>
      <c r="P351" s="43">
        <f t="shared" ref="P351:P366" si="64">L351*M351</f>
        <v>0</v>
      </c>
      <c r="Q351" s="36"/>
      <c r="R351" s="36"/>
    </row>
    <row r="352" spans="1:18" x14ac:dyDescent="0.3">
      <c r="A352" s="3" t="str">
        <f>'Autoévaluation client'!A358</f>
        <v>5.4.1.b</v>
      </c>
      <c r="B352" s="6" t="str">
        <f>'Autoévaluation client'!C358</f>
        <v>Accidents non professionnels?</v>
      </c>
      <c r="C352" s="38">
        <f>IF(ISBLANK('Autoévaluation client'!D358),0,1)</f>
        <v>0</v>
      </c>
      <c r="D352" s="165" t="str">
        <f>IF(AND('Autoévaluation client'!D358="",'Autoévaluation client'!E358=""),"*","")</f>
        <v>*</v>
      </c>
      <c r="E352" s="39" t="str">
        <f>IF(ISBLANK('Autoévaluation client'!F358),"",'Autoévaluation client'!F358)</f>
        <v/>
      </c>
      <c r="F352" s="118"/>
      <c r="G352" s="118"/>
      <c r="H352" s="118"/>
      <c r="I352" s="118"/>
      <c r="J352" s="118"/>
      <c r="K352" s="118"/>
      <c r="L352" s="112"/>
      <c r="M352" s="37">
        <v>3</v>
      </c>
      <c r="N352" s="27"/>
      <c r="O352" s="28">
        <f t="shared" si="63"/>
        <v>0</v>
      </c>
      <c r="P352" s="43">
        <f t="shared" si="64"/>
        <v>0</v>
      </c>
      <c r="Q352" s="36"/>
      <c r="R352" s="27"/>
    </row>
    <row r="353" spans="1:18" x14ac:dyDescent="0.3">
      <c r="A353" s="3" t="str">
        <f>'Autoévaluation client'!A359</f>
        <v>5.4.1.c</v>
      </c>
      <c r="B353" s="6" t="str">
        <f>'Autoévaluation client'!C359</f>
        <v>Maladie(s)?</v>
      </c>
      <c r="C353" s="38">
        <f>IF(ISBLANK('Autoévaluation client'!D359),0,1)</f>
        <v>0</v>
      </c>
      <c r="D353" s="165" t="str">
        <f>IF(AND('Autoévaluation client'!D359="",'Autoévaluation client'!E359=""),"*","")</f>
        <v>*</v>
      </c>
      <c r="E353" s="39" t="str">
        <f>IF(ISBLANK('Autoévaluation client'!F359),"",'Autoévaluation client'!F359)</f>
        <v/>
      </c>
      <c r="F353" s="118"/>
      <c r="G353" s="118"/>
      <c r="H353" s="118"/>
      <c r="I353" s="118"/>
      <c r="J353" s="118"/>
      <c r="K353" s="118"/>
      <c r="L353" s="112"/>
      <c r="M353" s="37">
        <v>3</v>
      </c>
      <c r="N353" s="27"/>
      <c r="O353" s="28">
        <f t="shared" si="63"/>
        <v>0</v>
      </c>
      <c r="P353" s="43">
        <f t="shared" si="64"/>
        <v>0</v>
      </c>
      <c r="Q353" s="36"/>
      <c r="R353" s="27"/>
    </row>
    <row r="354" spans="1:18" x14ac:dyDescent="0.3">
      <c r="A354" s="3" t="str">
        <f>'Autoévaluation client'!A360</f>
        <v>5.4.1.d</v>
      </c>
      <c r="B354" s="6" t="str">
        <f>'Autoévaluation client'!C360</f>
        <v>Dommages matériels?</v>
      </c>
      <c r="C354" s="38">
        <f>IF(ISBLANK('Autoévaluation client'!D360),0,1)</f>
        <v>0</v>
      </c>
      <c r="D354" s="165" t="str">
        <f>IF(AND('Autoévaluation client'!D360="",'Autoévaluation client'!E360=""),"*","")</f>
        <v>*</v>
      </c>
      <c r="E354" s="39" t="str">
        <f>IF(ISBLANK('Autoévaluation client'!F360),"",'Autoévaluation client'!F360)</f>
        <v/>
      </c>
      <c r="F354" s="120"/>
      <c r="G354" s="120"/>
      <c r="H354" s="120"/>
      <c r="I354" s="120"/>
      <c r="J354" s="120"/>
      <c r="K354" s="120"/>
      <c r="L354" s="112"/>
      <c r="M354" s="37">
        <v>1</v>
      </c>
      <c r="N354" s="27"/>
      <c r="O354" s="28">
        <f t="shared" si="63"/>
        <v>0</v>
      </c>
      <c r="P354" s="43">
        <f t="shared" si="64"/>
        <v>0</v>
      </c>
      <c r="Q354" s="36"/>
      <c r="R354" s="27"/>
    </row>
    <row r="355" spans="1:18" x14ac:dyDescent="0.3">
      <c r="A355" s="3" t="str">
        <f>'Autoévaluation client'!A361</f>
        <v>5.4.1.e</v>
      </c>
      <c r="B355" s="6" t="str">
        <f>'Autoévaluation client'!C361</f>
        <v>Presque-accidents?</v>
      </c>
      <c r="C355" s="38">
        <f>IF(ISBLANK('Autoévaluation client'!D361),0,1)</f>
        <v>0</v>
      </c>
      <c r="D355" s="165" t="str">
        <f>IF(AND('Autoévaluation client'!D361="",'Autoévaluation client'!E361=""),"*","")</f>
        <v>*</v>
      </c>
      <c r="E355" s="39" t="str">
        <f>IF(ISBLANK('Autoévaluation client'!F361),"",'Autoévaluation client'!F361)</f>
        <v/>
      </c>
      <c r="F355" s="118"/>
      <c r="G355" s="118"/>
      <c r="H355" s="118"/>
      <c r="I355" s="118"/>
      <c r="J355" s="118"/>
      <c r="K355" s="118"/>
      <c r="L355" s="112"/>
      <c r="M355" s="37">
        <v>2</v>
      </c>
      <c r="N355" s="27"/>
      <c r="O355" s="28">
        <f t="shared" si="63"/>
        <v>0</v>
      </c>
      <c r="P355" s="43">
        <f t="shared" si="64"/>
        <v>0</v>
      </c>
      <c r="Q355" s="36"/>
      <c r="R355" s="27"/>
    </row>
    <row r="356" spans="1:18" x14ac:dyDescent="0.3">
      <c r="A356" s="3" t="str">
        <f>'Autoévaluation client'!A362</f>
        <v>5.4.1.f</v>
      </c>
      <c r="B356" s="6" t="str">
        <f>'Autoévaluation client'!C362</f>
        <v>Perturbations du processus?</v>
      </c>
      <c r="C356" s="38">
        <f>IF(ISBLANK('Autoévaluation client'!D362),0,1)</f>
        <v>0</v>
      </c>
      <c r="D356" s="165" t="str">
        <f>IF(AND('Autoévaluation client'!D362="",'Autoévaluation client'!E362=""),"*","")</f>
        <v>*</v>
      </c>
      <c r="E356" s="39" t="str">
        <f>IF(ISBLANK('Autoévaluation client'!F362),"",'Autoévaluation client'!F362)</f>
        <v/>
      </c>
      <c r="F356" s="118"/>
      <c r="G356" s="118"/>
      <c r="H356" s="118"/>
      <c r="I356" s="118"/>
      <c r="J356" s="118"/>
      <c r="K356" s="118"/>
      <c r="L356" s="112"/>
      <c r="M356" s="37">
        <v>0</v>
      </c>
      <c r="N356" s="27"/>
      <c r="O356" s="28">
        <f t="shared" si="63"/>
        <v>0</v>
      </c>
      <c r="P356" s="43">
        <f t="shared" si="64"/>
        <v>0</v>
      </c>
      <c r="Q356" s="36"/>
      <c r="R356" s="27"/>
    </row>
    <row r="357" spans="1:18" ht="26.4" x14ac:dyDescent="0.3">
      <c r="A357" s="3" t="str">
        <f>'Autoévaluation client'!A363</f>
        <v>5.4.1.g</v>
      </c>
      <c r="B357" s="6" t="str">
        <f>'Autoévaluation client'!C363</f>
        <v>Autres événements?
Si oui, lesquels?</v>
      </c>
      <c r="C357" s="38">
        <f>IF(ISBLANK('Autoévaluation client'!D363),0,1)</f>
        <v>0</v>
      </c>
      <c r="D357" s="165" t="str">
        <f>IF(AND('Autoévaluation client'!D363="",'Autoévaluation client'!E363=""),"*","")</f>
        <v>*</v>
      </c>
      <c r="E357" s="39" t="str">
        <f>IF(ISBLANK('Autoévaluation client'!F363),"",'Autoévaluation client'!F363)</f>
        <v/>
      </c>
      <c r="F357" s="118"/>
      <c r="G357" s="118"/>
      <c r="H357" s="118"/>
      <c r="I357" s="118"/>
      <c r="J357" s="118"/>
      <c r="K357" s="118"/>
      <c r="L357" s="112"/>
      <c r="M357" s="37">
        <v>0</v>
      </c>
      <c r="N357" s="27"/>
      <c r="O357" s="28">
        <f t="shared" si="63"/>
        <v>0</v>
      </c>
      <c r="P357" s="43">
        <f t="shared" si="64"/>
        <v>0</v>
      </c>
      <c r="Q357" s="36"/>
      <c r="R357" s="27"/>
    </row>
    <row r="358" spans="1:18" ht="26.4" x14ac:dyDescent="0.3">
      <c r="A358" s="3" t="str">
        <f>'Autoévaluation client'!A364</f>
        <v>5.4.3.</v>
      </c>
      <c r="B358" s="6" t="str">
        <f>'Autoévaluation client'!C364</f>
        <v>Votre entreprise a-t-elle désigné un service chargé de recueillir et d'évaluer les annonces d'accidents?</v>
      </c>
      <c r="C358" s="38">
        <f>IF(ISBLANK('Autoévaluation client'!D364),0,1)</f>
        <v>0</v>
      </c>
      <c r="D358" s="165" t="str">
        <f>IF(AND('Autoévaluation client'!D364="",'Autoévaluation client'!E364=""),"*","")</f>
        <v>*</v>
      </c>
      <c r="E358" s="39" t="str">
        <f>IF(ISBLANK('Autoévaluation client'!F364),"",'Autoévaluation client'!F364)</f>
        <v/>
      </c>
      <c r="F358" s="118"/>
      <c r="G358" s="118"/>
      <c r="H358" s="118"/>
      <c r="I358" s="118"/>
      <c r="J358" s="118"/>
      <c r="K358" s="118"/>
      <c r="L358" s="112"/>
      <c r="M358" s="37">
        <v>4</v>
      </c>
      <c r="N358" s="27"/>
      <c r="O358" s="28">
        <f t="shared" si="63"/>
        <v>0</v>
      </c>
      <c r="P358" s="43">
        <f t="shared" si="64"/>
        <v>0</v>
      </c>
      <c r="Q358" s="36"/>
      <c r="R358" s="27"/>
    </row>
    <row r="359" spans="1:18" ht="26.4" x14ac:dyDescent="0.3">
      <c r="A359" s="3" t="str">
        <f>'Autoévaluation client'!A365</f>
        <v>5.4.4.</v>
      </c>
      <c r="B359" s="6" t="str">
        <f>'Autoévaluation client'!C365</f>
        <v>Votre entreprise a-t-elle défini et fixé par écrit une procédure pour l'analyse des incidents?</v>
      </c>
      <c r="C359" s="38">
        <f>IF(ISBLANK('Autoévaluation client'!D365),0,1)</f>
        <v>0</v>
      </c>
      <c r="D359" s="165" t="str">
        <f>IF(AND('Autoévaluation client'!D365="",'Autoévaluation client'!E365=""),"*","")</f>
        <v>*</v>
      </c>
      <c r="E359" s="39" t="str">
        <f>IF(ISBLANK('Autoévaluation client'!F365),"",'Autoévaluation client'!F365)</f>
        <v/>
      </c>
      <c r="F359" s="118"/>
      <c r="G359" s="118"/>
      <c r="H359" s="118"/>
      <c r="I359" s="118"/>
      <c r="J359" s="118"/>
      <c r="K359" s="118"/>
      <c r="L359" s="112"/>
      <c r="M359" s="37">
        <v>3</v>
      </c>
      <c r="N359" s="27"/>
      <c r="O359" s="28">
        <f t="shared" si="63"/>
        <v>0</v>
      </c>
      <c r="P359" s="43">
        <f t="shared" si="64"/>
        <v>0</v>
      </c>
      <c r="Q359" s="36"/>
      <c r="R359" s="27"/>
    </row>
    <row r="360" spans="1:18" ht="39.6" x14ac:dyDescent="0.3">
      <c r="A360" s="3" t="str">
        <f>'Autoévaluation client'!A366</f>
        <v>5.4.5.a</v>
      </c>
      <c r="B360" s="6" t="str">
        <f>'Autoévaluation client'!C366</f>
        <v>Les incidents sont-ils analysés de manière régulière et systématique:
Maladies et accidents professionnels?</v>
      </c>
      <c r="C360" s="38">
        <f>IF(ISBLANK('Autoévaluation client'!D366),0,1)</f>
        <v>0</v>
      </c>
      <c r="D360" s="165" t="str">
        <f>IF(AND('Autoévaluation client'!D366="",'Autoévaluation client'!E366=""),"*","")</f>
        <v>*</v>
      </c>
      <c r="E360" s="39" t="str">
        <f>IF(ISBLANK('Autoévaluation client'!F366),"",'Autoévaluation client'!F366)</f>
        <v/>
      </c>
      <c r="F360" s="118"/>
      <c r="G360" s="118"/>
      <c r="H360" s="118"/>
      <c r="I360" s="118"/>
      <c r="J360" s="118"/>
      <c r="K360" s="118"/>
      <c r="L360" s="112"/>
      <c r="M360" s="37">
        <v>3</v>
      </c>
      <c r="N360" s="27"/>
      <c r="O360" s="28">
        <f t="shared" si="63"/>
        <v>0</v>
      </c>
      <c r="P360" s="43">
        <f t="shared" si="64"/>
        <v>0</v>
      </c>
      <c r="Q360" s="36"/>
      <c r="R360" s="27"/>
    </row>
    <row r="361" spans="1:18" x14ac:dyDescent="0.3">
      <c r="A361" s="3" t="str">
        <f>'Autoévaluation client'!A367</f>
        <v>5.4.5.b</v>
      </c>
      <c r="B361" s="6" t="str">
        <f>'Autoévaluation client'!C367</f>
        <v>Accidents non professionnels?</v>
      </c>
      <c r="C361" s="38">
        <f>IF(ISBLANK('Autoévaluation client'!D367),0,1)</f>
        <v>0</v>
      </c>
      <c r="D361" s="165" t="str">
        <f>IF(AND('Autoévaluation client'!D367="",'Autoévaluation client'!E367=""),"*","")</f>
        <v>*</v>
      </c>
      <c r="E361" s="39" t="str">
        <f>IF(ISBLANK('Autoévaluation client'!F367),"",'Autoévaluation client'!F367)</f>
        <v/>
      </c>
      <c r="F361" s="118"/>
      <c r="G361" s="118"/>
      <c r="H361" s="118"/>
      <c r="I361" s="118"/>
      <c r="J361" s="118"/>
      <c r="K361" s="118"/>
      <c r="L361" s="112"/>
      <c r="M361" s="37">
        <v>2</v>
      </c>
      <c r="N361" s="27"/>
      <c r="O361" s="28">
        <f t="shared" si="63"/>
        <v>0</v>
      </c>
      <c r="P361" s="43">
        <f t="shared" si="64"/>
        <v>0</v>
      </c>
      <c r="Q361" s="36"/>
      <c r="R361" s="27"/>
    </row>
    <row r="362" spans="1:18" x14ac:dyDescent="0.3">
      <c r="A362" s="3" t="str">
        <f>'Autoévaluation client'!A368</f>
        <v>5.4.5.c</v>
      </c>
      <c r="B362" s="6" t="str">
        <f>'Autoévaluation client'!C368</f>
        <v>Maladie(s)?</v>
      </c>
      <c r="C362" s="38">
        <f>IF(ISBLANK('Autoévaluation client'!D368),0,1)</f>
        <v>0</v>
      </c>
      <c r="D362" s="165" t="str">
        <f>IF(AND('Autoévaluation client'!D368="",'Autoévaluation client'!E368=""),"*","")</f>
        <v>*</v>
      </c>
      <c r="E362" s="39" t="str">
        <f>IF(ISBLANK('Autoévaluation client'!F368),"",'Autoévaluation client'!F368)</f>
        <v/>
      </c>
      <c r="F362" s="118"/>
      <c r="G362" s="118"/>
      <c r="H362" s="118"/>
      <c r="I362" s="118"/>
      <c r="J362" s="118"/>
      <c r="K362" s="118"/>
      <c r="L362" s="112"/>
      <c r="M362" s="37">
        <v>1</v>
      </c>
      <c r="N362" s="27"/>
      <c r="O362" s="28">
        <f t="shared" si="63"/>
        <v>0</v>
      </c>
      <c r="P362" s="43">
        <f t="shared" si="64"/>
        <v>0</v>
      </c>
      <c r="Q362" s="36"/>
      <c r="R362" s="27"/>
    </row>
    <row r="363" spans="1:18" x14ac:dyDescent="0.3">
      <c r="A363" s="3" t="str">
        <f>'Autoévaluation client'!A369</f>
        <v>5.4.5.d</v>
      </c>
      <c r="B363" s="6" t="str">
        <f>'Autoévaluation client'!C369</f>
        <v>Dommages matériels?</v>
      </c>
      <c r="C363" s="38">
        <f>IF(ISBLANK('Autoévaluation client'!D369),0,1)</f>
        <v>0</v>
      </c>
      <c r="D363" s="165" t="str">
        <f>IF(AND('Autoévaluation client'!D369="",'Autoévaluation client'!E369=""),"*","")</f>
        <v>*</v>
      </c>
      <c r="E363" s="39" t="str">
        <f>IF(ISBLANK('Autoévaluation client'!F369),"",'Autoévaluation client'!F369)</f>
        <v/>
      </c>
      <c r="F363" s="120"/>
      <c r="G363" s="120"/>
      <c r="H363" s="120"/>
      <c r="I363" s="120"/>
      <c r="J363" s="120"/>
      <c r="K363" s="120"/>
      <c r="L363" s="112"/>
      <c r="M363" s="37">
        <v>1</v>
      </c>
      <c r="N363" s="27"/>
      <c r="O363" s="28">
        <f t="shared" si="63"/>
        <v>0</v>
      </c>
      <c r="P363" s="43">
        <f t="shared" si="64"/>
        <v>0</v>
      </c>
      <c r="Q363" s="36"/>
      <c r="R363" s="36"/>
    </row>
    <row r="364" spans="1:18" x14ac:dyDescent="0.3">
      <c r="A364" s="3" t="str">
        <f>'Autoévaluation client'!A370</f>
        <v>5.4.5.e</v>
      </c>
      <c r="B364" s="6" t="str">
        <f>'Autoévaluation client'!C370</f>
        <v>Presque-accidents?</v>
      </c>
      <c r="C364" s="38">
        <f>IF(ISBLANK('Autoévaluation client'!D370),0,1)</f>
        <v>0</v>
      </c>
      <c r="D364" s="165" t="str">
        <f>IF(AND('Autoévaluation client'!D370="",'Autoévaluation client'!E370=""),"*","")</f>
        <v>*</v>
      </c>
      <c r="E364" s="39" t="str">
        <f>IF(ISBLANK('Autoévaluation client'!F370),"",'Autoévaluation client'!F370)</f>
        <v/>
      </c>
      <c r="F364" s="121"/>
      <c r="G364" s="121"/>
      <c r="H364" s="121"/>
      <c r="I364" s="121"/>
      <c r="J364" s="121"/>
      <c r="K364" s="121"/>
      <c r="L364" s="112"/>
      <c r="M364" s="37">
        <v>2</v>
      </c>
      <c r="N364" s="27"/>
      <c r="O364" s="28">
        <f t="shared" si="63"/>
        <v>0</v>
      </c>
      <c r="P364" s="43">
        <f t="shared" si="64"/>
        <v>0</v>
      </c>
      <c r="Q364" s="36"/>
      <c r="R364" s="27"/>
    </row>
    <row r="365" spans="1:18" x14ac:dyDescent="0.3">
      <c r="A365" s="3" t="str">
        <f>'Autoévaluation client'!A371</f>
        <v>5.4.5.f</v>
      </c>
      <c r="B365" s="6" t="str">
        <f>'Autoévaluation client'!C371</f>
        <v>Perturbations du processus?</v>
      </c>
      <c r="C365" s="38">
        <f>IF(ISBLANK('Autoévaluation client'!D371),0,1)</f>
        <v>0</v>
      </c>
      <c r="D365" s="165" t="str">
        <f>IF(AND('Autoévaluation client'!D371="",'Autoévaluation client'!E371=""),"*","")</f>
        <v>*</v>
      </c>
      <c r="E365" s="39" t="str">
        <f>IF(ISBLANK('Autoévaluation client'!F371),"",'Autoévaluation client'!F371)</f>
        <v/>
      </c>
      <c r="F365" s="118"/>
      <c r="G365" s="118"/>
      <c r="H365" s="118"/>
      <c r="I365" s="118"/>
      <c r="J365" s="118"/>
      <c r="K365" s="118"/>
      <c r="L365" s="112"/>
      <c r="M365" s="37">
        <v>1</v>
      </c>
      <c r="N365" s="27"/>
      <c r="O365" s="28">
        <f t="shared" si="63"/>
        <v>0</v>
      </c>
      <c r="P365" s="43">
        <f t="shared" si="64"/>
        <v>0</v>
      </c>
      <c r="Q365" s="36"/>
      <c r="R365" s="27"/>
    </row>
    <row r="366" spans="1:18" ht="26.4" x14ac:dyDescent="0.3">
      <c r="A366" s="3" t="str">
        <f>'Autoévaluation client'!A372</f>
        <v>5.4.5.g</v>
      </c>
      <c r="B366" s="6" t="str">
        <f>'Autoévaluation client'!C372</f>
        <v>Autres événements?
Si oui, lesquels?</v>
      </c>
      <c r="C366" s="38">
        <f>IF(ISBLANK('Autoévaluation client'!D372),0,1)</f>
        <v>0</v>
      </c>
      <c r="D366" s="165" t="str">
        <f>IF(AND('Autoévaluation client'!D372="",'Autoévaluation client'!E372=""),"*","")</f>
        <v>*</v>
      </c>
      <c r="E366" s="39" t="str">
        <f>IF(ISBLANK('Autoévaluation client'!F372),"",'Autoévaluation client'!F372)</f>
        <v/>
      </c>
      <c r="F366" s="118"/>
      <c r="G366" s="118"/>
      <c r="H366" s="118"/>
      <c r="I366" s="118"/>
      <c r="J366" s="118"/>
      <c r="K366" s="118"/>
      <c r="L366" s="112"/>
      <c r="M366" s="37">
        <v>0</v>
      </c>
      <c r="N366" s="27"/>
      <c r="O366" s="28">
        <f t="shared" si="63"/>
        <v>0</v>
      </c>
      <c r="P366" s="43">
        <f t="shared" si="64"/>
        <v>0</v>
      </c>
      <c r="Q366" s="36"/>
      <c r="R366" s="27"/>
    </row>
    <row r="367" spans="1:18" ht="39.6" x14ac:dyDescent="0.3">
      <c r="A367" s="3" t="str">
        <f>'Autoévaluation client'!A373</f>
        <v>5.4.6.</v>
      </c>
      <c r="B367" s="6" t="str">
        <f>'Autoévaluation client'!C373</f>
        <v>Après avoir été annoncé à la Suva, un accident est-il, en règle générale, classé ou fait-il l'objet d'investigations en interne?</v>
      </c>
      <c r="C367" s="38">
        <f>IF(ISBLANK('Autoévaluation client'!D373),0,1)</f>
        <v>0</v>
      </c>
      <c r="D367" s="165" t="str">
        <f>IF(AND('Autoévaluation client'!D373="",'Autoévaluation client'!E373=""),"*","")</f>
        <v>*</v>
      </c>
      <c r="E367" s="39" t="str">
        <f>IF(ISBLANK('Autoévaluation client'!F373),"",'Autoévaluation client'!F373)</f>
        <v/>
      </c>
      <c r="F367" s="118"/>
      <c r="G367" s="118"/>
      <c r="H367" s="118"/>
      <c r="I367" s="118"/>
      <c r="J367" s="118"/>
      <c r="K367" s="118"/>
      <c r="L367" s="112"/>
      <c r="M367" s="37">
        <v>3</v>
      </c>
      <c r="N367" s="27"/>
      <c r="O367" s="47">
        <f>(1-C367)*M367</f>
        <v>3</v>
      </c>
      <c r="P367" s="47">
        <f>(1-L367)*M367</f>
        <v>3</v>
      </c>
      <c r="Q367" s="36"/>
      <c r="R367" s="27"/>
    </row>
    <row r="368" spans="1:18" x14ac:dyDescent="0.3">
      <c r="A368" s="34" t="str">
        <f>'Autoévaluation client'!A375</f>
        <v>6.</v>
      </c>
      <c r="B368" s="7" t="str">
        <f>'Autoévaluation client'!B375</f>
        <v>Mesures</v>
      </c>
      <c r="C368" s="30">
        <f>O368/N368</f>
        <v>0</v>
      </c>
      <c r="D368" s="18"/>
      <c r="E368" s="18"/>
      <c r="F368" s="18"/>
      <c r="G368" s="18"/>
      <c r="H368" s="18"/>
      <c r="I368" s="18"/>
      <c r="J368" s="18"/>
      <c r="K368" s="18"/>
      <c r="L368" s="114">
        <f>P368/N368</f>
        <v>0</v>
      </c>
      <c r="M368" s="5"/>
      <c r="N368" s="5">
        <f>SUM(M369,M380,M392)</f>
        <v>5</v>
      </c>
      <c r="O368" s="48">
        <f>SUM(Q369:Q391)</f>
        <v>0</v>
      </c>
      <c r="P368" s="48">
        <f>SUM(R369:R391)</f>
        <v>0</v>
      </c>
      <c r="Q368" s="35"/>
      <c r="R368" s="35"/>
    </row>
    <row r="369" spans="1:18" x14ac:dyDescent="0.3">
      <c r="A369" s="20" t="str">
        <f>'Autoévaluation client'!A377</f>
        <v>6.1.</v>
      </c>
      <c r="B369" s="20" t="str">
        <f>'Autoévaluation client'!B377</f>
        <v>Elaboration des mesures</v>
      </c>
      <c r="C369" s="21">
        <f>O369/N369</f>
        <v>0</v>
      </c>
      <c r="D369" s="23"/>
      <c r="E369" s="23"/>
      <c r="F369" s="115"/>
      <c r="G369" s="115"/>
      <c r="H369" s="115"/>
      <c r="I369" s="115"/>
      <c r="J369" s="115"/>
      <c r="K369" s="115"/>
      <c r="L369" s="50">
        <f>P369/N369</f>
        <v>0</v>
      </c>
      <c r="M369" s="22">
        <v>3</v>
      </c>
      <c r="N369" s="22">
        <f>SUM(M370:M379)</f>
        <v>15</v>
      </c>
      <c r="O369" s="24">
        <f>SUM(O370:O379)</f>
        <v>0</v>
      </c>
      <c r="P369" s="24">
        <f>SUM(P370:P379)</f>
        <v>0</v>
      </c>
      <c r="Q369" s="52">
        <f>O369/$N369*$M369</f>
        <v>0</v>
      </c>
      <c r="R369" s="52">
        <f>P369/$N369*$M369</f>
        <v>0</v>
      </c>
    </row>
    <row r="370" spans="1:18" ht="26.4" x14ac:dyDescent="0.3">
      <c r="A370" s="3" t="str">
        <f>'Autoévaluation client'!A378</f>
        <v>6.1.1.</v>
      </c>
      <c r="B370" s="6" t="str">
        <f>'Autoévaluation client'!C378</f>
        <v>Lorsqu'un risque a été identifié, prenez-vous toujours les mesures qui s'imposent?</v>
      </c>
      <c r="C370" s="38">
        <f>IF(ISBLANK('Autoévaluation client'!D378),0,1)</f>
        <v>0</v>
      </c>
      <c r="D370" s="165" t="str">
        <f>IF(AND('Autoévaluation client'!D378="",'Autoévaluation client'!E378=""),"*","")</f>
        <v>*</v>
      </c>
      <c r="E370" s="39" t="str">
        <f>IF(ISBLANK('Autoévaluation client'!F378),"",'Autoévaluation client'!F378)</f>
        <v/>
      </c>
      <c r="F370" s="118"/>
      <c r="G370" s="118"/>
      <c r="H370" s="118"/>
      <c r="I370" s="118"/>
      <c r="J370" s="118"/>
      <c r="K370" s="118"/>
      <c r="L370" s="112"/>
      <c r="M370" s="37">
        <v>5</v>
      </c>
      <c r="N370" s="27"/>
      <c r="O370" s="28">
        <f t="shared" ref="O370:O379" si="65">C370*M370</f>
        <v>0</v>
      </c>
      <c r="P370" s="43">
        <f t="shared" ref="P370:P379" si="66">L370*M370</f>
        <v>0</v>
      </c>
      <c r="Q370" s="36"/>
      <c r="R370" s="27"/>
    </row>
    <row r="371" spans="1:18" ht="26.4" x14ac:dyDescent="0.3">
      <c r="A371" s="3" t="str">
        <f>'Autoévaluation client'!A379</f>
        <v>6.1.2.</v>
      </c>
      <c r="B371" s="6" t="str">
        <f>'Autoévaluation client'!C379</f>
        <v>Adoptez-vous des mesures de sécurité en raison de stratégies spécifiques (objectifs, moyens et procédures)?</v>
      </c>
      <c r="C371" s="38">
        <f>IF(ISBLANK('Autoévaluation client'!D379),0,1)</f>
        <v>0</v>
      </c>
      <c r="D371" s="165" t="str">
        <f>IF(AND('Autoévaluation client'!D379="",'Autoévaluation client'!E379=""),"*","")</f>
        <v>*</v>
      </c>
      <c r="E371" s="39" t="str">
        <f>IF(ISBLANK('Autoévaluation client'!F379),"",'Autoévaluation client'!F379)</f>
        <v/>
      </c>
      <c r="F371" s="120"/>
      <c r="G371" s="120"/>
      <c r="H371" s="120"/>
      <c r="I371" s="120"/>
      <c r="J371" s="120"/>
      <c r="K371" s="120"/>
      <c r="L371" s="112"/>
      <c r="M371" s="37">
        <v>4</v>
      </c>
      <c r="N371" s="27"/>
      <c r="O371" s="28">
        <f t="shared" si="65"/>
        <v>0</v>
      </c>
      <c r="P371" s="43">
        <f t="shared" si="66"/>
        <v>0</v>
      </c>
      <c r="Q371" s="36"/>
      <c r="R371" s="27"/>
    </row>
    <row r="372" spans="1:18" ht="26.4" x14ac:dyDescent="0.3">
      <c r="A372" s="3" t="str">
        <f>'Autoévaluation client'!A380</f>
        <v>6.1.3.a</v>
      </c>
      <c r="B372" s="6" t="str">
        <f>'Autoévaluation client'!C380</f>
        <v>Qui participe à l'élaboration de mesures:
Supérieurs hiérarchiques?</v>
      </c>
      <c r="C372" s="38">
        <f>IF(ISBLANK('Autoévaluation client'!D380),0,1)</f>
        <v>0</v>
      </c>
      <c r="D372" s="165" t="str">
        <f>IF(AND('Autoévaluation client'!D380="",'Autoévaluation client'!E380=""),"*","")</f>
        <v>*</v>
      </c>
      <c r="E372" s="39" t="str">
        <f>IF(ISBLANK('Autoévaluation client'!F380),"",'Autoévaluation client'!F380)</f>
        <v/>
      </c>
      <c r="F372" s="120"/>
      <c r="G372" s="120"/>
      <c r="H372" s="120"/>
      <c r="I372" s="120"/>
      <c r="J372" s="120"/>
      <c r="K372" s="120"/>
      <c r="L372" s="112"/>
      <c r="M372" s="37">
        <v>1</v>
      </c>
      <c r="N372" s="27"/>
      <c r="O372" s="28">
        <f t="shared" si="65"/>
        <v>0</v>
      </c>
      <c r="P372" s="43">
        <f t="shared" si="66"/>
        <v>0</v>
      </c>
      <c r="Q372" s="36"/>
      <c r="R372" s="36"/>
    </row>
    <row r="373" spans="1:18" x14ac:dyDescent="0.3">
      <c r="A373" s="3" t="str">
        <f>'Autoévaluation client'!A381</f>
        <v>6.1.3.b</v>
      </c>
      <c r="B373" s="6" t="str">
        <f>'Autoévaluation client'!C381</f>
        <v>Collaborateurs?</v>
      </c>
      <c r="C373" s="38">
        <f>IF(ISBLANK('Autoévaluation client'!D381),0,1)</f>
        <v>0</v>
      </c>
      <c r="D373" s="165" t="str">
        <f>IF(AND('Autoévaluation client'!D381="",'Autoévaluation client'!E381=""),"*","")</f>
        <v>*</v>
      </c>
      <c r="E373" s="39" t="str">
        <f>IF(ISBLANK('Autoévaluation client'!F381),"",'Autoévaluation client'!F381)</f>
        <v/>
      </c>
      <c r="F373" s="118"/>
      <c r="G373" s="118"/>
      <c r="H373" s="118"/>
      <c r="I373" s="118"/>
      <c r="J373" s="118"/>
      <c r="K373" s="118"/>
      <c r="L373" s="112"/>
      <c r="M373" s="37">
        <v>1</v>
      </c>
      <c r="N373" s="27"/>
      <c r="O373" s="28">
        <f t="shared" si="65"/>
        <v>0</v>
      </c>
      <c r="P373" s="43">
        <f t="shared" si="66"/>
        <v>0</v>
      </c>
      <c r="Q373" s="36"/>
      <c r="R373" s="27"/>
    </row>
    <row r="374" spans="1:18" x14ac:dyDescent="0.3">
      <c r="A374" s="3" t="str">
        <f>'Autoévaluation client'!A382</f>
        <v>6.1.3.c</v>
      </c>
      <c r="B374" s="6" t="str">
        <f>'Autoévaluation client'!C382</f>
        <v>Préposés à la sécurité?</v>
      </c>
      <c r="C374" s="38">
        <f>IF(ISBLANK('Autoévaluation client'!D382),0,1)</f>
        <v>0</v>
      </c>
      <c r="D374" s="165" t="str">
        <f>IF(AND('Autoévaluation client'!D382="",'Autoévaluation client'!E382=""),"*","")</f>
        <v>*</v>
      </c>
      <c r="E374" s="39" t="str">
        <f>IF(ISBLANK('Autoévaluation client'!F382),"",'Autoévaluation client'!F382)</f>
        <v/>
      </c>
      <c r="F374" s="118"/>
      <c r="G374" s="118"/>
      <c r="H374" s="118"/>
      <c r="I374" s="118"/>
      <c r="J374" s="118"/>
      <c r="K374" s="118"/>
      <c r="L374" s="112"/>
      <c r="M374" s="37">
        <v>1</v>
      </c>
      <c r="N374" s="27"/>
      <c r="O374" s="28">
        <f t="shared" si="65"/>
        <v>0</v>
      </c>
      <c r="P374" s="43">
        <f t="shared" si="66"/>
        <v>0</v>
      </c>
      <c r="Q374" s="36"/>
      <c r="R374" s="27"/>
    </row>
    <row r="375" spans="1:18" x14ac:dyDescent="0.3">
      <c r="A375" s="3" t="str">
        <f>'Autoévaluation client'!A383</f>
        <v>6.1.3.d</v>
      </c>
      <c r="B375" s="6" t="str">
        <f>'Autoévaluation client'!C383</f>
        <v>Organisation de la sécurité?</v>
      </c>
      <c r="C375" s="38">
        <f>IF(ISBLANK('Autoévaluation client'!D383),0,1)</f>
        <v>0</v>
      </c>
      <c r="D375" s="165" t="str">
        <f>IF(AND('Autoévaluation client'!D383="",'Autoévaluation client'!E383=""),"*","")</f>
        <v>*</v>
      </c>
      <c r="E375" s="39" t="str">
        <f>IF(ISBLANK('Autoévaluation client'!F383),"",'Autoévaluation client'!F383)</f>
        <v/>
      </c>
      <c r="F375" s="120"/>
      <c r="G375" s="120"/>
      <c r="H375" s="120"/>
      <c r="I375" s="120"/>
      <c r="J375" s="120"/>
      <c r="K375" s="120"/>
      <c r="L375" s="112"/>
      <c r="M375" s="37">
        <v>0</v>
      </c>
      <c r="N375" s="27"/>
      <c r="O375" s="28">
        <f t="shared" si="65"/>
        <v>0</v>
      </c>
      <c r="P375" s="43">
        <f t="shared" si="66"/>
        <v>0</v>
      </c>
      <c r="Q375" s="36"/>
      <c r="R375" s="27"/>
    </row>
    <row r="376" spans="1:18" x14ac:dyDescent="0.3">
      <c r="A376" s="3" t="str">
        <f>'Autoévaluation client'!A384</f>
        <v>6.1.3.e</v>
      </c>
      <c r="B376" s="6" t="str">
        <f>'Autoévaluation client'!C384</f>
        <v>Autres? Si oui, qui?</v>
      </c>
      <c r="C376" s="38">
        <f>IF(ISBLANK('Autoévaluation client'!D384),0,1)</f>
        <v>0</v>
      </c>
      <c r="D376" s="165" t="str">
        <f>IF(AND('Autoévaluation client'!D384="",'Autoévaluation client'!E384=""),"*","")</f>
        <v>*</v>
      </c>
      <c r="E376" s="39" t="str">
        <f>IF(ISBLANK('Autoévaluation client'!F384),"",'Autoévaluation client'!F384)</f>
        <v/>
      </c>
      <c r="F376" s="118"/>
      <c r="G376" s="118"/>
      <c r="H376" s="118"/>
      <c r="I376" s="118"/>
      <c r="J376" s="118"/>
      <c r="K376" s="118"/>
      <c r="L376" s="112"/>
      <c r="M376" s="37">
        <v>0</v>
      </c>
      <c r="N376" s="27"/>
      <c r="O376" s="28">
        <f t="shared" si="65"/>
        <v>0</v>
      </c>
      <c r="P376" s="43">
        <f t="shared" si="66"/>
        <v>0</v>
      </c>
      <c r="Q376" s="36"/>
      <c r="R376" s="27"/>
    </row>
    <row r="377" spans="1:18" ht="26.4" x14ac:dyDescent="0.3">
      <c r="A377" s="3" t="str">
        <f>'Autoévaluation client'!A385</f>
        <v>6.1.4.</v>
      </c>
      <c r="B377" s="6" t="str">
        <f>'Autoévaluation client'!C385</f>
        <v>Fixez-vous un délai pour l'exécution des mesures à prendre et contrôlez-vous le respect dudit délai?</v>
      </c>
      <c r="C377" s="38">
        <f>IF(ISBLANK('Autoévaluation client'!D385),0,1)</f>
        <v>0</v>
      </c>
      <c r="D377" s="165" t="str">
        <f>IF(AND('Autoévaluation client'!D385="",'Autoévaluation client'!E385=""),"*","")</f>
        <v>*</v>
      </c>
      <c r="E377" s="39" t="str">
        <f>IF(ISBLANK('Autoévaluation client'!F385),"",'Autoévaluation client'!F385)</f>
        <v/>
      </c>
      <c r="F377" s="118"/>
      <c r="G377" s="118"/>
      <c r="H377" s="118"/>
      <c r="I377" s="118"/>
      <c r="J377" s="118"/>
      <c r="K377" s="118"/>
      <c r="L377" s="112"/>
      <c r="M377" s="37">
        <v>1</v>
      </c>
      <c r="N377" s="27"/>
      <c r="O377" s="28">
        <f t="shared" si="65"/>
        <v>0</v>
      </c>
      <c r="P377" s="43">
        <f t="shared" si="66"/>
        <v>0</v>
      </c>
      <c r="Q377" s="36"/>
      <c r="R377" s="27"/>
    </row>
    <row r="378" spans="1:18" x14ac:dyDescent="0.3">
      <c r="A378" s="3" t="str">
        <f>'Autoévaluation client'!A386</f>
        <v>6.1.5.</v>
      </c>
      <c r="B378" s="6" t="str">
        <f>'Autoévaluation client'!C386</f>
        <v>Vérifiez-vous l'efficacité des mesures prises?</v>
      </c>
      <c r="C378" s="38">
        <f>IF(ISBLANK('Autoévaluation client'!D386),0,1)</f>
        <v>0</v>
      </c>
      <c r="D378" s="165" t="str">
        <f>IF(AND('Autoévaluation client'!D386="",'Autoévaluation client'!E386=""),"*","")</f>
        <v>*</v>
      </c>
      <c r="E378" s="39" t="str">
        <f>IF(ISBLANK('Autoévaluation client'!F386),"",'Autoévaluation client'!F386)</f>
        <v/>
      </c>
      <c r="F378" s="118"/>
      <c r="G378" s="118"/>
      <c r="H378" s="118"/>
      <c r="I378" s="118"/>
      <c r="J378" s="118"/>
      <c r="K378" s="118"/>
      <c r="L378" s="112"/>
      <c r="M378" s="37">
        <v>1</v>
      </c>
      <c r="N378" s="27"/>
      <c r="O378" s="28">
        <f t="shared" si="65"/>
        <v>0</v>
      </c>
      <c r="P378" s="43">
        <f t="shared" si="66"/>
        <v>0</v>
      </c>
      <c r="Q378" s="36"/>
      <c r="R378" s="27"/>
    </row>
    <row r="379" spans="1:18" ht="39.6" x14ac:dyDescent="0.3">
      <c r="A379" s="3" t="str">
        <f>'Autoévaluation client'!A387</f>
        <v>6.1.6.</v>
      </c>
      <c r="B379" s="6" t="str">
        <f>'Autoévaluation client'!C387</f>
        <v>Les effets des mesures prises et mises en œuvre sont-ils pris en considération lors de la définition des objectifs en matière  de sécurité et de protection de la santé?</v>
      </c>
      <c r="C379" s="38">
        <f>IF(ISBLANK('Autoévaluation client'!D387),0,1)</f>
        <v>0</v>
      </c>
      <c r="D379" s="165" t="str">
        <f>IF(AND('Autoévaluation client'!D387="",'Autoévaluation client'!E387=""),"*","")</f>
        <v>*</v>
      </c>
      <c r="E379" s="39" t="str">
        <f>IF(ISBLANK('Autoévaluation client'!F387),"",'Autoévaluation client'!F387)</f>
        <v/>
      </c>
      <c r="F379" s="118"/>
      <c r="G379" s="118"/>
      <c r="H379" s="118"/>
      <c r="I379" s="118"/>
      <c r="J379" s="118"/>
      <c r="K379" s="118"/>
      <c r="L379" s="112"/>
      <c r="M379" s="37">
        <v>1</v>
      </c>
      <c r="N379" s="27"/>
      <c r="O379" s="28">
        <f t="shared" si="65"/>
        <v>0</v>
      </c>
      <c r="P379" s="43">
        <f t="shared" si="66"/>
        <v>0</v>
      </c>
      <c r="Q379" s="36"/>
      <c r="R379" s="27"/>
    </row>
    <row r="380" spans="1:18" x14ac:dyDescent="0.3">
      <c r="A380" s="20" t="str">
        <f>'Autoévaluation client'!A388</f>
        <v>6.2.</v>
      </c>
      <c r="B380" s="20" t="str">
        <f>'Autoévaluation client'!B388</f>
        <v>Programmes de sécurité</v>
      </c>
      <c r="C380" s="21">
        <f>O380/N380</f>
        <v>0</v>
      </c>
      <c r="D380" s="23" t="str">
        <f>IF(ISBLANK('Autoévaluation client'!E388),"",'Autoévaluation client'!E388)</f>
        <v/>
      </c>
      <c r="E380" s="23" t="str">
        <f>IF(ISBLANK('Autoévaluation client'!F388),"",'Autoévaluation client'!F388)</f>
        <v/>
      </c>
      <c r="F380" s="115"/>
      <c r="G380" s="115"/>
      <c r="H380" s="115"/>
      <c r="I380" s="115"/>
      <c r="J380" s="115"/>
      <c r="K380" s="115"/>
      <c r="L380" s="50">
        <f>P380/N380</f>
        <v>0</v>
      </c>
      <c r="M380" s="22">
        <v>2</v>
      </c>
      <c r="N380" s="22">
        <f>SUM(M381:M391)</f>
        <v>18</v>
      </c>
      <c r="O380" s="24">
        <f>SUM(O381:O391)</f>
        <v>0</v>
      </c>
      <c r="P380" s="24">
        <f>SUM(P381:P391)</f>
        <v>0</v>
      </c>
      <c r="Q380" s="52">
        <f>O380/$N380*$M380</f>
        <v>0</v>
      </c>
      <c r="R380" s="52">
        <f>P380/$N380*$M380</f>
        <v>0</v>
      </c>
    </row>
    <row r="381" spans="1:18" ht="52.8" x14ac:dyDescent="0.3">
      <c r="A381" s="3" t="str">
        <f>'Autoévaluation client'!A389</f>
        <v>6.2.1.a</v>
      </c>
      <c r="B381" s="6" t="str">
        <f>'Autoévaluation client'!C389</f>
        <v>Des programmes de sécurité en vue de la promotion ont-ils été mis sur pied dans votre entreprise au cours des deux dernières années?
Sécurité au travail?</v>
      </c>
      <c r="C381" s="38">
        <f>IF(ISBLANK('Autoévaluation client'!D389),0,1)</f>
        <v>0</v>
      </c>
      <c r="D381" s="165" t="str">
        <f>IF(AND('Autoévaluation client'!D389="",'Autoévaluation client'!E389=""),"*","")</f>
        <v>*</v>
      </c>
      <c r="E381" s="39" t="str">
        <f>IF(ISBLANK('Autoévaluation client'!F389),"",'Autoévaluation client'!F389)</f>
        <v/>
      </c>
      <c r="F381" s="118"/>
      <c r="G381" s="118"/>
      <c r="H381" s="118"/>
      <c r="I381" s="118"/>
      <c r="J381" s="118"/>
      <c r="K381" s="118"/>
      <c r="L381" s="112"/>
      <c r="M381" s="37">
        <v>6</v>
      </c>
      <c r="N381" s="27"/>
      <c r="O381" s="28">
        <f t="shared" ref="O381:O391" si="67">M381*C381</f>
        <v>0</v>
      </c>
      <c r="P381" s="43">
        <f>L381*M381</f>
        <v>0</v>
      </c>
      <c r="Q381" s="36"/>
      <c r="R381" s="27"/>
    </row>
    <row r="382" spans="1:18" x14ac:dyDescent="0.3">
      <c r="A382" s="3" t="str">
        <f>'Autoévaluation client'!A390</f>
        <v>6.2.1.b</v>
      </c>
      <c r="B382" s="6" t="str">
        <f>'Autoévaluation client'!C390</f>
        <v>Sécurité durant les loisirs?</v>
      </c>
      <c r="C382" s="38">
        <f>IF(ISBLANK('Autoévaluation client'!D390),0,1)</f>
        <v>0</v>
      </c>
      <c r="D382" s="165" t="str">
        <f>IF(AND('Autoévaluation client'!D390="",'Autoévaluation client'!E390=""),"*","")</f>
        <v>*</v>
      </c>
      <c r="E382" s="39" t="str">
        <f>IF(ISBLANK('Autoévaluation client'!F390),"",'Autoévaluation client'!F390)</f>
        <v/>
      </c>
      <c r="F382" s="118"/>
      <c r="G382" s="118"/>
      <c r="H382" s="118"/>
      <c r="I382" s="118"/>
      <c r="J382" s="118"/>
      <c r="K382" s="118"/>
      <c r="L382" s="112"/>
      <c r="M382" s="37">
        <v>4</v>
      </c>
      <c r="N382" s="27"/>
      <c r="O382" s="28">
        <f t="shared" si="67"/>
        <v>0</v>
      </c>
      <c r="P382" s="43">
        <f t="shared" ref="P382:P391" si="68">L382*M382</f>
        <v>0</v>
      </c>
      <c r="Q382" s="36"/>
      <c r="R382" s="27"/>
    </row>
    <row r="383" spans="1:18" x14ac:dyDescent="0.3">
      <c r="A383" s="3" t="str">
        <f>'Autoévaluation client'!A391</f>
        <v>6.2.1.c</v>
      </c>
      <c r="B383" s="6" t="str">
        <f>'Autoévaluation client'!C391</f>
        <v>Promotion de la santé?</v>
      </c>
      <c r="C383" s="38">
        <f>IF(ISBLANK('Autoévaluation client'!D391),0,1)</f>
        <v>0</v>
      </c>
      <c r="D383" s="165" t="str">
        <f>IF(AND('Autoévaluation client'!D391="",'Autoévaluation client'!E391=""),"*","")</f>
        <v>*</v>
      </c>
      <c r="E383" s="39" t="str">
        <f>IF(ISBLANK('Autoévaluation client'!F391),"",'Autoévaluation client'!F391)</f>
        <v/>
      </c>
      <c r="F383" s="120"/>
      <c r="G383" s="120"/>
      <c r="H383" s="120"/>
      <c r="I383" s="120"/>
      <c r="J383" s="120"/>
      <c r="K383" s="120"/>
      <c r="L383" s="112"/>
      <c r="M383" s="37">
        <v>2</v>
      </c>
      <c r="N383" s="27"/>
      <c r="O383" s="28">
        <f t="shared" si="67"/>
        <v>0</v>
      </c>
      <c r="P383" s="43">
        <f t="shared" si="68"/>
        <v>0</v>
      </c>
      <c r="Q383" s="36"/>
      <c r="R383" s="27"/>
    </row>
    <row r="384" spans="1:18" ht="26.4" x14ac:dyDescent="0.3">
      <c r="A384" s="3" t="str">
        <f>'Autoévaluation client'!A392</f>
        <v>6.2.2.a</v>
      </c>
      <c r="B384" s="6" t="str">
        <f>'Autoévaluation client'!C392</f>
        <v>Même question à propos des programmes suivants:
Echafaudages sûrs?</v>
      </c>
      <c r="C384" s="38">
        <f>IF(ISBLANK('Autoévaluation client'!D392),0,1)</f>
        <v>0</v>
      </c>
      <c r="D384" s="165" t="str">
        <f>IF(AND('Autoévaluation client'!D392="",'Autoévaluation client'!E392=""),"*","")</f>
        <v>*</v>
      </c>
      <c r="E384" s="39" t="str">
        <f>IF(ISBLANK('Autoévaluation client'!F392),"",'Autoévaluation client'!F392)</f>
        <v/>
      </c>
      <c r="F384" s="118"/>
      <c r="G384" s="118"/>
      <c r="H384" s="118"/>
      <c r="I384" s="118"/>
      <c r="J384" s="118"/>
      <c r="K384" s="118"/>
      <c r="L384" s="112"/>
      <c r="M384" s="37">
        <v>0</v>
      </c>
      <c r="N384" s="27"/>
      <c r="O384" s="28">
        <f t="shared" si="67"/>
        <v>0</v>
      </c>
      <c r="P384" s="43">
        <f t="shared" si="68"/>
        <v>0</v>
      </c>
      <c r="Q384" s="36"/>
      <c r="R384" s="27"/>
    </row>
    <row r="385" spans="1:18" x14ac:dyDescent="0.3">
      <c r="A385" s="3" t="str">
        <f>'Autoévaluation client'!A393</f>
        <v>6.2.2.b</v>
      </c>
      <c r="B385" s="6" t="str">
        <f>'Autoévaluation client'!C393</f>
        <v>Presses sécurisées?</v>
      </c>
      <c r="C385" s="38">
        <f>IF(ISBLANK('Autoévaluation client'!D393),0,1)</f>
        <v>0</v>
      </c>
      <c r="D385" s="165" t="str">
        <f>IF(AND('Autoévaluation client'!D393="",'Autoévaluation client'!E393=""),"*","")</f>
        <v>*</v>
      </c>
      <c r="E385" s="39" t="str">
        <f>IF(ISBLANK('Autoévaluation client'!F393),"",'Autoévaluation client'!F393)</f>
        <v/>
      </c>
      <c r="F385" s="118"/>
      <c r="G385" s="118"/>
      <c r="H385" s="118"/>
      <c r="I385" s="118"/>
      <c r="J385" s="118"/>
      <c r="K385" s="118"/>
      <c r="L385" s="112"/>
      <c r="M385" s="37">
        <v>1</v>
      </c>
      <c r="N385" s="27"/>
      <c r="O385" s="28">
        <f t="shared" si="67"/>
        <v>0</v>
      </c>
      <c r="P385" s="43">
        <f t="shared" si="68"/>
        <v>0</v>
      </c>
      <c r="Q385" s="36"/>
      <c r="R385" s="27"/>
    </row>
    <row r="386" spans="1:18" x14ac:dyDescent="0.3">
      <c r="A386" s="3" t="str">
        <f>'Autoévaluation client'!A394</f>
        <v>6.2.2.c</v>
      </c>
      <c r="B386" s="6" t="str">
        <f>'Autoévaluation client'!C394</f>
        <v>STOP à la manipulation des dispositifs de protection?</v>
      </c>
      <c r="C386" s="38">
        <f>IF(ISBLANK('Autoévaluation client'!D394),0,1)</f>
        <v>0</v>
      </c>
      <c r="D386" s="165" t="str">
        <f>IF(AND('Autoévaluation client'!D394="",'Autoévaluation client'!E394=""),"*","")</f>
        <v>*</v>
      </c>
      <c r="E386" s="39" t="str">
        <f>IF(ISBLANK('Autoévaluation client'!F394),"",'Autoévaluation client'!F394)</f>
        <v/>
      </c>
      <c r="F386" s="118"/>
      <c r="G386" s="118"/>
      <c r="H386" s="118"/>
      <c r="I386" s="118"/>
      <c r="J386" s="118"/>
      <c r="K386" s="118"/>
      <c r="L386" s="112"/>
      <c r="M386" s="37">
        <v>1</v>
      </c>
      <c r="N386" s="27"/>
      <c r="O386" s="28">
        <f t="shared" si="67"/>
        <v>0</v>
      </c>
      <c r="P386" s="43">
        <f t="shared" si="68"/>
        <v>0</v>
      </c>
      <c r="Q386" s="36"/>
      <c r="R386" s="27"/>
    </row>
    <row r="387" spans="1:18" x14ac:dyDescent="0.3">
      <c r="A387" s="3" t="str">
        <f>'Autoévaluation client'!A395</f>
        <v>6.2.2.d</v>
      </c>
      <c r="B387" s="6" t="str">
        <f>'Autoévaluation client'!C395</f>
        <v>trébucher.ch?</v>
      </c>
      <c r="C387" s="38">
        <f>IF(ISBLANK('Autoévaluation client'!D395),0,1)</f>
        <v>0</v>
      </c>
      <c r="D387" s="165" t="str">
        <f>IF(AND('Autoévaluation client'!D395="",'Autoévaluation client'!E395=""),"*","")</f>
        <v>*</v>
      </c>
      <c r="E387" s="39" t="str">
        <f>IF(ISBLANK('Autoévaluation client'!F395),"",'Autoévaluation client'!F395)</f>
        <v/>
      </c>
      <c r="F387" s="118"/>
      <c r="G387" s="118"/>
      <c r="H387" s="118"/>
      <c r="I387" s="118"/>
      <c r="J387" s="118"/>
      <c r="K387" s="118"/>
      <c r="L387" s="112"/>
      <c r="M387" s="37">
        <v>1</v>
      </c>
      <c r="N387" s="27"/>
      <c r="O387" s="28">
        <f t="shared" si="67"/>
        <v>0</v>
      </c>
      <c r="P387" s="43">
        <f t="shared" si="68"/>
        <v>0</v>
      </c>
      <c r="Q387" s="36"/>
      <c r="R387" s="27"/>
    </row>
    <row r="388" spans="1:18" x14ac:dyDescent="0.3">
      <c r="A388" s="3" t="str">
        <f>'Autoévaluation client'!A396</f>
        <v>6.2.2.e</v>
      </c>
      <c r="B388" s="6" t="str">
        <f>'Autoévaluation client'!C396</f>
        <v>Amiante?</v>
      </c>
      <c r="C388" s="38">
        <f>IF(ISBLANK('Autoévaluation client'!D396),0,1)</f>
        <v>0</v>
      </c>
      <c r="D388" s="165" t="str">
        <f>IF(AND('Autoévaluation client'!D396="",'Autoévaluation client'!E396=""),"*","")</f>
        <v>*</v>
      </c>
      <c r="E388" s="39" t="str">
        <f>IF(ISBLANK('Autoévaluation client'!F396),"",'Autoévaluation client'!F396)</f>
        <v/>
      </c>
      <c r="F388" s="118"/>
      <c r="G388" s="118"/>
      <c r="H388" s="118"/>
      <c r="I388" s="118"/>
      <c r="J388" s="118"/>
      <c r="K388" s="118"/>
      <c r="L388" s="112"/>
      <c r="M388" s="37">
        <v>1</v>
      </c>
      <c r="N388" s="27"/>
      <c r="O388" s="28">
        <f t="shared" si="67"/>
        <v>0</v>
      </c>
      <c r="P388" s="43">
        <f t="shared" si="68"/>
        <v>0</v>
      </c>
      <c r="Q388" s="36"/>
      <c r="R388" s="27"/>
    </row>
    <row r="389" spans="1:18" x14ac:dyDescent="0.3">
      <c r="A389" s="3" t="str">
        <f>'Autoévaluation client'!A397</f>
        <v>6.2.2.f</v>
      </c>
      <c r="B389" s="6" t="str">
        <f>'Autoévaluation client'!C397</f>
        <v>Maintenance?</v>
      </c>
      <c r="C389" s="38">
        <f>IF(ISBLANK('Autoévaluation client'!D397),0,1)</f>
        <v>0</v>
      </c>
      <c r="D389" s="165" t="str">
        <f>IF(AND('Autoévaluation client'!D397="",'Autoévaluation client'!E397=""),"*","")</f>
        <v>*</v>
      </c>
      <c r="E389" s="39" t="str">
        <f>IF(ISBLANK('Autoévaluation client'!F397),"",'Autoévaluation client'!F397)</f>
        <v/>
      </c>
      <c r="F389" s="118"/>
      <c r="G389" s="118"/>
      <c r="H389" s="118"/>
      <c r="I389" s="118"/>
      <c r="J389" s="118"/>
      <c r="K389" s="118"/>
      <c r="L389" s="112"/>
      <c r="M389" s="37">
        <v>0</v>
      </c>
      <c r="N389" s="27"/>
      <c r="O389" s="28">
        <f t="shared" si="67"/>
        <v>0</v>
      </c>
      <c r="P389" s="43">
        <f t="shared" si="68"/>
        <v>0</v>
      </c>
      <c r="Q389" s="36"/>
      <c r="R389" s="27"/>
    </row>
    <row r="390" spans="1:18" x14ac:dyDescent="0.3">
      <c r="A390" s="3" t="str">
        <f>'Autoévaluation client'!A398</f>
        <v>6.2.2.g</v>
      </c>
      <c r="B390" s="6" t="str">
        <f>'Autoévaluation client'!C398</f>
        <v>Apprentissage en toute sécurité?</v>
      </c>
      <c r="C390" s="38">
        <f>IF(ISBLANK('Autoévaluation client'!D398),0,1)</f>
        <v>0</v>
      </c>
      <c r="D390" s="165" t="str">
        <f>IF(AND('Autoévaluation client'!D398="",'Autoévaluation client'!E398=""),"*","")</f>
        <v>*</v>
      </c>
      <c r="E390" s="39" t="str">
        <f>IF(ISBLANK('Autoévaluation client'!F398),"",'Autoévaluation client'!F398)</f>
        <v/>
      </c>
      <c r="F390" s="118"/>
      <c r="G390" s="118"/>
      <c r="H390" s="118"/>
      <c r="I390" s="118"/>
      <c r="J390" s="118"/>
      <c r="K390" s="118"/>
      <c r="L390" s="112"/>
      <c r="M390" s="37">
        <v>1</v>
      </c>
      <c r="N390" s="27"/>
      <c r="O390" s="28">
        <f t="shared" si="67"/>
        <v>0</v>
      </c>
      <c r="P390" s="43">
        <f t="shared" si="68"/>
        <v>0</v>
      </c>
      <c r="Q390" s="36"/>
      <c r="R390" s="27"/>
    </row>
    <row r="391" spans="1:18" x14ac:dyDescent="0.3">
      <c r="A391" s="3" t="str">
        <f>'Autoévaluation client'!A399</f>
        <v>6.2.2.h</v>
      </c>
      <c r="B391" s="6" t="str">
        <f>'Autoévaluation client'!C399</f>
        <v>Autres programmes de sécurité? Si oui, lesquels?</v>
      </c>
      <c r="C391" s="38">
        <f>IF(ISBLANK('Autoévaluation client'!D399),0,1)</f>
        <v>0</v>
      </c>
      <c r="D391" s="165" t="str">
        <f>IF(AND('Autoévaluation client'!D399="",'Autoévaluation client'!E399=""),"*","")</f>
        <v>*</v>
      </c>
      <c r="E391" s="39" t="str">
        <f>IF(ISBLANK('Autoévaluation client'!F399),"",'Autoévaluation client'!F399)</f>
        <v/>
      </c>
      <c r="F391" s="120"/>
      <c r="G391" s="120"/>
      <c r="H391" s="120"/>
      <c r="I391" s="120"/>
      <c r="J391" s="120"/>
      <c r="K391" s="120"/>
      <c r="L391" s="112"/>
      <c r="M391" s="37">
        <v>1</v>
      </c>
      <c r="N391" s="27"/>
      <c r="O391" s="28">
        <f t="shared" si="67"/>
        <v>0</v>
      </c>
      <c r="P391" s="43">
        <f t="shared" si="68"/>
        <v>0</v>
      </c>
      <c r="Q391" s="36"/>
      <c r="R391" s="36"/>
    </row>
    <row r="392" spans="1:18" x14ac:dyDescent="0.3">
      <c r="A392" s="34" t="str">
        <f>'Autoévaluation client'!A401</f>
        <v>7.</v>
      </c>
      <c r="B392" s="7" t="str">
        <f>'Autoévaluation client'!B401</f>
        <v>Organisation en cas d’urgence</v>
      </c>
      <c r="C392" s="30">
        <f>O392/N392</f>
        <v>0</v>
      </c>
      <c r="D392" s="18"/>
      <c r="E392" s="18"/>
      <c r="F392" s="18"/>
      <c r="G392" s="18"/>
      <c r="H392" s="18"/>
      <c r="I392" s="18"/>
      <c r="J392" s="18"/>
      <c r="K392" s="18"/>
      <c r="L392" s="114">
        <f>P392/N392</f>
        <v>0</v>
      </c>
      <c r="M392" s="5"/>
      <c r="N392" s="5">
        <f>SUM(M393,M410,M423)</f>
        <v>3</v>
      </c>
      <c r="O392" s="48">
        <f>SUM(Q393:Q428)</f>
        <v>0</v>
      </c>
      <c r="P392" s="48">
        <f>SUM(R393:R428)</f>
        <v>0</v>
      </c>
      <c r="Q392" s="35"/>
      <c r="R392" s="35"/>
    </row>
    <row r="393" spans="1:18" x14ac:dyDescent="0.3">
      <c r="A393" s="20" t="str">
        <f>'Autoévaluation client'!A403</f>
        <v>7.1.</v>
      </c>
      <c r="B393" s="20" t="str">
        <f>'Autoévaluation client'!B403</f>
        <v>Concept en cas d’urgences</v>
      </c>
      <c r="C393" s="21">
        <f>O393/N393</f>
        <v>0</v>
      </c>
      <c r="D393" s="23"/>
      <c r="E393" s="23"/>
      <c r="F393" s="115"/>
      <c r="G393" s="115"/>
      <c r="H393" s="115"/>
      <c r="I393" s="115"/>
      <c r="J393" s="115"/>
      <c r="K393" s="115"/>
      <c r="L393" s="50">
        <f>P393/N393</f>
        <v>0</v>
      </c>
      <c r="M393" s="22">
        <v>1</v>
      </c>
      <c r="N393" s="22">
        <f>SUM(M394:M409)</f>
        <v>23</v>
      </c>
      <c r="O393" s="24">
        <f>SUM(O394:O409)</f>
        <v>0</v>
      </c>
      <c r="P393" s="24">
        <f>SUM(P394:P409)</f>
        <v>0</v>
      </c>
      <c r="Q393" s="52">
        <f>O393/$N393*$M393</f>
        <v>0</v>
      </c>
      <c r="R393" s="52">
        <f>P393/$N393*$M393</f>
        <v>0</v>
      </c>
    </row>
    <row r="394" spans="1:18" ht="26.4" x14ac:dyDescent="0.3">
      <c r="A394" s="3" t="str">
        <f>'Autoévaluation client'!A404</f>
        <v>7.1.1.</v>
      </c>
      <c r="B394" s="6" t="str">
        <f>'Autoévaluation client'!C404</f>
        <v>Disposez-vous d'un concept d'intervention d'urgence répondant aux risques présents dans l'entreprise?</v>
      </c>
      <c r="C394" s="38">
        <f>IF(ISBLANK('Autoévaluation client'!D404),0,1)</f>
        <v>0</v>
      </c>
      <c r="D394" s="165" t="str">
        <f>IF(AND('Autoévaluation client'!D404="",'Autoévaluation client'!E404=""),"*","")</f>
        <v>*</v>
      </c>
      <c r="E394" s="39" t="str">
        <f>IF(ISBLANK('Autoévaluation client'!F404),"",'Autoévaluation client'!F404)</f>
        <v/>
      </c>
      <c r="F394" s="118"/>
      <c r="G394" s="118"/>
      <c r="H394" s="118"/>
      <c r="I394" s="118"/>
      <c r="J394" s="118"/>
      <c r="K394" s="118"/>
      <c r="L394" s="112"/>
      <c r="M394" s="37">
        <v>3</v>
      </c>
      <c r="N394" s="27"/>
      <c r="O394" s="28">
        <f t="shared" ref="O394:O409" si="69">C394*M394</f>
        <v>0</v>
      </c>
      <c r="P394" s="43">
        <f t="shared" ref="P394:P409" si="70">L394*M394</f>
        <v>0</v>
      </c>
      <c r="Q394" s="36"/>
      <c r="R394" s="27"/>
    </row>
    <row r="395" spans="1:18" ht="39.6" x14ac:dyDescent="0.3">
      <c r="A395" s="3" t="str">
        <f>'Autoévaluation client'!A405</f>
        <v>7.1.2.</v>
      </c>
      <c r="B395" s="6" t="str">
        <f>'Autoévaluation client'!C405</f>
        <v>Est-il certain que les premiers secours rapides et compétents sont garantis en cas d'accident ou de maladie subite?</v>
      </c>
      <c r="C395" s="38">
        <f>IF(ISBLANK('Autoévaluation client'!D405),0,1)</f>
        <v>0</v>
      </c>
      <c r="D395" s="165" t="str">
        <f>IF(AND('Autoévaluation client'!D405="",'Autoévaluation client'!E405=""),"*","")</f>
        <v>*</v>
      </c>
      <c r="E395" s="39" t="str">
        <f>IF(ISBLANK('Autoévaluation client'!F405),"",'Autoévaluation client'!F405)</f>
        <v/>
      </c>
      <c r="F395" s="120"/>
      <c r="G395" s="120"/>
      <c r="H395" s="120"/>
      <c r="I395" s="120"/>
      <c r="J395" s="120"/>
      <c r="K395" s="120"/>
      <c r="L395" s="112"/>
      <c r="M395" s="37">
        <v>3</v>
      </c>
      <c r="N395" s="27"/>
      <c r="O395" s="28">
        <f t="shared" si="69"/>
        <v>0</v>
      </c>
      <c r="P395" s="43">
        <f t="shared" si="70"/>
        <v>0</v>
      </c>
      <c r="Q395" s="36"/>
      <c r="R395" s="27"/>
    </row>
    <row r="396" spans="1:18" ht="66" x14ac:dyDescent="0.3">
      <c r="A396" s="3" t="str">
        <f>'Autoévaluation client'!A406</f>
        <v>7.1.3.a</v>
      </c>
      <c r="B396" s="6" t="str">
        <f>'Autoévaluation client'!C406</f>
        <v>Les personnes et institutions suivantes de votre région sont-elles informées des risques spécifiques ou des incidents pouvant avoir lieu dans votre entreprise ainsi que des matières que vous stockez et utilisez:
Médecins?</v>
      </c>
      <c r="C396" s="38">
        <f>IF(ISBLANK('Autoévaluation client'!D406),0,1)</f>
        <v>0</v>
      </c>
      <c r="D396" s="165" t="str">
        <f>IF(AND('Autoévaluation client'!D406="",'Autoévaluation client'!E406=""),"*","")</f>
        <v>*</v>
      </c>
      <c r="E396" s="39" t="str">
        <f>IF(ISBLANK('Autoévaluation client'!F406),"",'Autoévaluation client'!F406)</f>
        <v/>
      </c>
      <c r="F396" s="118"/>
      <c r="G396" s="118"/>
      <c r="H396" s="118"/>
      <c r="I396" s="118"/>
      <c r="J396" s="118"/>
      <c r="K396" s="118"/>
      <c r="L396" s="112"/>
      <c r="M396" s="37">
        <v>0</v>
      </c>
      <c r="N396" s="27"/>
      <c r="O396" s="28">
        <f t="shared" si="69"/>
        <v>0</v>
      </c>
      <c r="P396" s="43">
        <f t="shared" si="70"/>
        <v>0</v>
      </c>
      <c r="Q396" s="36"/>
      <c r="R396" s="27"/>
    </row>
    <row r="397" spans="1:18" x14ac:dyDescent="0.3">
      <c r="A397" s="3" t="str">
        <f>'Autoévaluation client'!A407</f>
        <v>7.1.3.b</v>
      </c>
      <c r="B397" s="6" t="str">
        <f>'Autoévaluation client'!C407</f>
        <v>Hôpitaux, ambulances?</v>
      </c>
      <c r="C397" s="38">
        <f>IF(ISBLANK('Autoévaluation client'!D407),0,1)</f>
        <v>0</v>
      </c>
      <c r="D397" s="165" t="str">
        <f>IF(AND('Autoévaluation client'!D407="",'Autoévaluation client'!E407=""),"*","")</f>
        <v>*</v>
      </c>
      <c r="E397" s="39" t="str">
        <f>IF(ISBLANK('Autoévaluation client'!F407),"",'Autoévaluation client'!F407)</f>
        <v/>
      </c>
      <c r="F397" s="118"/>
      <c r="G397" s="118"/>
      <c r="H397" s="118"/>
      <c r="I397" s="118"/>
      <c r="J397" s="118"/>
      <c r="K397" s="118"/>
      <c r="L397" s="112"/>
      <c r="M397" s="37">
        <v>0</v>
      </c>
      <c r="N397" s="27"/>
      <c r="O397" s="28">
        <f t="shared" si="69"/>
        <v>0</v>
      </c>
      <c r="P397" s="43">
        <f t="shared" si="70"/>
        <v>0</v>
      </c>
      <c r="Q397" s="36"/>
      <c r="R397" s="27"/>
    </row>
    <row r="398" spans="1:18" x14ac:dyDescent="0.3">
      <c r="A398" s="3" t="str">
        <f>'Autoévaluation client'!A408</f>
        <v>7.1.3.c</v>
      </c>
      <c r="B398" s="6" t="str">
        <f>'Autoévaluation client'!C408</f>
        <v>Service du feu?</v>
      </c>
      <c r="C398" s="38">
        <f>IF(ISBLANK('Autoévaluation client'!D408),0,1)</f>
        <v>0</v>
      </c>
      <c r="D398" s="165" t="str">
        <f>IF(AND('Autoévaluation client'!D408="",'Autoévaluation client'!E408=""),"*","")</f>
        <v>*</v>
      </c>
      <c r="E398" s="39" t="str">
        <f>IF(ISBLANK('Autoévaluation client'!F408),"",'Autoévaluation client'!F408)</f>
        <v/>
      </c>
      <c r="F398" s="118"/>
      <c r="G398" s="118"/>
      <c r="H398" s="118"/>
      <c r="I398" s="118"/>
      <c r="J398" s="118"/>
      <c r="K398" s="118"/>
      <c r="L398" s="112"/>
      <c r="M398" s="37">
        <v>0</v>
      </c>
      <c r="N398" s="27"/>
      <c r="O398" s="28">
        <f t="shared" si="69"/>
        <v>0</v>
      </c>
      <c r="P398" s="43">
        <f t="shared" si="70"/>
        <v>0</v>
      </c>
      <c r="Q398" s="36"/>
      <c r="R398" s="27"/>
    </row>
    <row r="399" spans="1:18" x14ac:dyDescent="0.3">
      <c r="A399" s="3" t="str">
        <f>'Autoévaluation client'!A409</f>
        <v>7.1.3.d</v>
      </c>
      <c r="B399" s="6" t="str">
        <f>'Autoévaluation client'!C409</f>
        <v>Service de police?</v>
      </c>
      <c r="C399" s="38">
        <f>IF(ISBLANK('Autoévaluation client'!D409),0,1)</f>
        <v>0</v>
      </c>
      <c r="D399" s="165" t="str">
        <f>IF(AND('Autoévaluation client'!D409="",'Autoévaluation client'!E409=""),"*","")</f>
        <v>*</v>
      </c>
      <c r="E399" s="39" t="str">
        <f>IF(ISBLANK('Autoévaluation client'!F409),"",'Autoévaluation client'!F409)</f>
        <v/>
      </c>
      <c r="F399" s="118"/>
      <c r="G399" s="118"/>
      <c r="H399" s="118"/>
      <c r="I399" s="118"/>
      <c r="J399" s="118"/>
      <c r="K399" s="118"/>
      <c r="L399" s="112"/>
      <c r="M399" s="37">
        <v>0</v>
      </c>
      <c r="N399" s="27"/>
      <c r="O399" s="28">
        <f t="shared" si="69"/>
        <v>0</v>
      </c>
      <c r="P399" s="43">
        <f t="shared" si="70"/>
        <v>0</v>
      </c>
      <c r="Q399" s="36"/>
      <c r="R399" s="27"/>
    </row>
    <row r="400" spans="1:18" ht="26.4" x14ac:dyDescent="0.3">
      <c r="A400" s="3" t="str">
        <f>'Autoévaluation client'!A410</f>
        <v>7.1.4.</v>
      </c>
      <c r="B400" s="6" t="str">
        <f>'Autoévaluation client'!C410</f>
        <v>Votre entreprise dispose-t-elle d'un système d'avertissement ou d'alarme pour les cas d'urgence?</v>
      </c>
      <c r="C400" s="38">
        <f>IF(ISBLANK('Autoévaluation client'!D410),0,1)</f>
        <v>0</v>
      </c>
      <c r="D400" s="165" t="str">
        <f>IF(AND('Autoévaluation client'!D410="",'Autoévaluation client'!E410=""),"*","")</f>
        <v>*</v>
      </c>
      <c r="E400" s="39" t="str">
        <f>IF(ISBLANK('Autoévaluation client'!F410),"",'Autoévaluation client'!F410)</f>
        <v/>
      </c>
      <c r="F400" s="120"/>
      <c r="G400" s="120"/>
      <c r="H400" s="120"/>
      <c r="I400" s="120"/>
      <c r="J400" s="120"/>
      <c r="K400" s="120"/>
      <c r="L400" s="112"/>
      <c r="M400" s="37">
        <v>3</v>
      </c>
      <c r="N400" s="27"/>
      <c r="O400" s="28">
        <f t="shared" si="69"/>
        <v>0</v>
      </c>
      <c r="P400" s="43">
        <f t="shared" si="70"/>
        <v>0</v>
      </c>
      <c r="Q400" s="36"/>
      <c r="R400" s="36"/>
    </row>
    <row r="401" spans="1:18" ht="26.4" x14ac:dyDescent="0.3">
      <c r="A401" s="3" t="str">
        <f>'Autoévaluation client'!A411</f>
        <v>7.1.5.</v>
      </c>
      <c r="B401" s="6" t="str">
        <f>'Autoévaluation client'!C411</f>
        <v>Les numéros d'urgence sont-ils facilement reconnaissables sur tous les moyens de communication?</v>
      </c>
      <c r="C401" s="38">
        <f>IF(ISBLANK('Autoévaluation client'!D411),0,1)</f>
        <v>0</v>
      </c>
      <c r="D401" s="165" t="str">
        <f>IF(AND('Autoévaluation client'!D411="",'Autoévaluation client'!E411=""),"*","")</f>
        <v>*</v>
      </c>
      <c r="E401" s="39" t="str">
        <f>IF(ISBLANK('Autoévaluation client'!F411),"",'Autoévaluation client'!F411)</f>
        <v/>
      </c>
      <c r="F401" s="118"/>
      <c r="G401" s="118"/>
      <c r="H401" s="118"/>
      <c r="I401" s="118"/>
      <c r="J401" s="118"/>
      <c r="K401" s="118"/>
      <c r="L401" s="112"/>
      <c r="M401" s="37">
        <v>2</v>
      </c>
      <c r="N401" s="27"/>
      <c r="O401" s="28">
        <f t="shared" si="69"/>
        <v>0</v>
      </c>
      <c r="P401" s="43">
        <f t="shared" si="70"/>
        <v>0</v>
      </c>
      <c r="Q401" s="36"/>
      <c r="R401" s="27"/>
    </row>
    <row r="402" spans="1:18" ht="26.4" x14ac:dyDescent="0.3">
      <c r="A402" s="3" t="str">
        <f>'Autoévaluation client'!A412</f>
        <v>7.1.6.</v>
      </c>
      <c r="B402" s="6" t="str">
        <f>'Autoévaluation client'!C412</f>
        <v>Un accès rapide et libre au matériel de secours est-il assuré en tout temps?</v>
      </c>
      <c r="C402" s="38">
        <f>IF(ISBLANK('Autoévaluation client'!D412),0,1)</f>
        <v>0</v>
      </c>
      <c r="D402" s="165" t="str">
        <f>IF(AND('Autoévaluation client'!D412="",'Autoévaluation client'!E412=""),"*","")</f>
        <v>*</v>
      </c>
      <c r="E402" s="39" t="str">
        <f>IF(ISBLANK('Autoévaluation client'!F412),"",'Autoévaluation client'!F412)</f>
        <v/>
      </c>
      <c r="F402" s="118"/>
      <c r="G402" s="118"/>
      <c r="H402" s="118"/>
      <c r="I402" s="118"/>
      <c r="J402" s="118"/>
      <c r="K402" s="118"/>
      <c r="L402" s="112"/>
      <c r="M402" s="37">
        <v>3</v>
      </c>
      <c r="N402" s="27"/>
      <c r="O402" s="28">
        <f t="shared" si="69"/>
        <v>0</v>
      </c>
      <c r="P402" s="43">
        <f t="shared" si="70"/>
        <v>0</v>
      </c>
      <c r="Q402" s="36"/>
      <c r="R402" s="27"/>
    </row>
    <row r="403" spans="1:18" ht="26.4" x14ac:dyDescent="0.3">
      <c r="A403" s="3" t="str">
        <f>'Autoévaluation client'!A413</f>
        <v>7.1.7.a</v>
      </c>
      <c r="B403" s="6" t="str">
        <f>'Autoévaluation client'!C413</f>
        <v>Le service d'urgence est-il également assuré en cas de: 
Travail en équipe?</v>
      </c>
      <c r="C403" s="38">
        <f>IF(ISBLANK('Autoévaluation client'!D413),0,1)</f>
        <v>0</v>
      </c>
      <c r="D403" s="165" t="str">
        <f>IF(AND('Autoévaluation client'!D413="",'Autoévaluation client'!E413=""),"*","")</f>
        <v>*</v>
      </c>
      <c r="E403" s="39" t="str">
        <f>IF(ISBLANK('Autoévaluation client'!F413),"",'Autoévaluation client'!F413)</f>
        <v/>
      </c>
      <c r="F403" s="118"/>
      <c r="G403" s="118"/>
      <c r="H403" s="118"/>
      <c r="I403" s="118"/>
      <c r="J403" s="118"/>
      <c r="K403" s="118"/>
      <c r="L403" s="112"/>
      <c r="M403" s="37">
        <v>1</v>
      </c>
      <c r="N403" s="27"/>
      <c r="O403" s="28">
        <f t="shared" si="69"/>
        <v>0</v>
      </c>
      <c r="P403" s="43">
        <f t="shared" si="70"/>
        <v>0</v>
      </c>
      <c r="Q403" s="36"/>
      <c r="R403" s="27"/>
    </row>
    <row r="404" spans="1:18" x14ac:dyDescent="0.3">
      <c r="A404" s="3" t="str">
        <f>'Autoévaluation client'!A414</f>
        <v>7.1.7.b</v>
      </c>
      <c r="B404" s="6" t="str">
        <f>'Autoévaluation client'!C414</f>
        <v>Travail durant le week-end?</v>
      </c>
      <c r="C404" s="38">
        <f>IF(ISBLANK('Autoévaluation client'!D414),0,1)</f>
        <v>0</v>
      </c>
      <c r="D404" s="165" t="str">
        <f>IF(AND('Autoévaluation client'!D414="",'Autoévaluation client'!E414=""),"*","")</f>
        <v>*</v>
      </c>
      <c r="E404" s="39" t="str">
        <f>IF(ISBLANK('Autoévaluation client'!F414),"",'Autoévaluation client'!F414)</f>
        <v/>
      </c>
      <c r="F404" s="118"/>
      <c r="G404" s="118"/>
      <c r="H404" s="118"/>
      <c r="I404" s="118"/>
      <c r="J404" s="118"/>
      <c r="K404" s="118"/>
      <c r="L404" s="112"/>
      <c r="M404" s="37">
        <v>1</v>
      </c>
      <c r="N404" s="27"/>
      <c r="O404" s="28">
        <f t="shared" si="69"/>
        <v>0</v>
      </c>
      <c r="P404" s="43">
        <f t="shared" si="70"/>
        <v>0</v>
      </c>
      <c r="Q404" s="36"/>
      <c r="R404" s="27"/>
    </row>
    <row r="405" spans="1:18" x14ac:dyDescent="0.3">
      <c r="A405" s="3" t="str">
        <f>'Autoévaluation client'!A415</f>
        <v>7.1.7.c</v>
      </c>
      <c r="B405" s="6" t="str">
        <f>'Autoévaluation client'!C415</f>
        <v>Heures supplémentaires</v>
      </c>
      <c r="C405" s="38">
        <f>IF(ISBLANK('Autoévaluation client'!D415),0,1)</f>
        <v>0</v>
      </c>
      <c r="D405" s="165" t="str">
        <f>IF(AND('Autoévaluation client'!D415="",'Autoévaluation client'!E415=""),"*","")</f>
        <v>*</v>
      </c>
      <c r="E405" s="39" t="str">
        <f>IF(ISBLANK('Autoévaluation client'!F415),"",'Autoévaluation client'!F415)</f>
        <v/>
      </c>
      <c r="F405" s="118"/>
      <c r="G405" s="118"/>
      <c r="H405" s="118"/>
      <c r="I405" s="118"/>
      <c r="J405" s="118"/>
      <c r="K405" s="118"/>
      <c r="L405" s="112"/>
      <c r="M405" s="37">
        <v>0</v>
      </c>
      <c r="N405" s="27"/>
      <c r="O405" s="28">
        <f t="shared" si="69"/>
        <v>0</v>
      </c>
      <c r="P405" s="43">
        <f t="shared" si="70"/>
        <v>0</v>
      </c>
      <c r="Q405" s="36"/>
      <c r="R405" s="27"/>
    </row>
    <row r="406" spans="1:18" x14ac:dyDescent="0.3">
      <c r="A406" s="3" t="str">
        <f>'Autoévaluation client'!A416</f>
        <v>7.1.7.d</v>
      </c>
      <c r="B406" s="6" t="str">
        <f>'Autoévaluation client'!C416</f>
        <v>Missions spéciales?</v>
      </c>
      <c r="C406" s="38">
        <f>IF(ISBLANK('Autoévaluation client'!D416),0,1)</f>
        <v>0</v>
      </c>
      <c r="D406" s="165" t="str">
        <f>IF(AND('Autoévaluation client'!D416="",'Autoévaluation client'!E416=""),"*","")</f>
        <v>*</v>
      </c>
      <c r="E406" s="39" t="str">
        <f>IF(ISBLANK('Autoévaluation client'!F416),"",'Autoévaluation client'!F416)</f>
        <v/>
      </c>
      <c r="F406" s="120"/>
      <c r="G406" s="120"/>
      <c r="H406" s="120"/>
      <c r="I406" s="120"/>
      <c r="J406" s="120"/>
      <c r="K406" s="120"/>
      <c r="L406" s="112"/>
      <c r="M406" s="37">
        <v>0</v>
      </c>
      <c r="N406" s="27"/>
      <c r="O406" s="28">
        <f t="shared" si="69"/>
        <v>0</v>
      </c>
      <c r="P406" s="43">
        <f t="shared" si="70"/>
        <v>0</v>
      </c>
      <c r="Q406" s="36"/>
      <c r="R406" s="27"/>
    </row>
    <row r="407" spans="1:18" x14ac:dyDescent="0.3">
      <c r="A407" s="3" t="str">
        <f>'Autoévaluation client'!A417</f>
        <v>7.1.7.e</v>
      </c>
      <c r="B407" s="6" t="str">
        <f>'Autoévaluation client'!C417</f>
        <v>Personnes travaillant seules?</v>
      </c>
      <c r="C407" s="38">
        <f>IF(ISBLANK('Autoévaluation client'!D417),0,1)</f>
        <v>0</v>
      </c>
      <c r="D407" s="165" t="str">
        <f>IF(AND('Autoévaluation client'!D417="",'Autoévaluation client'!E417=""),"*","")</f>
        <v>*</v>
      </c>
      <c r="E407" s="39" t="str">
        <f>IF(ISBLANK('Autoévaluation client'!F417),"",'Autoévaluation client'!F417)</f>
        <v/>
      </c>
      <c r="F407" s="120"/>
      <c r="G407" s="120"/>
      <c r="H407" s="120"/>
      <c r="I407" s="120"/>
      <c r="J407" s="120"/>
      <c r="K407" s="120"/>
      <c r="L407" s="112"/>
      <c r="M407" s="37">
        <v>3</v>
      </c>
      <c r="N407" s="27"/>
      <c r="O407" s="28">
        <f t="shared" si="69"/>
        <v>0</v>
      </c>
      <c r="P407" s="43">
        <f t="shared" si="70"/>
        <v>0</v>
      </c>
      <c r="Q407" s="36"/>
      <c r="R407" s="36"/>
    </row>
    <row r="408" spans="1:18" ht="26.4" x14ac:dyDescent="0.3">
      <c r="A408" s="3" t="str">
        <f>'Autoévaluation client'!A418</f>
        <v>7.1.8.</v>
      </c>
      <c r="B408" s="6" t="str">
        <f>'Autoévaluation client'!C418</f>
        <v>Les gestes de premiers secours sont-ils consignés? Si oui, de quelle manière?</v>
      </c>
      <c r="C408" s="38">
        <f>IF(ISBLANK('Autoévaluation client'!D418),0,1)</f>
        <v>0</v>
      </c>
      <c r="D408" s="165" t="str">
        <f>IF(AND('Autoévaluation client'!D418="",'Autoévaluation client'!E418=""),"*","")</f>
        <v>*</v>
      </c>
      <c r="E408" s="39" t="str">
        <f>IF(ISBLANK('Autoévaluation client'!F418),"",'Autoévaluation client'!F418)</f>
        <v/>
      </c>
      <c r="F408" s="118"/>
      <c r="G408" s="118"/>
      <c r="H408" s="118"/>
      <c r="I408" s="118"/>
      <c r="J408" s="118"/>
      <c r="K408" s="118"/>
      <c r="L408" s="112"/>
      <c r="M408" s="37">
        <v>1</v>
      </c>
      <c r="N408" s="27"/>
      <c r="O408" s="28">
        <f t="shared" si="69"/>
        <v>0</v>
      </c>
      <c r="P408" s="43">
        <f t="shared" si="70"/>
        <v>0</v>
      </c>
      <c r="Q408" s="36"/>
      <c r="R408" s="27"/>
    </row>
    <row r="409" spans="1:18" ht="26.4" x14ac:dyDescent="0.3">
      <c r="A409" s="3" t="str">
        <f>'Autoévaluation client'!A419</f>
        <v>7.1.9.</v>
      </c>
      <c r="B409" s="6" t="str">
        <f>'Autoévaluation client'!C419</f>
        <v>Les collaborateurs de tous les échelons connaissent-ils les règles de comportement à adopter en cas d’urgence?</v>
      </c>
      <c r="C409" s="38">
        <f>IF(ISBLANK('Autoévaluation client'!D419),0,1)</f>
        <v>0</v>
      </c>
      <c r="D409" s="165" t="str">
        <f>IF(AND('Autoévaluation client'!D419="",'Autoévaluation client'!E419=""),"*","")</f>
        <v>*</v>
      </c>
      <c r="E409" s="39" t="str">
        <f>IF(ISBLANK('Autoévaluation client'!F419),"",'Autoévaluation client'!F419)</f>
        <v/>
      </c>
      <c r="F409" s="118"/>
      <c r="G409" s="118"/>
      <c r="H409" s="118"/>
      <c r="I409" s="118"/>
      <c r="J409" s="118"/>
      <c r="K409" s="118"/>
      <c r="L409" s="112"/>
      <c r="M409" s="37">
        <v>3</v>
      </c>
      <c r="N409" s="27"/>
      <c r="O409" s="28">
        <f t="shared" si="69"/>
        <v>0</v>
      </c>
      <c r="P409" s="43">
        <f t="shared" si="70"/>
        <v>0</v>
      </c>
      <c r="Q409" s="36"/>
      <c r="R409" s="27"/>
    </row>
    <row r="410" spans="1:18" x14ac:dyDescent="0.3">
      <c r="A410" s="20" t="str">
        <f>'Autoévaluation client'!A420</f>
        <v>7.2.</v>
      </c>
      <c r="B410" s="20" t="str">
        <f>'Autoévaluation client'!B420</f>
        <v>Conditions relatives au personnel</v>
      </c>
      <c r="C410" s="21">
        <f>O410/N410</f>
        <v>0</v>
      </c>
      <c r="D410" s="23" t="str">
        <f>IF(ISBLANK('Autoévaluation client'!E420),"",'Autoévaluation client'!E420)</f>
        <v/>
      </c>
      <c r="E410" s="23" t="str">
        <f>IF(ISBLANK('Autoévaluation client'!F420),"",'Autoévaluation client'!F420)</f>
        <v/>
      </c>
      <c r="F410" s="115"/>
      <c r="G410" s="115"/>
      <c r="H410" s="115"/>
      <c r="I410" s="115"/>
      <c r="J410" s="115"/>
      <c r="K410" s="115"/>
      <c r="L410" s="50">
        <f>P410/N410</f>
        <v>0</v>
      </c>
      <c r="M410" s="22">
        <v>1</v>
      </c>
      <c r="N410" s="22">
        <f>SUM(M411:M422)</f>
        <v>9</v>
      </c>
      <c r="O410" s="24">
        <f>SUM(O411:O422)</f>
        <v>0</v>
      </c>
      <c r="P410" s="24">
        <f>SUM(P411:P422)</f>
        <v>0</v>
      </c>
      <c r="Q410" s="52">
        <f>O410/$N410*$M410</f>
        <v>0</v>
      </c>
      <c r="R410" s="52">
        <f>P410/$N410*$M410</f>
        <v>0</v>
      </c>
    </row>
    <row r="411" spans="1:18" ht="26.4" x14ac:dyDescent="0.3">
      <c r="A411" s="3" t="str">
        <f>'Autoévaluation client'!A421</f>
        <v>7.2.1.</v>
      </c>
      <c r="B411" s="6" t="str">
        <f>'Autoévaluation client'!C421</f>
        <v>Les collaborateursont-ils reçu des instructions écrites concernant le comportement à adopter en cas d’urgence?</v>
      </c>
      <c r="C411" s="38">
        <f>IF(ISBLANK('Autoévaluation client'!D421),0,1)</f>
        <v>0</v>
      </c>
      <c r="D411" s="165" t="str">
        <f>IF(AND('Autoévaluation client'!D421="",'Autoévaluation client'!E421=""),"*","")</f>
        <v>*</v>
      </c>
      <c r="E411" s="39" t="str">
        <f>IF(ISBLANK('Autoévaluation client'!F421),"",'Autoévaluation client'!F421)</f>
        <v/>
      </c>
      <c r="F411" s="118"/>
      <c r="G411" s="118"/>
      <c r="H411" s="118"/>
      <c r="I411" s="118"/>
      <c r="J411" s="118"/>
      <c r="K411" s="118"/>
      <c r="L411" s="112"/>
      <c r="M411" s="37">
        <v>1</v>
      </c>
      <c r="N411" s="27"/>
      <c r="O411" s="28">
        <f t="shared" ref="O411:O422" si="71">C411*M411</f>
        <v>0</v>
      </c>
      <c r="P411" s="43">
        <f t="shared" ref="P411:P422" si="72">L411*M411</f>
        <v>0</v>
      </c>
      <c r="Q411" s="36"/>
      <c r="R411" s="27"/>
    </row>
    <row r="412" spans="1:18" ht="39.6" x14ac:dyDescent="0.3">
      <c r="A412" s="3" t="str">
        <f>'Autoévaluation client'!A422</f>
        <v>7.2.2.</v>
      </c>
      <c r="B412" s="6" t="str">
        <f>'Autoévaluation client'!C422</f>
        <v>Les collaborateurs portent-ils une carte sanitaire d'urgence avec les informations essentielles pour les annonces en cas d'urgence?</v>
      </c>
      <c r="C412" s="38">
        <f>IF(ISBLANK('Autoévaluation client'!D422),0,1)</f>
        <v>0</v>
      </c>
      <c r="D412" s="165" t="str">
        <f>IF(AND('Autoévaluation client'!D422="",'Autoévaluation client'!E422=""),"*","")</f>
        <v>*</v>
      </c>
      <c r="E412" s="39" t="str">
        <f>IF(ISBLANK('Autoévaluation client'!F422),"",'Autoévaluation client'!F422)</f>
        <v/>
      </c>
      <c r="F412" s="118"/>
      <c r="G412" s="118"/>
      <c r="H412" s="118"/>
      <c r="I412" s="118"/>
      <c r="J412" s="118"/>
      <c r="K412" s="118"/>
      <c r="L412" s="112"/>
      <c r="M412" s="37">
        <v>1</v>
      </c>
      <c r="N412" s="27"/>
      <c r="O412" s="28">
        <f t="shared" si="71"/>
        <v>0</v>
      </c>
      <c r="P412" s="43">
        <f t="shared" si="72"/>
        <v>0</v>
      </c>
      <c r="Q412" s="36"/>
      <c r="R412" s="27"/>
    </row>
    <row r="413" spans="1:18" ht="39.6" x14ac:dyDescent="0.3">
      <c r="A413" s="3" t="str">
        <f>'Autoévaluation client'!A423</f>
        <v>7.2.3.a</v>
      </c>
      <c r="B413" s="6" t="str">
        <f>'Autoévaluation client'!C423</f>
        <v>Le comportement correct des collaborateurs dans des situations d'urgence (accident, incident, etc.) est-il:
Instruit?</v>
      </c>
      <c r="C413" s="38">
        <f>IF(ISBLANK('Autoévaluation client'!D423),0,1)</f>
        <v>0</v>
      </c>
      <c r="D413" s="165" t="str">
        <f>IF(AND('Autoévaluation client'!D423="",'Autoévaluation client'!E423=""),"*","")</f>
        <v>*</v>
      </c>
      <c r="E413" s="39" t="str">
        <f>IF(ISBLANK('Autoévaluation client'!F423),"",'Autoévaluation client'!F423)</f>
        <v/>
      </c>
      <c r="F413" s="120"/>
      <c r="G413" s="120"/>
      <c r="H413" s="120"/>
      <c r="I413" s="120"/>
      <c r="J413" s="120"/>
      <c r="K413" s="120"/>
      <c r="L413" s="112"/>
      <c r="M413" s="37">
        <v>1</v>
      </c>
      <c r="N413" s="27"/>
      <c r="O413" s="28">
        <f t="shared" si="71"/>
        <v>0</v>
      </c>
      <c r="P413" s="43">
        <f t="shared" si="72"/>
        <v>0</v>
      </c>
      <c r="Q413" s="36"/>
      <c r="R413" s="36"/>
    </row>
    <row r="414" spans="1:18" x14ac:dyDescent="0.3">
      <c r="A414" s="3" t="str">
        <f>'Autoévaluation client'!A424</f>
        <v>7.2.3.b</v>
      </c>
      <c r="B414" s="6" t="str">
        <f>'Autoévaluation client'!C424</f>
        <v>Exercé?</v>
      </c>
      <c r="C414" s="38">
        <f>IF(ISBLANK('Autoévaluation client'!D424),0,1)</f>
        <v>0</v>
      </c>
      <c r="D414" s="165" t="str">
        <f>IF(AND('Autoévaluation client'!D424="",'Autoévaluation client'!E424=""),"*","")</f>
        <v>*</v>
      </c>
      <c r="E414" s="39" t="str">
        <f>IF(ISBLANK('Autoévaluation client'!F424),"",'Autoévaluation client'!F424)</f>
        <v/>
      </c>
      <c r="F414" s="118"/>
      <c r="G414" s="118"/>
      <c r="H414" s="118"/>
      <c r="I414" s="118"/>
      <c r="J414" s="118"/>
      <c r="K414" s="118"/>
      <c r="L414" s="112"/>
      <c r="M414" s="37">
        <v>1</v>
      </c>
      <c r="N414" s="27"/>
      <c r="O414" s="28">
        <f t="shared" si="71"/>
        <v>0</v>
      </c>
      <c r="P414" s="43">
        <f t="shared" si="72"/>
        <v>0</v>
      </c>
      <c r="Q414" s="36"/>
      <c r="R414" s="27"/>
    </row>
    <row r="415" spans="1:18" x14ac:dyDescent="0.3">
      <c r="A415" s="3" t="str">
        <f>'Autoévaluation client'!A425</f>
        <v>7.2.3.c</v>
      </c>
      <c r="B415" s="6" t="str">
        <f>'Autoévaluation client'!C425</f>
        <v>Vérifié?</v>
      </c>
      <c r="C415" s="38">
        <f>IF(ISBLANK('Autoévaluation client'!D425),0,1)</f>
        <v>0</v>
      </c>
      <c r="D415" s="165" t="str">
        <f>IF(AND('Autoévaluation client'!D425="",'Autoévaluation client'!E425=""),"*","")</f>
        <v>*</v>
      </c>
      <c r="E415" s="39" t="str">
        <f>IF(ISBLANK('Autoévaluation client'!F425),"",'Autoévaluation client'!F425)</f>
        <v/>
      </c>
      <c r="F415" s="118"/>
      <c r="G415" s="118"/>
      <c r="H415" s="118"/>
      <c r="I415" s="118"/>
      <c r="J415" s="118"/>
      <c r="K415" s="118"/>
      <c r="L415" s="112"/>
      <c r="M415" s="37">
        <v>1</v>
      </c>
      <c r="N415" s="27"/>
      <c r="O415" s="28">
        <f t="shared" si="71"/>
        <v>0</v>
      </c>
      <c r="P415" s="43">
        <f t="shared" si="72"/>
        <v>0</v>
      </c>
      <c r="Q415" s="36"/>
      <c r="R415" s="27"/>
    </row>
    <row r="416" spans="1:18" x14ac:dyDescent="0.3">
      <c r="A416" s="3" t="str">
        <f>'Autoévaluation client'!A426</f>
        <v>7.2.4.</v>
      </c>
      <c r="B416" s="6" t="str">
        <f>'Autoévaluation client'!C426</f>
        <v>Disposez-vous d'un service sanitaire propre à l'entreprise?</v>
      </c>
      <c r="C416" s="38">
        <f>IF(ISBLANK('Autoévaluation client'!D426),0,1)</f>
        <v>0</v>
      </c>
      <c r="D416" s="165" t="str">
        <f>IF(AND('Autoévaluation client'!D426="",'Autoévaluation client'!E426=""),"*","")</f>
        <v>*</v>
      </c>
      <c r="E416" s="39" t="str">
        <f>IF(ISBLANK('Autoévaluation client'!F426),"",'Autoévaluation client'!F426)</f>
        <v/>
      </c>
      <c r="F416" s="118"/>
      <c r="G416" s="118"/>
      <c r="H416" s="118"/>
      <c r="I416" s="118"/>
      <c r="J416" s="118"/>
      <c r="K416" s="118"/>
      <c r="L416" s="112"/>
      <c r="M416" s="37">
        <v>0</v>
      </c>
      <c r="N416" s="27"/>
      <c r="O416" s="28">
        <f t="shared" si="71"/>
        <v>0</v>
      </c>
      <c r="P416" s="43">
        <f t="shared" si="72"/>
        <v>0</v>
      </c>
      <c r="Q416" s="36"/>
      <c r="R416" s="27"/>
    </row>
    <row r="417" spans="1:18" ht="39.6" x14ac:dyDescent="0.3">
      <c r="A417" s="3" t="str">
        <f>'Autoévaluation client'!A427</f>
        <v>7.2.5.</v>
      </c>
      <c r="B417" s="6" t="str">
        <f>'Autoévaluation client'!C427</f>
        <v>Disposez-vous de secouristes spécialement formés,disponibles en permanence et propres à votre entreprise? Si oui, combien?</v>
      </c>
      <c r="C417" s="38">
        <f>IF(ISBLANK('Autoévaluation client'!D427),0,1)</f>
        <v>0</v>
      </c>
      <c r="D417" s="165" t="str">
        <f>IF(AND('Autoévaluation client'!D427="",'Autoévaluation client'!E427=""),"*","")</f>
        <v>*</v>
      </c>
      <c r="E417" s="39" t="str">
        <f>IF(ISBLANK('Autoévaluation client'!F427),"",'Autoévaluation client'!F427)</f>
        <v/>
      </c>
      <c r="F417" s="118"/>
      <c r="G417" s="118"/>
      <c r="H417" s="118"/>
      <c r="I417" s="118"/>
      <c r="J417" s="118"/>
      <c r="K417" s="118"/>
      <c r="L417" s="112"/>
      <c r="M417" s="37">
        <v>2</v>
      </c>
      <c r="N417" s="27"/>
      <c r="O417" s="28">
        <f t="shared" si="71"/>
        <v>0</v>
      </c>
      <c r="P417" s="43">
        <f t="shared" si="72"/>
        <v>0</v>
      </c>
      <c r="Q417" s="36"/>
      <c r="R417" s="27"/>
    </row>
    <row r="418" spans="1:18" ht="39.6" x14ac:dyDescent="0.3">
      <c r="A418" s="3" t="str">
        <f>'Autoévaluation client'!A428</f>
        <v>7.2.6.</v>
      </c>
      <c r="B418" s="6" t="str">
        <f>'Autoévaluation client'!C428</f>
        <v>Disposez-vous d'un local sanitaire propre à votre entreprise et équipé pour les premiers secours selon les risques encourus dans votre entreprise?</v>
      </c>
      <c r="C418" s="38">
        <f>IF(ISBLANK('Autoévaluation client'!D428),0,1)</f>
        <v>0</v>
      </c>
      <c r="D418" s="165" t="str">
        <f>IF(AND('Autoévaluation client'!D428="",'Autoévaluation client'!E428=""),"*","")</f>
        <v>*</v>
      </c>
      <c r="E418" s="39" t="str">
        <f>IF(ISBLANK('Autoévaluation client'!F428),"",'Autoévaluation client'!F428)</f>
        <v/>
      </c>
      <c r="F418" s="118"/>
      <c r="G418" s="118"/>
      <c r="H418" s="118"/>
      <c r="I418" s="118"/>
      <c r="J418" s="118"/>
      <c r="K418" s="118"/>
      <c r="L418" s="112"/>
      <c r="M418" s="37">
        <v>1</v>
      </c>
      <c r="N418" s="27"/>
      <c r="O418" s="28">
        <f t="shared" si="71"/>
        <v>0</v>
      </c>
      <c r="P418" s="43">
        <f t="shared" si="72"/>
        <v>0</v>
      </c>
      <c r="Q418" s="36"/>
      <c r="R418" s="27"/>
    </row>
    <row r="419" spans="1:18" ht="52.8" x14ac:dyDescent="0.3">
      <c r="A419" s="3" t="str">
        <f>'Autoévaluation client'!A429</f>
        <v>7.2.7.a</v>
      </c>
      <c r="B419" s="6" t="str">
        <f>'Autoévaluation client'!C429</f>
        <v>Lors d'incidents particuliers (accident, incendie, etc.), une personne
est-elle désignée pour informer:
Les proches de la personne accidentée?</v>
      </c>
      <c r="C419" s="38">
        <f>IF(ISBLANK('Autoévaluation client'!D429),0,1)</f>
        <v>0</v>
      </c>
      <c r="D419" s="165" t="str">
        <f>IF(AND('Autoévaluation client'!D429="",'Autoévaluation client'!E429=""),"*","")</f>
        <v>*</v>
      </c>
      <c r="E419" s="39" t="str">
        <f>IF(ISBLANK('Autoévaluation client'!F429),"",'Autoévaluation client'!F429)</f>
        <v/>
      </c>
      <c r="F419" s="118"/>
      <c r="G419" s="118"/>
      <c r="H419" s="118"/>
      <c r="I419" s="118"/>
      <c r="J419" s="118"/>
      <c r="K419" s="118"/>
      <c r="L419" s="112"/>
      <c r="M419" s="37">
        <v>1</v>
      </c>
      <c r="N419" s="27"/>
      <c r="O419" s="28">
        <f t="shared" si="71"/>
        <v>0</v>
      </c>
      <c r="P419" s="43">
        <f t="shared" si="72"/>
        <v>0</v>
      </c>
      <c r="Q419" s="36"/>
      <c r="R419" s="27"/>
    </row>
    <row r="420" spans="1:18" x14ac:dyDescent="0.3">
      <c r="A420" s="3" t="str">
        <f>'Autoévaluation client'!A430</f>
        <v>7.2.7.b</v>
      </c>
      <c r="B420" s="6" t="str">
        <f>'Autoévaluation client'!C430</f>
        <v>L'assurance?</v>
      </c>
      <c r="C420" s="38">
        <f>IF(ISBLANK('Autoévaluation client'!D430),0,1)</f>
        <v>0</v>
      </c>
      <c r="D420" s="165" t="str">
        <f>IF(AND('Autoévaluation client'!D430="",'Autoévaluation client'!E430=""),"*","")</f>
        <v>*</v>
      </c>
      <c r="E420" s="39" t="str">
        <f>IF(ISBLANK('Autoévaluation client'!F430),"",'Autoévaluation client'!F430)</f>
        <v/>
      </c>
      <c r="F420" s="118"/>
      <c r="G420" s="118"/>
      <c r="H420" s="118"/>
      <c r="I420" s="118"/>
      <c r="J420" s="118"/>
      <c r="K420" s="118"/>
      <c r="L420" s="112"/>
      <c r="M420" s="37">
        <v>0</v>
      </c>
      <c r="N420" s="27"/>
      <c r="O420" s="28">
        <f t="shared" si="71"/>
        <v>0</v>
      </c>
      <c r="P420" s="43">
        <f t="shared" si="72"/>
        <v>0</v>
      </c>
      <c r="Q420" s="36"/>
      <c r="R420" s="27"/>
    </row>
    <row r="421" spans="1:18" x14ac:dyDescent="0.3">
      <c r="A421" s="3" t="str">
        <f>'Autoévaluation client'!A431</f>
        <v>7.2.7.c</v>
      </c>
      <c r="B421" s="6" t="str">
        <f>'Autoévaluation client'!C431</f>
        <v>Les autorités?</v>
      </c>
      <c r="C421" s="38">
        <f>IF(ISBLANK('Autoévaluation client'!D431),0,1)</f>
        <v>0</v>
      </c>
      <c r="D421" s="165" t="str">
        <f>IF(AND('Autoévaluation client'!D431="",'Autoévaluation client'!E431=""),"*","")</f>
        <v>*</v>
      </c>
      <c r="E421" s="39" t="str">
        <f>IF(ISBLANK('Autoévaluation client'!F431),"",'Autoévaluation client'!F431)</f>
        <v/>
      </c>
      <c r="F421" s="120"/>
      <c r="G421" s="120"/>
      <c r="H421" s="120"/>
      <c r="I421" s="120"/>
      <c r="J421" s="120"/>
      <c r="K421" s="120"/>
      <c r="L421" s="112"/>
      <c r="M421" s="37">
        <v>0</v>
      </c>
      <c r="N421" s="27"/>
      <c r="O421" s="28">
        <f t="shared" si="71"/>
        <v>0</v>
      </c>
      <c r="P421" s="43">
        <f t="shared" si="72"/>
        <v>0</v>
      </c>
      <c r="Q421" s="36"/>
      <c r="R421" s="27"/>
    </row>
    <row r="422" spans="1:18" x14ac:dyDescent="0.3">
      <c r="A422" s="3" t="str">
        <f>'Autoévaluation client'!A432</f>
        <v>7.2.7.d</v>
      </c>
      <c r="B422" s="6" t="str">
        <f>'Autoévaluation client'!C432</f>
        <v>Les médias?</v>
      </c>
      <c r="C422" s="38">
        <f>IF(ISBLANK('Autoévaluation client'!D432),0,1)</f>
        <v>0</v>
      </c>
      <c r="D422" s="165" t="str">
        <f>IF(AND('Autoévaluation client'!D432="",'Autoévaluation client'!E432=""),"*","")</f>
        <v>*</v>
      </c>
      <c r="E422" s="39" t="str">
        <f>IF(ISBLANK('Autoévaluation client'!F432),"",'Autoévaluation client'!F432)</f>
        <v/>
      </c>
      <c r="F422" s="120"/>
      <c r="G422" s="120"/>
      <c r="H422" s="120"/>
      <c r="I422" s="120"/>
      <c r="J422" s="120"/>
      <c r="K422" s="120"/>
      <c r="L422" s="112"/>
      <c r="M422" s="37">
        <v>0</v>
      </c>
      <c r="N422" s="27"/>
      <c r="O422" s="28">
        <f t="shared" si="71"/>
        <v>0</v>
      </c>
      <c r="P422" s="43">
        <f t="shared" si="72"/>
        <v>0</v>
      </c>
      <c r="Q422" s="36"/>
      <c r="R422" s="36"/>
    </row>
    <row r="423" spans="1:18" x14ac:dyDescent="0.3">
      <c r="A423" s="20" t="str">
        <f>'Autoévaluation client'!A433</f>
        <v>7.3.</v>
      </c>
      <c r="B423" s="20" t="str">
        <f>'Autoévaluation client'!B433</f>
        <v>Protection contre les incendies</v>
      </c>
      <c r="C423" s="21">
        <f>O423/N423</f>
        <v>0</v>
      </c>
      <c r="D423" s="23" t="str">
        <f>IF(ISBLANK('Autoévaluation client'!E433),"",'Autoévaluation client'!E433)</f>
        <v/>
      </c>
      <c r="E423" s="23" t="str">
        <f>IF(ISBLANK('Autoévaluation client'!F433),"",'Autoévaluation client'!F433)</f>
        <v/>
      </c>
      <c r="F423" s="115"/>
      <c r="G423" s="115"/>
      <c r="H423" s="115"/>
      <c r="I423" s="115"/>
      <c r="J423" s="115"/>
      <c r="K423" s="115"/>
      <c r="L423" s="50">
        <f>P423/N423</f>
        <v>0</v>
      </c>
      <c r="M423" s="22">
        <v>1</v>
      </c>
      <c r="N423" s="22">
        <f>SUM(M424:M428)</f>
        <v>9</v>
      </c>
      <c r="O423" s="24">
        <f>SUM(O424:O428)</f>
        <v>0</v>
      </c>
      <c r="P423" s="24">
        <f>SUM(P424:P428)</f>
        <v>0</v>
      </c>
      <c r="Q423" s="52">
        <f>O423/$N423*$M423</f>
        <v>0</v>
      </c>
      <c r="R423" s="52">
        <f>P423/$N423*$M423</f>
        <v>0</v>
      </c>
    </row>
    <row r="424" spans="1:18" ht="26.4" x14ac:dyDescent="0.3">
      <c r="A424" s="3" t="str">
        <f>'Autoévaluation client'!A434</f>
        <v>7.3.1.</v>
      </c>
      <c r="B424" s="6" t="str">
        <f>'Autoévaluation client'!C434</f>
        <v>Disposez-vous d'une organisation interne de protection contre les incendies?</v>
      </c>
      <c r="C424" s="38">
        <f>IF(ISBLANK('Autoévaluation client'!D434),0,1)</f>
        <v>0</v>
      </c>
      <c r="D424" s="165" t="str">
        <f>IF(AND('Autoévaluation client'!D434="",'Autoévaluation client'!E434=""),"*","")</f>
        <v>*</v>
      </c>
      <c r="E424" s="39" t="str">
        <f>IF(ISBLANK('Autoévaluation client'!F434),"",'Autoévaluation client'!F434)</f>
        <v/>
      </c>
      <c r="F424" s="118"/>
      <c r="G424" s="118"/>
      <c r="H424" s="118"/>
      <c r="I424" s="118"/>
      <c r="J424" s="118"/>
      <c r="K424" s="118"/>
      <c r="L424" s="112"/>
      <c r="M424" s="37">
        <v>1</v>
      </c>
      <c r="N424" s="27"/>
      <c r="O424" s="28">
        <f>C424*M424</f>
        <v>0</v>
      </c>
      <c r="P424" s="43">
        <f t="shared" ref="P424:P428" si="73">L424*M424</f>
        <v>0</v>
      </c>
      <c r="Q424" s="36"/>
      <c r="R424" s="27"/>
    </row>
    <row r="425" spans="1:18" ht="39.6" x14ac:dyDescent="0.3">
      <c r="A425" s="3" t="str">
        <f>'Autoévaluation client'!A435</f>
        <v>7.3.2.</v>
      </c>
      <c r="B425" s="6" t="str">
        <f>'Autoévaluation client'!C435</f>
        <v>Disposez-vous d'une organisation d'annonce en cas d'incendie (organisation d'alarme) ainsi que des dispositifs appropriés pour l'avertissement en cas d'incendie?</v>
      </c>
      <c r="C425" s="38">
        <f>IF(ISBLANK('Autoévaluation client'!D435),0,1)</f>
        <v>0</v>
      </c>
      <c r="D425" s="165" t="str">
        <f>IF(AND('Autoévaluation client'!D435="",'Autoévaluation client'!E435=""),"*","")</f>
        <v>*</v>
      </c>
      <c r="E425" s="39" t="str">
        <f>IF(ISBLANK('Autoévaluation client'!F435),"",'Autoévaluation client'!F435)</f>
        <v/>
      </c>
      <c r="F425" s="118"/>
      <c r="G425" s="118"/>
      <c r="H425" s="118"/>
      <c r="I425" s="118"/>
      <c r="J425" s="118"/>
      <c r="K425" s="118"/>
      <c r="L425" s="112"/>
      <c r="M425" s="37">
        <v>3</v>
      </c>
      <c r="N425" s="27"/>
      <c r="O425" s="28">
        <f>C425*M425</f>
        <v>0</v>
      </c>
      <c r="P425" s="43">
        <f t="shared" si="73"/>
        <v>0</v>
      </c>
      <c r="Q425" s="36"/>
      <c r="R425" s="27"/>
    </row>
    <row r="426" spans="1:18" ht="26.4" x14ac:dyDescent="0.3">
      <c r="A426" s="3" t="str">
        <f>'Autoévaluation client'!A436</f>
        <v>7.3.3.</v>
      </c>
      <c r="B426" s="6" t="str">
        <f>'Autoévaluation client'!C436</f>
        <v>Les collaborateurs sont-ils informés du comportement à adopter en cas d'incendie?</v>
      </c>
      <c r="C426" s="38">
        <f>IF(ISBLANK('Autoévaluation client'!D436),0,1)</f>
        <v>0</v>
      </c>
      <c r="D426" s="165" t="str">
        <f>IF(AND('Autoévaluation client'!D436="",'Autoévaluation client'!E436=""),"*","")</f>
        <v>*</v>
      </c>
      <c r="E426" s="39" t="str">
        <f>IF(ISBLANK('Autoévaluation client'!F436),"",'Autoévaluation client'!F436)</f>
        <v/>
      </c>
      <c r="F426" s="118"/>
      <c r="G426" s="118"/>
      <c r="H426" s="118"/>
      <c r="I426" s="118"/>
      <c r="J426" s="118"/>
      <c r="K426" s="118"/>
      <c r="L426" s="112"/>
      <c r="M426" s="37">
        <v>3</v>
      </c>
      <c r="N426" s="27"/>
      <c r="O426" s="28">
        <f>C426*M426</f>
        <v>0</v>
      </c>
      <c r="P426" s="43">
        <f t="shared" si="73"/>
        <v>0</v>
      </c>
      <c r="Q426" s="36"/>
      <c r="R426" s="27"/>
    </row>
    <row r="427" spans="1:18" ht="39.6" x14ac:dyDescent="0.3">
      <c r="A427" s="3" t="str">
        <f>'Autoévaluation client'!A437</f>
        <v>7.3.4.</v>
      </c>
      <c r="B427" s="6" t="str">
        <f>'Autoévaluation client'!C437</f>
        <v>Effectuez-vous des exercices pratiques sur le comportement à adopter en cas d'incendie? Si oui, à quelle date a eu lieu le dernier exercice?</v>
      </c>
      <c r="C427" s="38">
        <f>IF(ISBLANK('Autoévaluation client'!D437),0,1)</f>
        <v>0</v>
      </c>
      <c r="D427" s="165" t="str">
        <f>IF(AND('Autoévaluation client'!D437="",'Autoévaluation client'!E437=""),"*","")</f>
        <v>*</v>
      </c>
      <c r="E427" s="39" t="str">
        <f>IF(ISBLANK('Autoévaluation client'!F437),"",'Autoévaluation client'!F437)</f>
        <v/>
      </c>
      <c r="F427" s="118"/>
      <c r="G427" s="118"/>
      <c r="H427" s="118"/>
      <c r="I427" s="118"/>
      <c r="J427" s="118"/>
      <c r="K427" s="118"/>
      <c r="L427" s="112"/>
      <c r="M427" s="37">
        <v>1</v>
      </c>
      <c r="N427" s="27"/>
      <c r="O427" s="28">
        <f>C427*M427</f>
        <v>0</v>
      </c>
      <c r="P427" s="43">
        <f t="shared" si="73"/>
        <v>0</v>
      </c>
      <c r="Q427" s="36"/>
      <c r="R427" s="27"/>
    </row>
    <row r="428" spans="1:18" ht="26.4" x14ac:dyDescent="0.3">
      <c r="A428" s="3" t="str">
        <f>'Autoévaluation client'!A438</f>
        <v>7.3.5.</v>
      </c>
      <c r="B428" s="6" t="str">
        <f>'Autoévaluation client'!C438</f>
        <v>Tous les collaborateurs de l’entreprise ont-ils participé au dernier exercice?</v>
      </c>
      <c r="C428" s="38">
        <f>IF(ISBLANK('Autoévaluation client'!D438),0,1)</f>
        <v>0</v>
      </c>
      <c r="D428" s="165" t="str">
        <f>IF(AND('Autoévaluation client'!D438="",'Autoévaluation client'!E438=""),"*","")</f>
        <v>*</v>
      </c>
      <c r="E428" s="39" t="str">
        <f>IF(ISBLANK('Autoévaluation client'!F438),"",'Autoévaluation client'!F438)</f>
        <v/>
      </c>
      <c r="F428" s="118"/>
      <c r="G428" s="118"/>
      <c r="H428" s="118"/>
      <c r="I428" s="118"/>
      <c r="J428" s="118"/>
      <c r="K428" s="118"/>
      <c r="L428" s="112"/>
      <c r="M428" s="37">
        <v>1</v>
      </c>
      <c r="N428" s="27"/>
      <c r="O428" s="28">
        <f>C428*M428</f>
        <v>0</v>
      </c>
      <c r="P428" s="43">
        <f t="shared" si="73"/>
        <v>0</v>
      </c>
      <c r="Q428" s="36"/>
      <c r="R428" s="27"/>
    </row>
    <row r="429" spans="1:18" x14ac:dyDescent="0.3">
      <c r="A429" s="34" t="str">
        <f>'Autoévaluation client'!A440</f>
        <v>8.</v>
      </c>
      <c r="B429" s="7" t="str">
        <f>'Autoévaluation client'!B440</f>
        <v>Participation</v>
      </c>
      <c r="C429" s="30">
        <f>O429/N429</f>
        <v>0</v>
      </c>
      <c r="D429" s="18"/>
      <c r="E429" s="18"/>
      <c r="F429" s="18"/>
      <c r="G429" s="18"/>
      <c r="H429" s="18"/>
      <c r="I429" s="18"/>
      <c r="J429" s="18"/>
      <c r="K429" s="18"/>
      <c r="L429" s="114">
        <f>P429/N429</f>
        <v>0</v>
      </c>
      <c r="M429" s="5"/>
      <c r="N429" s="5">
        <f>SUM(M430,M437)</f>
        <v>6</v>
      </c>
      <c r="O429" s="48">
        <f>SUM(Q430:Q444)</f>
        <v>0</v>
      </c>
      <c r="P429" s="48">
        <f>SUM(R430:R444)</f>
        <v>0</v>
      </c>
      <c r="Q429" s="35"/>
      <c r="R429" s="35"/>
    </row>
    <row r="430" spans="1:18" x14ac:dyDescent="0.3">
      <c r="A430" s="20" t="str">
        <f>'Autoévaluation client'!A442</f>
        <v>8.1.</v>
      </c>
      <c r="B430" s="20" t="str">
        <f>'Autoévaluation client'!B442</f>
        <v>Participation des collaborateurs</v>
      </c>
      <c r="C430" s="21">
        <f>O430/N430</f>
        <v>0</v>
      </c>
      <c r="D430" s="23"/>
      <c r="E430" s="23"/>
      <c r="F430" s="115"/>
      <c r="G430" s="115"/>
      <c r="H430" s="115"/>
      <c r="I430" s="115"/>
      <c r="J430" s="115"/>
      <c r="K430" s="115"/>
      <c r="L430" s="50">
        <f>P430/N430</f>
        <v>0</v>
      </c>
      <c r="M430" s="22">
        <v>3</v>
      </c>
      <c r="N430" s="22">
        <f>SUM(M431:M436)</f>
        <v>9</v>
      </c>
      <c r="O430" s="24">
        <f>SUM(O431:O436)</f>
        <v>0</v>
      </c>
      <c r="P430" s="24">
        <f>SUM(P431:P436)</f>
        <v>0</v>
      </c>
      <c r="Q430" s="52">
        <f>O430/$N430*$M430</f>
        <v>0</v>
      </c>
      <c r="R430" s="52">
        <f>P430/$N430*$M430</f>
        <v>0</v>
      </c>
    </row>
    <row r="431" spans="1:18" ht="52.8" x14ac:dyDescent="0.3">
      <c r="A431" s="3" t="str">
        <f>'Autoévaluation client'!A443</f>
        <v>8.1.1.</v>
      </c>
      <c r="B431" s="6" t="str">
        <f>'Autoévaluation client'!C443</f>
        <v>L’information et la consultation des collaborateurs sont-elles réglementées par la loi sur la participation*?
* Loi sur la participation = loi fédérale sur l'information et la consultation des travailleurs dans les entreprises</v>
      </c>
      <c r="C431" s="38">
        <f>IF(ISBLANK('Autoévaluation client'!D443),0,1)</f>
        <v>0</v>
      </c>
      <c r="D431" s="165" t="str">
        <f>IF(AND('Autoévaluation client'!D443="",'Autoévaluation client'!E443=""),"*","")</f>
        <v>*</v>
      </c>
      <c r="E431" s="39" t="str">
        <f>IF(ISBLANK('Autoévaluation client'!F443),"",'Autoévaluation client'!F443)</f>
        <v/>
      </c>
      <c r="F431" s="118"/>
      <c r="G431" s="118"/>
      <c r="H431" s="118"/>
      <c r="I431" s="118"/>
      <c r="J431" s="118"/>
      <c r="K431" s="118"/>
      <c r="L431" s="112"/>
      <c r="M431" s="37">
        <v>3</v>
      </c>
      <c r="N431" s="27"/>
      <c r="O431" s="28">
        <f t="shared" ref="O431:O436" si="74">C431*M431</f>
        <v>0</v>
      </c>
      <c r="P431" s="43">
        <f t="shared" ref="P431:P436" si="75">L431*M431</f>
        <v>0</v>
      </c>
      <c r="Q431" s="36"/>
      <c r="R431" s="27"/>
    </row>
    <row r="432" spans="1:18" ht="52.8" x14ac:dyDescent="0.3">
      <c r="A432" s="3" t="str">
        <f>'Autoévaluation client'!A444</f>
        <v>8.1.2.a</v>
      </c>
      <c r="B432" s="6" t="str">
        <f>'Autoévaluation client'!C444</f>
        <v xml:space="preserve">Quel type de représentation des travailleurs existe dans votre entreprise:
Directement par certains collaborateurs?
</v>
      </c>
      <c r="C432" s="38">
        <f>IF(ISBLANK('Autoévaluation client'!D444),0,1)</f>
        <v>0</v>
      </c>
      <c r="D432" s="165" t="str">
        <f>IF(AND('Autoévaluation client'!D444="",'Autoévaluation client'!E444=""),"*","")</f>
        <v>*</v>
      </c>
      <c r="E432" s="39" t="str">
        <f>IF(ISBLANK('Autoévaluation client'!F444),"",'Autoévaluation client'!F444)</f>
        <v/>
      </c>
      <c r="F432" s="118"/>
      <c r="G432" s="118"/>
      <c r="H432" s="118"/>
      <c r="I432" s="118"/>
      <c r="J432" s="118"/>
      <c r="K432" s="118"/>
      <c r="L432" s="112"/>
      <c r="M432" s="37">
        <v>0</v>
      </c>
      <c r="N432" s="27"/>
      <c r="O432" s="28">
        <f t="shared" si="74"/>
        <v>0</v>
      </c>
      <c r="P432" s="43">
        <f t="shared" si="75"/>
        <v>0</v>
      </c>
      <c r="Q432" s="36"/>
      <c r="R432" s="27"/>
    </row>
    <row r="433" spans="1:18" x14ac:dyDescent="0.3">
      <c r="A433" s="3" t="str">
        <f>'Autoévaluation client'!A445</f>
        <v>8.1.2.b</v>
      </c>
      <c r="B433" s="6" t="str">
        <f>'Autoévaluation client'!C445</f>
        <v>Par des représentants élus par les collaborateurs?</v>
      </c>
      <c r="C433" s="38">
        <f>IF(ISBLANK('Autoévaluation client'!D445),0,1)</f>
        <v>0</v>
      </c>
      <c r="D433" s="165" t="str">
        <f>IF(AND('Autoévaluation client'!D445="",'Autoévaluation client'!E445=""),"*","")</f>
        <v>*</v>
      </c>
      <c r="E433" s="39" t="str">
        <f>IF(ISBLANK('Autoévaluation client'!F445),"",'Autoévaluation client'!F445)</f>
        <v/>
      </c>
      <c r="F433" s="118"/>
      <c r="G433" s="118"/>
      <c r="H433" s="118"/>
      <c r="I433" s="118"/>
      <c r="J433" s="118"/>
      <c r="K433" s="118"/>
      <c r="L433" s="112"/>
      <c r="M433" s="37">
        <v>0</v>
      </c>
      <c r="N433" s="27"/>
      <c r="O433" s="28">
        <f t="shared" si="74"/>
        <v>0</v>
      </c>
      <c r="P433" s="43">
        <f t="shared" si="75"/>
        <v>0</v>
      </c>
      <c r="Q433" s="36"/>
      <c r="R433" s="27"/>
    </row>
    <row r="434" spans="1:18" ht="26.4" x14ac:dyDescent="0.3">
      <c r="A434" s="3" t="str">
        <f>'Autoévaluation client'!A446</f>
        <v>8.1.3.</v>
      </c>
      <c r="B434" s="6" t="str">
        <f>'Autoévaluation client'!C446</f>
        <v>L’information complète et en temps utile des collaborateurs ou des représentants des travailleurs est-elle garantie?</v>
      </c>
      <c r="C434" s="38">
        <f>IF(ISBLANK('Autoévaluation client'!D446),0,1)</f>
        <v>0</v>
      </c>
      <c r="D434" s="165" t="str">
        <f>IF(AND('Autoévaluation client'!D446="",'Autoévaluation client'!E446=""),"*","")</f>
        <v>*</v>
      </c>
      <c r="E434" s="39" t="str">
        <f>IF(ISBLANK('Autoévaluation client'!F446),"",'Autoévaluation client'!F446)</f>
        <v/>
      </c>
      <c r="F434" s="118"/>
      <c r="G434" s="118"/>
      <c r="H434" s="118"/>
      <c r="I434" s="118"/>
      <c r="J434" s="118"/>
      <c r="K434" s="118"/>
      <c r="L434" s="112"/>
      <c r="M434" s="37">
        <v>3</v>
      </c>
      <c r="N434" s="27"/>
      <c r="O434" s="28">
        <f t="shared" si="74"/>
        <v>0</v>
      </c>
      <c r="P434" s="43">
        <f t="shared" si="75"/>
        <v>0</v>
      </c>
      <c r="Q434" s="36"/>
      <c r="R434" s="27"/>
    </row>
    <row r="435" spans="1:18" ht="39.6" x14ac:dyDescent="0.3">
      <c r="A435" s="3" t="str">
        <f>'Autoévaluation client'!A447</f>
        <v>8.1.4.</v>
      </c>
      <c r="B435" s="6" t="str">
        <f>'Autoévaluation client'!C447</f>
        <v>Les droits de participation spécifiques des collaborateurs  ou de leurs représentants en matière de sécurité au travail et de protection de la santé sont-ils garantis?</v>
      </c>
      <c r="C435" s="38">
        <f>IF(ISBLANK('Autoévaluation client'!D447),0,1)</f>
        <v>0</v>
      </c>
      <c r="D435" s="165" t="str">
        <f>IF(AND('Autoévaluation client'!D447="",'Autoévaluation client'!E447=""),"*","")</f>
        <v>*</v>
      </c>
      <c r="E435" s="39" t="str">
        <f>IF(ISBLANK('Autoévaluation client'!F447),"",'Autoévaluation client'!F447)</f>
        <v/>
      </c>
      <c r="F435" s="120"/>
      <c r="G435" s="120"/>
      <c r="H435" s="120"/>
      <c r="I435" s="120"/>
      <c r="J435" s="120"/>
      <c r="K435" s="120"/>
      <c r="L435" s="112"/>
      <c r="M435" s="37">
        <v>3</v>
      </c>
      <c r="N435" s="27"/>
      <c r="O435" s="28">
        <f t="shared" si="74"/>
        <v>0</v>
      </c>
      <c r="P435" s="43">
        <f t="shared" si="75"/>
        <v>0</v>
      </c>
      <c r="Q435" s="36"/>
      <c r="R435" s="36"/>
    </row>
    <row r="436" spans="1:18" ht="26.4" x14ac:dyDescent="0.3">
      <c r="A436" s="3" t="str">
        <f>'Autoévaluation client'!A448</f>
        <v>8.1.5.</v>
      </c>
      <c r="B436" s="6" t="str">
        <f>'Autoévaluation client'!C448</f>
        <v>Les représentants des collaborateurs sont-ils soutenus dans leurs activités par l'employeur?</v>
      </c>
      <c r="C436" s="38">
        <f>IF(ISBLANK('Autoévaluation client'!D448),0,1)</f>
        <v>0</v>
      </c>
      <c r="D436" s="165" t="str">
        <f>IF(AND('Autoévaluation client'!D448="",'Autoévaluation client'!E448=""),"*","")</f>
        <v>*</v>
      </c>
      <c r="E436" s="39" t="str">
        <f>IF(ISBLANK('Autoévaluation client'!F448),"",'Autoévaluation client'!F448)</f>
        <v/>
      </c>
      <c r="F436" s="118"/>
      <c r="G436" s="118"/>
      <c r="H436" s="118"/>
      <c r="I436" s="118"/>
      <c r="J436" s="118"/>
      <c r="K436" s="118"/>
      <c r="L436" s="112"/>
      <c r="M436" s="37">
        <v>0</v>
      </c>
      <c r="N436" s="27"/>
      <c r="O436" s="28">
        <f t="shared" si="74"/>
        <v>0</v>
      </c>
      <c r="P436" s="43">
        <f t="shared" si="75"/>
        <v>0</v>
      </c>
      <c r="Q436" s="36"/>
      <c r="R436" s="27"/>
    </row>
    <row r="437" spans="1:18" x14ac:dyDescent="0.3">
      <c r="A437" s="20" t="str">
        <f>'Autoévaluation client'!A449</f>
        <v>8.2.</v>
      </c>
      <c r="B437" s="20" t="str">
        <f>'Autoévaluation client'!B449</f>
        <v>Propositions d’amélioration et système d’incitation</v>
      </c>
      <c r="C437" s="21">
        <f>O437/N437</f>
        <v>0</v>
      </c>
      <c r="D437" s="23" t="str">
        <f>IF(ISBLANK('Autoévaluation client'!E449),"",'Autoévaluation client'!E449)</f>
        <v/>
      </c>
      <c r="E437" s="23" t="str">
        <f>IF(ISBLANK('Autoévaluation client'!F449),"",'Autoévaluation client'!F449)</f>
        <v/>
      </c>
      <c r="F437" s="115"/>
      <c r="G437" s="115"/>
      <c r="H437" s="115"/>
      <c r="I437" s="115"/>
      <c r="J437" s="115"/>
      <c r="K437" s="115"/>
      <c r="L437" s="50">
        <f>P437/N437</f>
        <v>0</v>
      </c>
      <c r="M437" s="22">
        <v>3</v>
      </c>
      <c r="N437" s="22">
        <f>SUM(M438:M444)</f>
        <v>11</v>
      </c>
      <c r="O437" s="24">
        <f>SUM(O438:O444)</f>
        <v>0</v>
      </c>
      <c r="P437" s="24">
        <f>SUM(P438:P444)</f>
        <v>0</v>
      </c>
      <c r="Q437" s="52">
        <f>O437/$N437*$M437</f>
        <v>0</v>
      </c>
      <c r="R437" s="52">
        <f>P437/$N437*$M437</f>
        <v>0</v>
      </c>
    </row>
    <row r="438" spans="1:18" ht="26.4" x14ac:dyDescent="0.3">
      <c r="A438" s="3" t="str">
        <f>'Autoévaluation client'!A450</f>
        <v>8.2.1.</v>
      </c>
      <c r="B438" s="6" t="str">
        <f>'Autoévaluation client'!C450</f>
        <v>Le système de propositions et d'améliorations est-il institutionnalisé dans votre entreprise?</v>
      </c>
      <c r="C438" s="38">
        <f>IF(ISBLANK('Autoévaluation client'!D450),0,1)</f>
        <v>0</v>
      </c>
      <c r="D438" s="165" t="str">
        <f>IF(AND('Autoévaluation client'!D450="",'Autoévaluation client'!E450=""),"*","")</f>
        <v>*</v>
      </c>
      <c r="E438" s="39" t="str">
        <f>IF(ISBLANK('Autoévaluation client'!F450),"",'Autoévaluation client'!F450)</f>
        <v/>
      </c>
      <c r="F438" s="118"/>
      <c r="G438" s="118"/>
      <c r="H438" s="118"/>
      <c r="I438" s="118"/>
      <c r="J438" s="118"/>
      <c r="K438" s="118"/>
      <c r="L438" s="112"/>
      <c r="M438" s="37">
        <v>1</v>
      </c>
      <c r="N438" s="27"/>
      <c r="O438" s="28">
        <f t="shared" ref="O438:O444" si="76">C438*M438</f>
        <v>0</v>
      </c>
      <c r="P438" s="43">
        <f t="shared" ref="P438:P444" si="77">L438*M438</f>
        <v>0</v>
      </c>
      <c r="Q438" s="36"/>
      <c r="R438" s="27"/>
    </row>
    <row r="439" spans="1:18" ht="26.4" x14ac:dyDescent="0.3">
      <c r="A439" s="3" t="str">
        <f>'Autoévaluation client'!A451</f>
        <v>8.2.2.</v>
      </c>
      <c r="B439" s="6" t="str">
        <f>'Autoévaluation client'!C451</f>
        <v>Les propositions en matière de sécurité et de protection de la santé sont-elles explicitement souhaitées par l'entreprise?</v>
      </c>
      <c r="C439" s="38">
        <f>IF(ISBLANK('Autoévaluation client'!D451),0,1)</f>
        <v>0</v>
      </c>
      <c r="D439" s="165" t="str">
        <f>IF(AND('Autoévaluation client'!D451="",'Autoévaluation client'!E451=""),"*","")</f>
        <v>*</v>
      </c>
      <c r="E439" s="39" t="str">
        <f>IF(ISBLANK('Autoévaluation client'!F451),"",'Autoévaluation client'!F451)</f>
        <v/>
      </c>
      <c r="F439" s="118"/>
      <c r="G439" s="118"/>
      <c r="H439" s="118"/>
      <c r="I439" s="118"/>
      <c r="J439" s="118"/>
      <c r="K439" s="118"/>
      <c r="L439" s="112"/>
      <c r="M439" s="37">
        <v>3</v>
      </c>
      <c r="N439" s="27"/>
      <c r="O439" s="28">
        <f t="shared" si="76"/>
        <v>0</v>
      </c>
      <c r="P439" s="43">
        <f t="shared" si="77"/>
        <v>0</v>
      </c>
      <c r="Q439" s="36"/>
      <c r="R439" s="27"/>
    </row>
    <row r="440" spans="1:18" ht="26.4" x14ac:dyDescent="0.3">
      <c r="A440" s="3" t="str">
        <f>'Autoévaluation client'!A452</f>
        <v>8.2.3.</v>
      </c>
      <c r="B440" s="6" t="str">
        <f>'Autoévaluation client'!C452</f>
        <v>Avez-vous reçu des propositions pendant ces douze derniers mois? Si oui, combien?</v>
      </c>
      <c r="C440" s="38">
        <f>IF(ISBLANK('Autoévaluation client'!D452),0,1)</f>
        <v>0</v>
      </c>
      <c r="D440" s="165" t="str">
        <f>IF(AND('Autoévaluation client'!D452="",'Autoévaluation client'!E452=""),"*","")</f>
        <v>*</v>
      </c>
      <c r="E440" s="39" t="str">
        <f>IF(ISBLANK('Autoévaluation client'!F452),"",'Autoévaluation client'!F452)</f>
        <v/>
      </c>
      <c r="F440" s="118"/>
      <c r="G440" s="118"/>
      <c r="H440" s="118"/>
      <c r="I440" s="118"/>
      <c r="J440" s="118"/>
      <c r="K440" s="118"/>
      <c r="L440" s="112"/>
      <c r="M440" s="37">
        <v>0</v>
      </c>
      <c r="N440" s="27"/>
      <c r="O440" s="28">
        <f t="shared" si="76"/>
        <v>0</v>
      </c>
      <c r="P440" s="43">
        <f t="shared" si="77"/>
        <v>0</v>
      </c>
      <c r="Q440" s="36"/>
      <c r="R440" s="27"/>
    </row>
    <row r="441" spans="1:18" ht="39.6" x14ac:dyDescent="0.3">
      <c r="A441" s="3" t="str">
        <f>'Autoévaluation client'!A453</f>
        <v>8.2.4.</v>
      </c>
      <c r="B441" s="6" t="str">
        <f>'Autoévaluation client'!C453</f>
        <v>Avez-vous reçu des propositions qui concernaient la sécurité et la santé (au sens le plus large) pendant ces douze derniers mois? Si oui, combien?</v>
      </c>
      <c r="C441" s="38">
        <f>IF(ISBLANK('Autoévaluation client'!D453),0,1)</f>
        <v>0</v>
      </c>
      <c r="D441" s="165" t="str">
        <f>IF(AND('Autoévaluation client'!D453="",'Autoévaluation client'!E453=""),"*","")</f>
        <v>*</v>
      </c>
      <c r="E441" s="39" t="str">
        <f>IF(ISBLANK('Autoévaluation client'!F453),"",'Autoévaluation client'!F453)</f>
        <v/>
      </c>
      <c r="F441" s="118"/>
      <c r="G441" s="118"/>
      <c r="H441" s="118"/>
      <c r="I441" s="118"/>
      <c r="J441" s="118"/>
      <c r="K441" s="118"/>
      <c r="L441" s="112"/>
      <c r="M441" s="37">
        <v>2</v>
      </c>
      <c r="N441" s="27"/>
      <c r="O441" s="28">
        <f t="shared" si="76"/>
        <v>0</v>
      </c>
      <c r="P441" s="43">
        <f t="shared" si="77"/>
        <v>0</v>
      </c>
      <c r="Q441" s="36"/>
      <c r="R441" s="27"/>
    </row>
    <row r="442" spans="1:18" ht="26.4" x14ac:dyDescent="0.3">
      <c r="A442" s="3" t="str">
        <f>'Autoévaluation client'!A454</f>
        <v>8.2.5.</v>
      </c>
      <c r="B442" s="6" t="str">
        <f>'Autoévaluation client'!C454</f>
        <v>Les propositions visant l'amélioration de la sécurité sont-elles récompensées? Si oui, de quelle manière?</v>
      </c>
      <c r="C442" s="38">
        <f>IF(ISBLANK('Autoévaluation client'!D454),0,1)</f>
        <v>0</v>
      </c>
      <c r="D442" s="165" t="str">
        <f>IF(AND('Autoévaluation client'!D454="",'Autoévaluation client'!E454=""),"*","")</f>
        <v>*</v>
      </c>
      <c r="E442" s="39" t="str">
        <f>IF(ISBLANK('Autoévaluation client'!F454),"",'Autoévaluation client'!F454)</f>
        <v/>
      </c>
      <c r="F442" s="118"/>
      <c r="G442" s="118"/>
      <c r="H442" s="118"/>
      <c r="I442" s="118"/>
      <c r="J442" s="118"/>
      <c r="K442" s="118"/>
      <c r="L442" s="112"/>
      <c r="M442" s="37">
        <v>1</v>
      </c>
      <c r="N442" s="27"/>
      <c r="O442" s="28">
        <f t="shared" si="76"/>
        <v>0</v>
      </c>
      <c r="P442" s="43">
        <f t="shared" si="77"/>
        <v>0</v>
      </c>
      <c r="Q442" s="36"/>
      <c r="R442" s="27"/>
    </row>
    <row r="443" spans="1:18" ht="39.6" x14ac:dyDescent="0.3">
      <c r="A443" s="3" t="str">
        <f>'Autoévaluation client'!A455</f>
        <v>8.2.6.</v>
      </c>
      <c r="B443" s="6" t="str">
        <f>'Autoévaluation client'!C455</f>
        <v>Votre entreprise recourt-elle à un système d'incitation spécifique en vue de promouvoir la sécurité et la santé? Si oui, en quoi consiste ce système d'incitation?</v>
      </c>
      <c r="C443" s="38">
        <f>IF(ISBLANK('Autoévaluation client'!D455),0,1)</f>
        <v>0</v>
      </c>
      <c r="D443" s="165" t="str">
        <f>IF(AND('Autoévaluation client'!D455="",'Autoévaluation client'!E455=""),"*","")</f>
        <v>*</v>
      </c>
      <c r="E443" s="39" t="str">
        <f>IF(ISBLANK('Autoévaluation client'!F455),"",'Autoévaluation client'!F455)</f>
        <v/>
      </c>
      <c r="F443" s="118"/>
      <c r="G443" s="118"/>
      <c r="H443" s="118"/>
      <c r="I443" s="118"/>
      <c r="J443" s="118"/>
      <c r="K443" s="118"/>
      <c r="L443" s="112"/>
      <c r="M443" s="37">
        <v>1</v>
      </c>
      <c r="N443" s="27"/>
      <c r="O443" s="28">
        <f t="shared" si="76"/>
        <v>0</v>
      </c>
      <c r="P443" s="43">
        <f t="shared" si="77"/>
        <v>0</v>
      </c>
      <c r="Q443" s="36"/>
      <c r="R443" s="27"/>
    </row>
    <row r="444" spans="1:18" ht="66" x14ac:dyDescent="0.3">
      <c r="A444" s="3" t="str">
        <f>'Autoévaluation client'!A456</f>
        <v>8.2.7.</v>
      </c>
      <c r="B444" s="6" t="str">
        <f>'Autoévaluation client'!C456</f>
        <v>Votre entreprise recourt-elle à des cercles de qualité* ou d'autres moyens permettant d'utiliser au mieux les capacités d'amélioration du personnel? Si oui, lesquels?
*Cercles de qualité = groupe de travail char-gé de l'amélioration continue de la qualité.</v>
      </c>
      <c r="C444" s="38">
        <f>IF(ISBLANK('Autoévaluation client'!D456),0,1)</f>
        <v>0</v>
      </c>
      <c r="D444" s="165" t="str">
        <f>IF(AND('Autoévaluation client'!D456="",'Autoévaluation client'!E456=""),"*","")</f>
        <v>*</v>
      </c>
      <c r="E444" s="39" t="str">
        <f>IF(ISBLANK('Autoévaluation client'!F456),"",'Autoévaluation client'!F456)</f>
        <v/>
      </c>
      <c r="F444" s="118"/>
      <c r="G444" s="118"/>
      <c r="H444" s="118"/>
      <c r="I444" s="118"/>
      <c r="J444" s="118"/>
      <c r="K444" s="118"/>
      <c r="L444" s="112"/>
      <c r="M444" s="37">
        <v>3</v>
      </c>
      <c r="N444" s="27"/>
      <c r="O444" s="28">
        <f t="shared" si="76"/>
        <v>0</v>
      </c>
      <c r="P444" s="43">
        <f t="shared" si="77"/>
        <v>0</v>
      </c>
      <c r="Q444" s="36"/>
      <c r="R444" s="27"/>
    </row>
    <row r="445" spans="1:18" x14ac:dyDescent="0.3">
      <c r="A445" s="34" t="str">
        <f>'Autoévaluation client'!A458</f>
        <v>9.</v>
      </c>
      <c r="B445" s="7" t="str">
        <f>'Autoévaluation client'!B458</f>
        <v>Protection de la santé</v>
      </c>
      <c r="C445" s="30">
        <f>O445/N445</f>
        <v>0.15227272727272725</v>
      </c>
      <c r="D445" s="18"/>
      <c r="E445" s="18"/>
      <c r="F445" s="18"/>
      <c r="G445" s="18"/>
      <c r="H445" s="18"/>
      <c r="I445" s="18"/>
      <c r="J445" s="18"/>
      <c r="K445" s="18"/>
      <c r="L445" s="114">
        <f>P445/N445</f>
        <v>0.15227272727272725</v>
      </c>
      <c r="M445" s="5"/>
      <c r="N445" s="5">
        <f>SUM(M446,M454,M464,M491,M507,M517,M526,M532,M540,M550)</f>
        <v>11</v>
      </c>
      <c r="O445" s="48">
        <f>SUM(Q446:Q555)</f>
        <v>1.6749999999999998</v>
      </c>
      <c r="P445" s="48">
        <f>SUM(R446:R555)</f>
        <v>1.6749999999999998</v>
      </c>
      <c r="Q445" s="35"/>
      <c r="R445" s="35"/>
    </row>
    <row r="446" spans="1:18" x14ac:dyDescent="0.3">
      <c r="A446" s="20" t="str">
        <f>'Autoévaluation client'!A460</f>
        <v>9.1.</v>
      </c>
      <c r="B446" s="20" t="str">
        <f>'Autoévaluation client'!B460</f>
        <v>Aménagement du travail</v>
      </c>
      <c r="C446" s="21">
        <f>O446/N446</f>
        <v>0.26666666666666666</v>
      </c>
      <c r="D446" s="23"/>
      <c r="E446" s="23"/>
      <c r="F446" s="115"/>
      <c r="G446" s="115"/>
      <c r="H446" s="115"/>
      <c r="I446" s="115"/>
      <c r="J446" s="115"/>
      <c r="K446" s="115"/>
      <c r="L446" s="50">
        <f>P446/N446</f>
        <v>0.26666666666666666</v>
      </c>
      <c r="M446" s="22">
        <v>2</v>
      </c>
      <c r="N446" s="22">
        <f>SUM(M447:M453)</f>
        <v>15</v>
      </c>
      <c r="O446" s="24">
        <f>SUM(O447:O453)</f>
        <v>4</v>
      </c>
      <c r="P446" s="24">
        <f>SUM(P447:P453)</f>
        <v>4</v>
      </c>
      <c r="Q446" s="52">
        <f>O446/$N446*$M446</f>
        <v>0.53333333333333333</v>
      </c>
      <c r="R446" s="52">
        <f>P446/$N446*$M446</f>
        <v>0.53333333333333333</v>
      </c>
    </row>
    <row r="447" spans="1:18" ht="28.5" customHeight="1" x14ac:dyDescent="0.3">
      <c r="A447" s="3" t="str">
        <f>'Autoévaluation client'!A461</f>
        <v>9.1.1.</v>
      </c>
      <c r="B447" s="6" t="str">
        <f>'Autoévaluation client'!C461</f>
        <v>Les collaborateurs sont-ils en mesure d'organiser leur travail de manière autonome?</v>
      </c>
      <c r="C447" s="38">
        <f>IF(ISBLANK('Autoévaluation client'!D461),0,1)</f>
        <v>0</v>
      </c>
      <c r="D447" s="165" t="str">
        <f>IF(AND('Autoévaluation client'!D461="",'Autoévaluation client'!E461=""),"*","")</f>
        <v>*</v>
      </c>
      <c r="E447" s="39" t="str">
        <f>IF(ISBLANK('Autoévaluation client'!F461),"",'Autoévaluation client'!F461)</f>
        <v/>
      </c>
      <c r="F447" s="118"/>
      <c r="G447" s="118"/>
      <c r="H447" s="118"/>
      <c r="I447" s="118"/>
      <c r="J447" s="118"/>
      <c r="K447" s="118"/>
      <c r="L447" s="112"/>
      <c r="M447" s="37">
        <v>3</v>
      </c>
      <c r="N447" s="27"/>
      <c r="O447" s="28">
        <f>C447*M447</f>
        <v>0</v>
      </c>
      <c r="P447" s="43">
        <f t="shared" ref="P447:P449" si="78">L447*M447</f>
        <v>0</v>
      </c>
      <c r="Q447" s="36"/>
      <c r="R447" s="27"/>
    </row>
    <row r="448" spans="1:18" ht="26.4" x14ac:dyDescent="0.3">
      <c r="A448" s="3" t="str">
        <f>'Autoévaluation client'!A462</f>
        <v>9.1.2.</v>
      </c>
      <c r="B448" s="6" t="str">
        <f>'Autoévaluation client'!C462</f>
        <v>Les collaborateurs peuvent-ils  interrompre le flux de travail sans qu'il y ait des répercussions négatives (retards)?</v>
      </c>
      <c r="C448" s="38">
        <f>IF(ISBLANK('Autoévaluation client'!D462),0,1)</f>
        <v>0</v>
      </c>
      <c r="D448" s="165" t="str">
        <f>IF(AND('Autoévaluation client'!D462="",'Autoévaluation client'!E462=""),"*","")</f>
        <v>*</v>
      </c>
      <c r="E448" s="39" t="str">
        <f>IF(ISBLANK('Autoévaluation client'!F462),"",'Autoévaluation client'!F462)</f>
        <v/>
      </c>
      <c r="F448" s="118"/>
      <c r="G448" s="118"/>
      <c r="H448" s="118"/>
      <c r="I448" s="118"/>
      <c r="J448" s="118"/>
      <c r="K448" s="118"/>
      <c r="L448" s="112"/>
      <c r="M448" s="37">
        <v>3</v>
      </c>
      <c r="N448" s="27"/>
      <c r="O448" s="28">
        <f>C448*M448</f>
        <v>0</v>
      </c>
      <c r="P448" s="43">
        <f t="shared" si="78"/>
        <v>0</v>
      </c>
      <c r="Q448" s="36"/>
      <c r="R448" s="27"/>
    </row>
    <row r="449" spans="1:18" ht="26.4" x14ac:dyDescent="0.3">
      <c r="A449" s="3" t="str">
        <f>'Autoévaluation client'!A463</f>
        <v>9.1.3.</v>
      </c>
      <c r="B449" s="6" t="str">
        <f>'Autoévaluation client'!C463</f>
        <v xml:space="preserve">Les collaborateurs peuvent-ils se concerter aussi souvent que cela est nécessaire? </v>
      </c>
      <c r="C449" s="38">
        <f>IF(ISBLANK('Autoévaluation client'!D463),0,1)</f>
        <v>0</v>
      </c>
      <c r="D449" s="165" t="str">
        <f>IF(AND('Autoévaluation client'!D463="",'Autoévaluation client'!E463=""),"*","")</f>
        <v>*</v>
      </c>
      <c r="E449" s="39" t="str">
        <f>IF(ISBLANK('Autoévaluation client'!F463),"",'Autoévaluation client'!F463)</f>
        <v/>
      </c>
      <c r="F449" s="118"/>
      <c r="G449" s="118"/>
      <c r="H449" s="118"/>
      <c r="I449" s="118"/>
      <c r="J449" s="118"/>
      <c r="K449" s="118"/>
      <c r="L449" s="112"/>
      <c r="M449" s="37">
        <v>3</v>
      </c>
      <c r="N449" s="27"/>
      <c r="O449" s="28">
        <f>C449*M449</f>
        <v>0</v>
      </c>
      <c r="P449" s="43">
        <f t="shared" si="78"/>
        <v>0</v>
      </c>
      <c r="Q449" s="36"/>
      <c r="R449" s="27"/>
    </row>
    <row r="450" spans="1:18" ht="39.6" x14ac:dyDescent="0.3">
      <c r="A450" s="3" t="str">
        <f>'Autoévaluation client'!A464</f>
        <v>9.1.4.</v>
      </c>
      <c r="B450" s="6" t="str">
        <f>'Autoévaluation client'!C464</f>
        <v>Y a-t-il souvent des incertitudes quant à qui est responsable de quoi, même si chacun croit que tout a été clairement défini?</v>
      </c>
      <c r="C450" s="38">
        <f>IF(ISBLANK('Autoévaluation client'!D464),0,1)</f>
        <v>0</v>
      </c>
      <c r="D450" s="165" t="str">
        <f>IF(AND('Autoévaluation client'!D464="",'Autoévaluation client'!E464=""),"*","")</f>
        <v>*</v>
      </c>
      <c r="E450" s="39" t="str">
        <f>IF(ISBLANK('Autoévaluation client'!F464),"",'Autoévaluation client'!F464)</f>
        <v/>
      </c>
      <c r="F450" s="118"/>
      <c r="G450" s="118"/>
      <c r="H450" s="118"/>
      <c r="I450" s="118"/>
      <c r="J450" s="118"/>
      <c r="K450" s="118"/>
      <c r="L450" s="112"/>
      <c r="M450" s="37">
        <v>1</v>
      </c>
      <c r="N450" s="27"/>
      <c r="O450" s="47">
        <f>(1-C450)*M450</f>
        <v>1</v>
      </c>
      <c r="P450" s="49">
        <f>(1-L450)*M450</f>
        <v>1</v>
      </c>
      <c r="Q450" s="36"/>
      <c r="R450" s="27"/>
    </row>
    <row r="451" spans="1:18" ht="39.6" x14ac:dyDescent="0.3">
      <c r="A451" s="3" t="str">
        <f>'Autoévaluation client'!A465</f>
        <v>9.1.5.</v>
      </c>
      <c r="B451" s="6" t="str">
        <f>'Autoévaluation client'!C465</f>
        <v>Certains domaines rencontrent-ils des perturbations fréquentes dans le déroulement du travail (quiproquos, oublis, omissions, méprises)? Si oui, lesquelles ?</v>
      </c>
      <c r="C451" s="38">
        <f>IF(ISBLANK('Autoévaluation client'!D465),0,1)</f>
        <v>0</v>
      </c>
      <c r="D451" s="165" t="str">
        <f>IF(AND('Autoévaluation client'!D465="",'Autoévaluation client'!E465=""),"*","")</f>
        <v>*</v>
      </c>
      <c r="E451" s="39" t="str">
        <f>IF(ISBLANK('Autoévaluation client'!F465),"",'Autoévaluation client'!F465)</f>
        <v/>
      </c>
      <c r="F451" s="118"/>
      <c r="G451" s="118"/>
      <c r="H451" s="118"/>
      <c r="I451" s="118"/>
      <c r="J451" s="118"/>
      <c r="K451" s="118"/>
      <c r="L451" s="112"/>
      <c r="M451" s="37">
        <v>1</v>
      </c>
      <c r="N451" s="27"/>
      <c r="O451" s="47">
        <f>(1-C451)*M451</f>
        <v>1</v>
      </c>
      <c r="P451" s="49">
        <f t="shared" ref="P451:P452" si="79">(1-L451)*M451</f>
        <v>1</v>
      </c>
      <c r="Q451" s="36"/>
      <c r="R451" s="27"/>
    </row>
    <row r="452" spans="1:18" ht="26.4" x14ac:dyDescent="0.3">
      <c r="A452" s="3" t="str">
        <f>'Autoévaluation client'!A466</f>
        <v>9.1.6.</v>
      </c>
      <c r="B452" s="6" t="str">
        <f>'Autoévaluation client'!C466</f>
        <v>Dans votre entreprise, y a-t-il des activités monotones, peu stimulantes requérant des aptitudes peu élevées?</v>
      </c>
      <c r="C452" s="38">
        <f>IF(ISBLANK('Autoévaluation client'!D466),0,1)</f>
        <v>0</v>
      </c>
      <c r="D452" s="165" t="str">
        <f>IF(AND('Autoévaluation client'!D466="",'Autoévaluation client'!E466=""),"*","")</f>
        <v>*</v>
      </c>
      <c r="E452" s="39" t="str">
        <f>IF(ISBLANK('Autoévaluation client'!F466),"",'Autoévaluation client'!F466)</f>
        <v/>
      </c>
      <c r="F452" s="118"/>
      <c r="G452" s="118"/>
      <c r="H452" s="118"/>
      <c r="I452" s="118"/>
      <c r="J452" s="118"/>
      <c r="K452" s="118"/>
      <c r="L452" s="112"/>
      <c r="M452" s="37">
        <v>2</v>
      </c>
      <c r="N452" s="27"/>
      <c r="O452" s="47">
        <f>(1-C452)*M452</f>
        <v>2</v>
      </c>
      <c r="P452" s="49">
        <f t="shared" si="79"/>
        <v>2</v>
      </c>
      <c r="Q452" s="36"/>
      <c r="R452" s="27"/>
    </row>
    <row r="453" spans="1:18" ht="56.25" customHeight="1" x14ac:dyDescent="0.3">
      <c r="A453" s="3" t="str">
        <f>'Autoévaluation client'!A467</f>
        <v>9.1.7.</v>
      </c>
      <c r="B453" s="6" t="str">
        <f>'Autoévaluation client'!C467</f>
        <v>Si vous-avez répondu 9.1.6. positivement, de quelle manière pourrait-on enrichir ou modifier ces tâches afin de les rendre plus attrayantes?</v>
      </c>
      <c r="C453" s="38">
        <f>IF(ISBLANK('Autoévaluation client'!D467),0,1)</f>
        <v>0</v>
      </c>
      <c r="D453" s="165" t="str">
        <f>IF(AND('Autoévaluation client'!D467="",'Autoévaluation client'!E467=""),"*","")</f>
        <v>*</v>
      </c>
      <c r="E453" s="39" t="str">
        <f>IF(ISBLANK('Autoévaluation client'!F467),"",'Autoévaluation client'!F467)</f>
        <v/>
      </c>
      <c r="F453" s="118"/>
      <c r="G453" s="118"/>
      <c r="H453" s="118"/>
      <c r="I453" s="118"/>
      <c r="J453" s="118"/>
      <c r="K453" s="118"/>
      <c r="L453" s="112"/>
      <c r="M453" s="37">
        <v>2</v>
      </c>
      <c r="N453" s="27"/>
      <c r="O453" s="28">
        <f>C453*M453</f>
        <v>0</v>
      </c>
      <c r="P453" s="43">
        <f>L453*M453</f>
        <v>0</v>
      </c>
      <c r="Q453" s="36"/>
      <c r="R453" s="27"/>
    </row>
    <row r="454" spans="1:18" x14ac:dyDescent="0.3">
      <c r="A454" s="20" t="str">
        <f>'Autoévaluation client'!A468</f>
        <v>9.2.</v>
      </c>
      <c r="B454" s="20" t="str">
        <f>'Autoévaluation client'!B468</f>
        <v>Charge de travail, satisfaction au travail</v>
      </c>
      <c r="C454" s="21">
        <f>O454/N454</f>
        <v>0.875</v>
      </c>
      <c r="D454" s="23" t="str">
        <f>IF(ISBLANK('Autoévaluation client'!E468),"",'Autoévaluation client'!E468)</f>
        <v/>
      </c>
      <c r="E454" s="23" t="str">
        <f>IF(ISBLANK('Autoévaluation client'!F468),"",'Autoévaluation client'!F468)</f>
        <v/>
      </c>
      <c r="F454" s="115"/>
      <c r="G454" s="115"/>
      <c r="H454" s="115"/>
      <c r="I454" s="115"/>
      <c r="J454" s="115"/>
      <c r="K454" s="115"/>
      <c r="L454" s="50">
        <f>P454/N454</f>
        <v>0.875</v>
      </c>
      <c r="M454" s="22">
        <v>1</v>
      </c>
      <c r="N454" s="42">
        <f>SUM(M455:M458,MIN(M459:M462),M463)</f>
        <v>8</v>
      </c>
      <c r="O454" s="42">
        <f>SUM(O455:O458,MIN(O459:O462),O463)</f>
        <v>7</v>
      </c>
      <c r="P454" s="42">
        <f>SUM(P455:P458,MIN(P459:P462),P463)</f>
        <v>7</v>
      </c>
      <c r="Q454" s="52">
        <f>O454/N454*M454</f>
        <v>0.875</v>
      </c>
      <c r="R454" s="52">
        <f>P454/N454*$M454</f>
        <v>0.875</v>
      </c>
    </row>
    <row r="455" spans="1:18" ht="52.8" x14ac:dyDescent="0.3">
      <c r="A455" s="3" t="str">
        <f>'Autoévaluation client'!A469</f>
        <v>9.2.1.</v>
      </c>
      <c r="B455" s="6" t="str">
        <f>'Autoévaluation client'!C469</f>
        <v>Y a-t-il des secteurs où l’on se plaint fréquemment de fatigue, de maux de tête, de troubles du sommeil ou de maux d'estomac? 
Si oui, dans quels secteurs?</v>
      </c>
      <c r="C455" s="38">
        <f>IF(ISBLANK('Autoévaluation client'!D469),0,1)</f>
        <v>0</v>
      </c>
      <c r="D455" s="165" t="str">
        <f>IF(AND('Autoévaluation client'!D469="",'Autoévaluation client'!E469=""),"*","")</f>
        <v>*</v>
      </c>
      <c r="E455" s="39" t="str">
        <f>IF(ISBLANK('Autoévaluation client'!F469),"",'Autoévaluation client'!F469)</f>
        <v/>
      </c>
      <c r="F455" s="118"/>
      <c r="G455" s="118"/>
      <c r="H455" s="118"/>
      <c r="I455" s="118"/>
      <c r="J455" s="118"/>
      <c r="K455" s="118"/>
      <c r="L455" s="112"/>
      <c r="M455" s="37">
        <v>3</v>
      </c>
      <c r="N455" s="27"/>
      <c r="O455" s="47">
        <f t="shared" ref="O455:O462" si="80">(1-C455)*M455</f>
        <v>3</v>
      </c>
      <c r="P455" s="49">
        <f>(1-L455)*M455</f>
        <v>3</v>
      </c>
      <c r="Q455" s="36"/>
      <c r="R455" s="27"/>
    </row>
    <row r="456" spans="1:18" ht="39.6" x14ac:dyDescent="0.3">
      <c r="A456" s="3" t="str">
        <f>'Autoévaluation client'!A470</f>
        <v>9.2.2.</v>
      </c>
      <c r="B456" s="6" t="str">
        <f>'Autoévaluation client'!C470</f>
        <v>Recevez-vous des plaintes relatives aux tâches de travail monotones ou aux contraintes unilatérales? 
Si oui, dans quels domaines?</v>
      </c>
      <c r="C456" s="38">
        <f>IF(ISBLANK('Autoévaluation client'!D470),0,1)</f>
        <v>0</v>
      </c>
      <c r="D456" s="165" t="str">
        <f>IF(AND('Autoévaluation client'!D470="",'Autoévaluation client'!E470=""),"*","")</f>
        <v>*</v>
      </c>
      <c r="E456" s="39" t="str">
        <f>IF(ISBLANK('Autoévaluation client'!F470),"",'Autoévaluation client'!F470)</f>
        <v/>
      </c>
      <c r="F456" s="118"/>
      <c r="G456" s="118"/>
      <c r="H456" s="118"/>
      <c r="I456" s="118"/>
      <c r="J456" s="118"/>
      <c r="K456" s="118"/>
      <c r="L456" s="112"/>
      <c r="M456" s="37">
        <v>1</v>
      </c>
      <c r="N456" s="27"/>
      <c r="O456" s="47">
        <f t="shared" si="80"/>
        <v>1</v>
      </c>
      <c r="P456" s="49">
        <f t="shared" ref="P456:P462" si="81">(1-L456)*M456</f>
        <v>1</v>
      </c>
      <c r="Q456" s="36"/>
      <c r="R456" s="27"/>
    </row>
    <row r="457" spans="1:18" ht="26.4" x14ac:dyDescent="0.3">
      <c r="A457" s="3" t="str">
        <f>'Autoévaluation client'!A471</f>
        <v>9.2.3.</v>
      </c>
      <c r="B457" s="6" t="str">
        <f>'Autoévaluation client'!C471</f>
        <v>Recevez-vous des plaintes relatives aux délais trop courts, à l'effervescence ou au surmenage?</v>
      </c>
      <c r="C457" s="38">
        <f>IF(ISBLANK('Autoévaluation client'!D471),0,1)</f>
        <v>0</v>
      </c>
      <c r="D457" s="165" t="str">
        <f>IF(AND('Autoévaluation client'!D471="",'Autoévaluation client'!E471=""),"*","")</f>
        <v>*</v>
      </c>
      <c r="E457" s="39" t="str">
        <f>IF(ISBLANK('Autoévaluation client'!F471),"",'Autoévaluation client'!F471)</f>
        <v/>
      </c>
      <c r="F457" s="120"/>
      <c r="G457" s="120"/>
      <c r="H457" s="120"/>
      <c r="I457" s="120"/>
      <c r="J457" s="120"/>
      <c r="K457" s="120"/>
      <c r="L457" s="112"/>
      <c r="M457" s="37">
        <v>1</v>
      </c>
      <c r="N457" s="27"/>
      <c r="O457" s="47">
        <f t="shared" si="80"/>
        <v>1</v>
      </c>
      <c r="P457" s="49">
        <f t="shared" si="81"/>
        <v>1</v>
      </c>
      <c r="Q457" s="36"/>
      <c r="R457" s="36"/>
    </row>
    <row r="458" spans="1:18" ht="39.6" x14ac:dyDescent="0.3">
      <c r="A458" s="3" t="str">
        <f>'Autoévaluation client'!A472</f>
        <v>9.2.4.</v>
      </c>
      <c r="B458" s="6" t="str">
        <f>'Autoévaluation client'!C472</f>
        <v xml:space="preserve">Arrive-t-il que vous remarquiez une insatisfaction diffuse sans pouvoir trouver une raison valable pour ce malaise (les collaborateurs de plaignent en permanence)? </v>
      </c>
      <c r="C458" s="38">
        <f>IF(ISBLANK('Autoévaluation client'!D472),0,1)</f>
        <v>0</v>
      </c>
      <c r="D458" s="165" t="str">
        <f>IF(AND('Autoévaluation client'!D472="",'Autoévaluation client'!E472=""),"*","")</f>
        <v>*</v>
      </c>
      <c r="E458" s="39" t="str">
        <f>IF(ISBLANK('Autoévaluation client'!F472),"",'Autoévaluation client'!F472)</f>
        <v/>
      </c>
      <c r="F458" s="118"/>
      <c r="G458" s="118"/>
      <c r="H458" s="118"/>
      <c r="I458" s="118"/>
      <c r="J458" s="118"/>
      <c r="K458" s="118"/>
      <c r="L458" s="112"/>
      <c r="M458" s="37">
        <v>1</v>
      </c>
      <c r="N458" s="27"/>
      <c r="O458" s="47">
        <f t="shared" si="80"/>
        <v>1</v>
      </c>
      <c r="P458" s="49">
        <f t="shared" si="81"/>
        <v>1</v>
      </c>
      <c r="Q458" s="36"/>
      <c r="R458" s="27"/>
    </row>
    <row r="459" spans="1:18" ht="26.4" x14ac:dyDescent="0.3">
      <c r="A459" s="3" t="str">
        <f>'Autoévaluation client'!A473</f>
        <v>9.2.5.a</v>
      </c>
      <c r="B459" s="6" t="str">
        <f>'Autoévaluation client'!C473</f>
        <v>Y a-t-il des conflits:
Entre les employés?</v>
      </c>
      <c r="C459" s="38">
        <f>IF(ISBLANK('Autoévaluation client'!D473),0,1)</f>
        <v>0</v>
      </c>
      <c r="D459" s="165" t="str">
        <f>IF(AND('Autoévaluation client'!D473="",'Autoévaluation client'!E473=""),"*","")</f>
        <v>*</v>
      </c>
      <c r="E459" s="39" t="str">
        <f>IF(ISBLANK('Autoévaluation client'!F473),"",'Autoévaluation client'!F473)</f>
        <v/>
      </c>
      <c r="F459" s="118"/>
      <c r="G459" s="118"/>
      <c r="H459" s="118"/>
      <c r="I459" s="118"/>
      <c r="J459" s="118"/>
      <c r="K459" s="118"/>
      <c r="L459" s="112"/>
      <c r="M459" s="37">
        <v>1</v>
      </c>
      <c r="N459" s="27"/>
      <c r="O459" s="47">
        <f t="shared" si="80"/>
        <v>1</v>
      </c>
      <c r="P459" s="49">
        <f t="shared" si="81"/>
        <v>1</v>
      </c>
      <c r="Q459" s="36"/>
      <c r="R459" s="27"/>
    </row>
    <row r="460" spans="1:18" x14ac:dyDescent="0.3">
      <c r="A460" s="3" t="str">
        <f>'Autoévaluation client'!A474</f>
        <v>9.2.5.b</v>
      </c>
      <c r="B460" s="6" t="str">
        <f>'Autoévaluation client'!C474</f>
        <v>Entre les divisions?</v>
      </c>
      <c r="C460" s="38">
        <f>IF(ISBLANK('Autoévaluation client'!D474),0,1)</f>
        <v>0</v>
      </c>
      <c r="D460" s="165" t="str">
        <f>IF(AND('Autoévaluation client'!D474="",'Autoévaluation client'!E474=""),"*","")</f>
        <v>*</v>
      </c>
      <c r="E460" s="39" t="str">
        <f>IF(ISBLANK('Autoévaluation client'!F474),"",'Autoévaluation client'!F474)</f>
        <v/>
      </c>
      <c r="F460" s="118"/>
      <c r="G460" s="118"/>
      <c r="H460" s="118"/>
      <c r="I460" s="118"/>
      <c r="J460" s="118"/>
      <c r="K460" s="118"/>
      <c r="L460" s="112"/>
      <c r="M460" s="37">
        <v>1</v>
      </c>
      <c r="N460" s="27"/>
      <c r="O460" s="47">
        <f t="shared" si="80"/>
        <v>1</v>
      </c>
      <c r="P460" s="49">
        <f t="shared" si="81"/>
        <v>1</v>
      </c>
      <c r="Q460" s="36"/>
      <c r="R460" s="27"/>
    </row>
    <row r="461" spans="1:18" x14ac:dyDescent="0.3">
      <c r="A461" s="3" t="str">
        <f>'Autoévaluation client'!A475</f>
        <v>9.2.5.c</v>
      </c>
      <c r="B461" s="6" t="str">
        <f>'Autoévaluation client'!C475</f>
        <v>Entre les supérieurs et les subordonnés?</v>
      </c>
      <c r="C461" s="38">
        <f>IF(ISBLANK('Autoévaluation client'!D475),0,1)</f>
        <v>0</v>
      </c>
      <c r="D461" s="165" t="str">
        <f>IF(AND('Autoévaluation client'!D475="",'Autoévaluation client'!E475=""),"*","")</f>
        <v>*</v>
      </c>
      <c r="E461" s="39" t="str">
        <f>IF(ISBLANK('Autoévaluation client'!F475),"",'Autoévaluation client'!F475)</f>
        <v/>
      </c>
      <c r="F461" s="118"/>
      <c r="G461" s="118"/>
      <c r="H461" s="118"/>
      <c r="I461" s="118"/>
      <c r="J461" s="118"/>
      <c r="K461" s="118"/>
      <c r="L461" s="112"/>
      <c r="M461" s="37">
        <v>1</v>
      </c>
      <c r="N461" s="27"/>
      <c r="O461" s="47">
        <f t="shared" si="80"/>
        <v>1</v>
      </c>
      <c r="P461" s="49">
        <f t="shared" si="81"/>
        <v>1</v>
      </c>
      <c r="Q461" s="36"/>
      <c r="R461" s="27"/>
    </row>
    <row r="462" spans="1:18" x14ac:dyDescent="0.3">
      <c r="A462" s="3" t="str">
        <f>'Autoévaluation client'!A476</f>
        <v>9.2.5.d</v>
      </c>
      <c r="B462" s="6" t="str">
        <f>'Autoévaluation client'!C476</f>
        <v>Entre les supérieurs?</v>
      </c>
      <c r="C462" s="38">
        <f>IF(ISBLANK('Autoévaluation client'!D476),0,1)</f>
        <v>0</v>
      </c>
      <c r="D462" s="165" t="str">
        <f>IF(AND('Autoévaluation client'!D476="",'Autoévaluation client'!E476=""),"*","")</f>
        <v>*</v>
      </c>
      <c r="E462" s="39" t="str">
        <f>IF(ISBLANK('Autoévaluation client'!F476),"",'Autoévaluation client'!F476)</f>
        <v/>
      </c>
      <c r="F462" s="118"/>
      <c r="G462" s="118"/>
      <c r="H462" s="118"/>
      <c r="I462" s="118"/>
      <c r="J462" s="118"/>
      <c r="K462" s="118"/>
      <c r="L462" s="112"/>
      <c r="M462" s="37">
        <v>1</v>
      </c>
      <c r="N462" s="27"/>
      <c r="O462" s="47">
        <f t="shared" si="80"/>
        <v>1</v>
      </c>
      <c r="P462" s="49">
        <f t="shared" si="81"/>
        <v>1</v>
      </c>
      <c r="Q462" s="36"/>
      <c r="R462" s="27"/>
    </row>
    <row r="463" spans="1:18" ht="26.4" x14ac:dyDescent="0.3">
      <c r="A463" s="3" t="str">
        <f>'Autoévaluation client'!A477</f>
        <v>9.2.6.</v>
      </c>
      <c r="B463" s="6" t="str">
        <f>'Autoévaluation client'!C477</f>
        <v>Une procédure pour la gestion des conflits est-elle appliquée?</v>
      </c>
      <c r="C463" s="38">
        <f>IF(ISBLANK('Autoévaluation client'!D477),0,1)</f>
        <v>0</v>
      </c>
      <c r="D463" s="165" t="str">
        <f>IF(AND('Autoévaluation client'!D477="",'Autoévaluation client'!E477=""),"*","")</f>
        <v>*</v>
      </c>
      <c r="E463" s="39" t="str">
        <f>IF(ISBLANK('Autoévaluation client'!F477),"",'Autoévaluation client'!F477)</f>
        <v/>
      </c>
      <c r="F463" s="118"/>
      <c r="G463" s="118"/>
      <c r="H463" s="118"/>
      <c r="I463" s="118"/>
      <c r="J463" s="118"/>
      <c r="K463" s="118"/>
      <c r="L463" s="112"/>
      <c r="M463" s="37">
        <v>1</v>
      </c>
      <c r="N463" s="27"/>
      <c r="O463" s="28">
        <f>C463*M463</f>
        <v>0</v>
      </c>
      <c r="P463" s="43">
        <f>L463*M463</f>
        <v>0</v>
      </c>
      <c r="Q463" s="36"/>
      <c r="R463" s="27"/>
    </row>
    <row r="464" spans="1:18" x14ac:dyDescent="0.3">
      <c r="A464" s="20" t="str">
        <f>'Autoévaluation client'!A478</f>
        <v>9.3.</v>
      </c>
      <c r="B464" s="20" t="str">
        <f>'Autoévaluation client'!B478</f>
        <v>Charge physique</v>
      </c>
      <c r="C464" s="21">
        <f>O464/N464</f>
        <v>1</v>
      </c>
      <c r="D464" s="23" t="str">
        <f>IF(ISBLANK('Autoévaluation client'!E478),"",'Autoévaluation client'!E478)</f>
        <v/>
      </c>
      <c r="E464" s="23" t="str">
        <f>IF(ISBLANK('Autoévaluation client'!F478),"",'Autoévaluation client'!F478)</f>
        <v/>
      </c>
      <c r="F464" s="115"/>
      <c r="G464" s="115"/>
      <c r="H464" s="115"/>
      <c r="I464" s="115"/>
      <c r="J464" s="115"/>
      <c r="K464" s="115"/>
      <c r="L464" s="50">
        <f>P464/N464</f>
        <v>1</v>
      </c>
      <c r="M464" s="22">
        <v>0</v>
      </c>
      <c r="N464" s="22">
        <f>SUM(M465:M490)</f>
        <v>26</v>
      </c>
      <c r="O464" s="24">
        <f>SUM(O465:O490)</f>
        <v>26</v>
      </c>
      <c r="P464" s="24">
        <f>SUM(P465:P490)</f>
        <v>26</v>
      </c>
      <c r="Q464" s="52">
        <f>O464/$N464*$M464</f>
        <v>0</v>
      </c>
      <c r="R464" s="52">
        <f>P464/$N464*$M464</f>
        <v>0</v>
      </c>
    </row>
    <row r="465" spans="1:18" ht="66" x14ac:dyDescent="0.3">
      <c r="A465" s="3" t="str">
        <f>'Autoévaluation client'!A479</f>
        <v>9.3.1.a</v>
      </c>
      <c r="B465" s="6" t="str">
        <f>'Autoévaluation client'!C479</f>
        <v>Les contraintes physiques suivantes relatives à la sécurité et à la santé apparaissent-elles aux postes de travail de votre entreprise:
Contraintes cardio-vasculaires élevées, travaux physiquement pénibles?</v>
      </c>
      <c r="C465" s="38">
        <f>IF(ISBLANK('Autoévaluation client'!D479),0,1)</f>
        <v>0</v>
      </c>
      <c r="D465" s="165" t="str">
        <f>IF(AND('Autoévaluation client'!D479="",'Autoévaluation client'!E479=""),"*","")</f>
        <v>*</v>
      </c>
      <c r="E465" s="39" t="str">
        <f>IF(ISBLANK('Autoévaluation client'!F479),"",'Autoévaluation client'!F479)</f>
        <v/>
      </c>
      <c r="F465" s="118"/>
      <c r="G465" s="118"/>
      <c r="H465" s="118"/>
      <c r="I465" s="118"/>
      <c r="J465" s="118"/>
      <c r="K465" s="118"/>
      <c r="L465" s="112"/>
      <c r="M465" s="37">
        <v>1</v>
      </c>
      <c r="N465" s="27"/>
      <c r="O465" s="47">
        <f t="shared" ref="O465:O490" si="82">(1-C465)*M465</f>
        <v>1</v>
      </c>
      <c r="P465" s="49">
        <f t="shared" ref="P465:P490" si="83">(1-L465)*M465</f>
        <v>1</v>
      </c>
      <c r="Q465" s="36"/>
      <c r="R465" s="27"/>
    </row>
    <row r="466" spans="1:18" x14ac:dyDescent="0.3">
      <c r="A466" s="3" t="str">
        <f>'Autoévaluation client'!A480</f>
        <v>9.3.1.b</v>
      </c>
      <c r="B466" s="6" t="str">
        <f>'Autoévaluation client'!C480</f>
        <v>Contraintes importantes sur le squelette et les muscles?</v>
      </c>
      <c r="C466" s="38">
        <f>IF(ISBLANK('Autoévaluation client'!D480),0,1)</f>
        <v>0</v>
      </c>
      <c r="D466" s="165" t="str">
        <f>IF(AND('Autoévaluation client'!D480="",'Autoévaluation client'!E480=""),"*","")</f>
        <v>*</v>
      </c>
      <c r="E466" s="39" t="str">
        <f>IF(ISBLANK('Autoévaluation client'!F480),"",'Autoévaluation client'!F480)</f>
        <v/>
      </c>
      <c r="F466" s="118"/>
      <c r="G466" s="118"/>
      <c r="H466" s="118"/>
      <c r="I466" s="118"/>
      <c r="J466" s="118"/>
      <c r="K466" s="118"/>
      <c r="L466" s="112"/>
      <c r="M466" s="37">
        <v>1</v>
      </c>
      <c r="N466" s="27"/>
      <c r="O466" s="47">
        <f t="shared" si="82"/>
        <v>1</v>
      </c>
      <c r="P466" s="49">
        <f t="shared" si="83"/>
        <v>1</v>
      </c>
      <c r="Q466" s="36"/>
      <c r="R466" s="27"/>
    </row>
    <row r="467" spans="1:18" x14ac:dyDescent="0.3">
      <c r="A467" s="3" t="str">
        <f>'Autoévaluation client'!A481</f>
        <v>9.3.1.c</v>
      </c>
      <c r="B467" s="6" t="str">
        <f>'Autoévaluation client'!C481</f>
        <v>Contraintes unilatérales locales sur le corps?</v>
      </c>
      <c r="C467" s="38">
        <f>IF(ISBLANK('Autoévaluation client'!D481),0,1)</f>
        <v>0</v>
      </c>
      <c r="D467" s="165" t="str">
        <f>IF(AND('Autoévaluation client'!D481="",'Autoévaluation client'!E481=""),"*","")</f>
        <v>*</v>
      </c>
      <c r="E467" s="39" t="str">
        <f>IF(ISBLANK('Autoévaluation client'!F481),"",'Autoévaluation client'!F481)</f>
        <v/>
      </c>
      <c r="F467" s="118"/>
      <c r="G467" s="118"/>
      <c r="H467" s="118"/>
      <c r="I467" s="118"/>
      <c r="J467" s="118"/>
      <c r="K467" s="118"/>
      <c r="L467" s="112"/>
      <c r="M467" s="37">
        <v>1</v>
      </c>
      <c r="N467" s="27"/>
      <c r="O467" s="47">
        <f t="shared" si="82"/>
        <v>1</v>
      </c>
      <c r="P467" s="49">
        <f t="shared" si="83"/>
        <v>1</v>
      </c>
      <c r="Q467" s="36"/>
      <c r="R467" s="27"/>
    </row>
    <row r="468" spans="1:18" x14ac:dyDescent="0.3">
      <c r="A468" s="3" t="str">
        <f>'Autoévaluation client'!A482</f>
        <v>9.3.1.d</v>
      </c>
      <c r="B468" s="6" t="str">
        <f>'Autoévaluation client'!C482</f>
        <v>Contraintes importantes de l'appareil respiratoire?</v>
      </c>
      <c r="C468" s="38">
        <f>IF(ISBLANK('Autoévaluation client'!D482),0,1)</f>
        <v>0</v>
      </c>
      <c r="D468" s="165" t="str">
        <f>IF(AND('Autoévaluation client'!D482="",'Autoévaluation client'!E482=""),"*","")</f>
        <v>*</v>
      </c>
      <c r="E468" s="39" t="str">
        <f>IF(ISBLANK('Autoévaluation client'!F482),"",'Autoévaluation client'!F482)</f>
        <v/>
      </c>
      <c r="F468" s="118"/>
      <c r="G468" s="118"/>
      <c r="H468" s="118"/>
      <c r="I468" s="118"/>
      <c r="J468" s="118"/>
      <c r="K468" s="118"/>
      <c r="L468" s="112"/>
      <c r="M468" s="37">
        <v>1</v>
      </c>
      <c r="N468" s="27"/>
      <c r="O468" s="47">
        <f t="shared" si="82"/>
        <v>1</v>
      </c>
      <c r="P468" s="49">
        <f t="shared" si="83"/>
        <v>1</v>
      </c>
      <c r="Q468" s="36"/>
      <c r="R468" s="27"/>
    </row>
    <row r="469" spans="1:18" ht="26.4" x14ac:dyDescent="0.3">
      <c r="A469" s="3" t="str">
        <f>'Autoévaluation client'!A483</f>
        <v>9.3.1.e</v>
      </c>
      <c r="B469" s="6" t="str">
        <f>'Autoévaluation client'!C483</f>
        <v>Positions de travail statiques prolongées, travail musculaire prolongé?</v>
      </c>
      <c r="C469" s="38">
        <f>IF(ISBLANK('Autoévaluation client'!D483),0,1)</f>
        <v>0</v>
      </c>
      <c r="D469" s="165" t="str">
        <f>IF(AND('Autoévaluation client'!D483="",'Autoévaluation client'!E483=""),"*","")</f>
        <v>*</v>
      </c>
      <c r="E469" s="39" t="str">
        <f>IF(ISBLANK('Autoévaluation client'!F483),"",'Autoévaluation client'!F483)</f>
        <v/>
      </c>
      <c r="F469" s="118"/>
      <c r="G469" s="118"/>
      <c r="H469" s="118"/>
      <c r="I469" s="118"/>
      <c r="J469" s="118"/>
      <c r="K469" s="118"/>
      <c r="L469" s="112"/>
      <c r="M469" s="37">
        <v>1</v>
      </c>
      <c r="N469" s="27"/>
      <c r="O469" s="47">
        <f t="shared" si="82"/>
        <v>1</v>
      </c>
      <c r="P469" s="49">
        <f t="shared" si="83"/>
        <v>1</v>
      </c>
      <c r="Q469" s="36"/>
      <c r="R469" s="27"/>
    </row>
    <row r="470" spans="1:18" x14ac:dyDescent="0.3">
      <c r="A470" s="3" t="str">
        <f>'Autoévaluation client'!A484</f>
        <v>9.3.1.f</v>
      </c>
      <c r="B470" s="6" t="str">
        <f>'Autoévaluation client'!C484</f>
        <v>Positions du corps peu naturelles et forcées?</v>
      </c>
      <c r="C470" s="38">
        <f>IF(ISBLANK('Autoévaluation client'!D484),0,1)</f>
        <v>0</v>
      </c>
      <c r="D470" s="165" t="str">
        <f>IF(AND('Autoévaluation client'!D484="",'Autoévaluation client'!E484=""),"*","")</f>
        <v>*</v>
      </c>
      <c r="E470" s="39" t="str">
        <f>IF(ISBLANK('Autoévaluation client'!F484),"",'Autoévaluation client'!F484)</f>
        <v/>
      </c>
      <c r="F470" s="118"/>
      <c r="G470" s="118"/>
      <c r="H470" s="118"/>
      <c r="I470" s="118"/>
      <c r="J470" s="118"/>
      <c r="K470" s="118"/>
      <c r="L470" s="112"/>
      <c r="M470" s="37">
        <v>1</v>
      </c>
      <c r="N470" s="27"/>
      <c r="O470" s="47">
        <f t="shared" si="82"/>
        <v>1</v>
      </c>
      <c r="P470" s="49">
        <f t="shared" si="83"/>
        <v>1</v>
      </c>
      <c r="Q470" s="36"/>
      <c r="R470" s="27"/>
    </row>
    <row r="471" spans="1:18" ht="26.4" x14ac:dyDescent="0.3">
      <c r="A471" s="3" t="str">
        <f>'Autoévaluation client'!A485</f>
        <v>9.3.1.g</v>
      </c>
      <c r="B471" s="6" t="str">
        <f>'Autoévaluation client'!C485</f>
        <v>Contraintes liées au levage, au maintien, au port et au déplacement de charges lourdes?</v>
      </c>
      <c r="C471" s="38">
        <f>IF(ISBLANK('Autoévaluation client'!D485),0,1)</f>
        <v>0</v>
      </c>
      <c r="D471" s="165" t="str">
        <f>IF(AND('Autoévaluation client'!D485="",'Autoévaluation client'!E485=""),"*","")</f>
        <v>*</v>
      </c>
      <c r="E471" s="39" t="str">
        <f>IF(ISBLANK('Autoévaluation client'!F485),"",'Autoévaluation client'!F485)</f>
        <v/>
      </c>
      <c r="F471" s="118"/>
      <c r="G471" s="118"/>
      <c r="H471" s="118"/>
      <c r="I471" s="118"/>
      <c r="J471" s="118"/>
      <c r="K471" s="118"/>
      <c r="L471" s="112"/>
      <c r="M471" s="37">
        <v>1</v>
      </c>
      <c r="N471" s="27"/>
      <c r="O471" s="47">
        <f t="shared" si="82"/>
        <v>1</v>
      </c>
      <c r="P471" s="49">
        <f t="shared" si="83"/>
        <v>1</v>
      </c>
      <c r="Q471" s="36"/>
      <c r="R471" s="27"/>
    </row>
    <row r="472" spans="1:18" x14ac:dyDescent="0.3">
      <c r="A472" s="3" t="str">
        <f>'Autoévaluation client'!A486</f>
        <v>9.3.1.h</v>
      </c>
      <c r="B472" s="6" t="str">
        <f>'Autoévaluation client'!C486</f>
        <v>Bruit?</v>
      </c>
      <c r="C472" s="38">
        <f>IF(ISBLANK('Autoévaluation client'!D486),0,1)</f>
        <v>0</v>
      </c>
      <c r="D472" s="165" t="str">
        <f>IF(AND('Autoévaluation client'!D486="",'Autoévaluation client'!E486=""),"*","")</f>
        <v>*</v>
      </c>
      <c r="E472" s="39" t="str">
        <f>IF(ISBLANK('Autoévaluation client'!F486),"",'Autoévaluation client'!F486)</f>
        <v/>
      </c>
      <c r="F472" s="118"/>
      <c r="G472" s="118"/>
      <c r="H472" s="118"/>
      <c r="I472" s="118"/>
      <c r="J472" s="118"/>
      <c r="K472" s="118"/>
      <c r="L472" s="112"/>
      <c r="M472" s="37">
        <v>1</v>
      </c>
      <c r="N472" s="27"/>
      <c r="O472" s="47">
        <f t="shared" si="82"/>
        <v>1</v>
      </c>
      <c r="P472" s="49">
        <f t="shared" si="83"/>
        <v>1</v>
      </c>
      <c r="Q472" s="36"/>
      <c r="R472" s="27"/>
    </row>
    <row r="473" spans="1:18" x14ac:dyDescent="0.3">
      <c r="A473" s="3" t="str">
        <f>'Autoévaluation client'!A487</f>
        <v>9.3.1.i</v>
      </c>
      <c r="B473" s="6" t="str">
        <f>'Autoévaluation client'!C487</f>
        <v>Vibrations?</v>
      </c>
      <c r="C473" s="38">
        <f>IF(ISBLANK('Autoévaluation client'!D487),0,1)</f>
        <v>0</v>
      </c>
      <c r="D473" s="165" t="str">
        <f>IF(AND('Autoévaluation client'!D487="",'Autoévaluation client'!E487=""),"*","")</f>
        <v>*</v>
      </c>
      <c r="E473" s="39" t="str">
        <f>IF(ISBLANK('Autoévaluation client'!F487),"",'Autoévaluation client'!F487)</f>
        <v/>
      </c>
      <c r="F473" s="118"/>
      <c r="G473" s="118"/>
      <c r="H473" s="118"/>
      <c r="I473" s="118"/>
      <c r="J473" s="118"/>
      <c r="K473" s="118"/>
      <c r="L473" s="112"/>
      <c r="M473" s="37">
        <v>1</v>
      </c>
      <c r="N473" s="27"/>
      <c r="O473" s="47">
        <f t="shared" si="82"/>
        <v>1</v>
      </c>
      <c r="P473" s="49">
        <f t="shared" si="83"/>
        <v>1</v>
      </c>
      <c r="Q473" s="36"/>
      <c r="R473" s="27"/>
    </row>
    <row r="474" spans="1:18" x14ac:dyDescent="0.3">
      <c r="A474" s="3" t="str">
        <f>'Autoévaluation client'!A488</f>
        <v>9.3.1.j</v>
      </c>
      <c r="B474" s="6" t="str">
        <f>'Autoévaluation client'!C488</f>
        <v>Gaz d'échappement?</v>
      </c>
      <c r="C474" s="38">
        <f>IF(ISBLANK('Autoévaluation client'!D488),0,1)</f>
        <v>0</v>
      </c>
      <c r="D474" s="165" t="str">
        <f>IF(AND('Autoévaluation client'!D488="",'Autoévaluation client'!E488=""),"*","")</f>
        <v>*</v>
      </c>
      <c r="E474" s="39" t="str">
        <f>IF(ISBLANK('Autoévaluation client'!F488),"",'Autoévaluation client'!F488)</f>
        <v/>
      </c>
      <c r="F474" s="120"/>
      <c r="G474" s="120"/>
      <c r="H474" s="120"/>
      <c r="I474" s="120"/>
      <c r="J474" s="120"/>
      <c r="K474" s="120"/>
      <c r="L474" s="112"/>
      <c r="M474" s="37">
        <v>1</v>
      </c>
      <c r="N474" s="27"/>
      <c r="O474" s="47">
        <f t="shared" si="82"/>
        <v>1</v>
      </c>
      <c r="P474" s="49">
        <f t="shared" si="83"/>
        <v>1</v>
      </c>
      <c r="Q474" s="36"/>
      <c r="R474" s="36"/>
    </row>
    <row r="475" spans="1:18" x14ac:dyDescent="0.3">
      <c r="A475" s="3" t="str">
        <f>'Autoévaluation client'!A489</f>
        <v>9.3.1.k</v>
      </c>
      <c r="B475" s="6" t="str">
        <f>'Autoévaluation client'!C489</f>
        <v>Chaleur?</v>
      </c>
      <c r="C475" s="38">
        <f>IF(ISBLANK('Autoévaluation client'!D489),0,1)</f>
        <v>0</v>
      </c>
      <c r="D475" s="165" t="str">
        <f>IF(AND('Autoévaluation client'!D489="",'Autoévaluation client'!E489=""),"*","")</f>
        <v>*</v>
      </c>
      <c r="E475" s="39" t="str">
        <f>IF(ISBLANK('Autoévaluation client'!F489),"",'Autoévaluation client'!F489)</f>
        <v/>
      </c>
      <c r="F475" s="118"/>
      <c r="G475" s="118"/>
      <c r="H475" s="118"/>
      <c r="I475" s="118"/>
      <c r="J475" s="118"/>
      <c r="K475" s="118"/>
      <c r="L475" s="112"/>
      <c r="M475" s="37">
        <v>1</v>
      </c>
      <c r="N475" s="27"/>
      <c r="O475" s="47">
        <f t="shared" si="82"/>
        <v>1</v>
      </c>
      <c r="P475" s="49">
        <f t="shared" si="83"/>
        <v>1</v>
      </c>
      <c r="Q475" s="36"/>
      <c r="R475" s="27"/>
    </row>
    <row r="476" spans="1:18" x14ac:dyDescent="0.3">
      <c r="A476" s="3" t="str">
        <f>'Autoévaluation client'!A490</f>
        <v>9.3.1.l</v>
      </c>
      <c r="B476" s="6" t="str">
        <f>'Autoévaluation client'!C490</f>
        <v>Froid?</v>
      </c>
      <c r="C476" s="38">
        <f>IF(ISBLANK('Autoévaluation client'!D490),0,1)</f>
        <v>0</v>
      </c>
      <c r="D476" s="165" t="str">
        <f>IF(AND('Autoévaluation client'!D490="",'Autoévaluation client'!E490=""),"*","")</f>
        <v>*</v>
      </c>
      <c r="E476" s="39" t="str">
        <f>IF(ISBLANK('Autoévaluation client'!F490),"",'Autoévaluation client'!F490)</f>
        <v/>
      </c>
      <c r="F476" s="118"/>
      <c r="G476" s="118"/>
      <c r="H476" s="118"/>
      <c r="I476" s="118"/>
      <c r="J476" s="118"/>
      <c r="K476" s="118"/>
      <c r="L476" s="112"/>
      <c r="M476" s="37">
        <v>1</v>
      </c>
      <c r="N476" s="27"/>
      <c r="O476" s="47">
        <f t="shared" si="82"/>
        <v>1</v>
      </c>
      <c r="P476" s="49">
        <f t="shared" si="83"/>
        <v>1</v>
      </c>
      <c r="Q476" s="36"/>
      <c r="R476" s="27"/>
    </row>
    <row r="477" spans="1:18" x14ac:dyDescent="0.3">
      <c r="A477" s="3" t="str">
        <f>'Autoévaluation client'!A491</f>
        <v>9.3.1.m</v>
      </c>
      <c r="B477" s="6" t="str">
        <f>'Autoévaluation client'!C491</f>
        <v>Humidité?</v>
      </c>
      <c r="C477" s="38">
        <f>IF(ISBLANK('Autoévaluation client'!D491),0,1)</f>
        <v>0</v>
      </c>
      <c r="D477" s="165" t="str">
        <f>IF(AND('Autoévaluation client'!D491="",'Autoévaluation client'!E491=""),"*","")</f>
        <v>*</v>
      </c>
      <c r="E477" s="39" t="str">
        <f>IF(ISBLANK('Autoévaluation client'!F491),"",'Autoévaluation client'!F491)</f>
        <v/>
      </c>
      <c r="F477" s="120"/>
      <c r="G477" s="120"/>
      <c r="H477" s="120"/>
      <c r="I477" s="120"/>
      <c r="J477" s="120"/>
      <c r="K477" s="120"/>
      <c r="L477" s="112"/>
      <c r="M477" s="37">
        <v>1</v>
      </c>
      <c r="N477" s="27"/>
      <c r="O477" s="47">
        <f t="shared" si="82"/>
        <v>1</v>
      </c>
      <c r="P477" s="49">
        <f t="shared" si="83"/>
        <v>1</v>
      </c>
      <c r="Q477" s="36"/>
      <c r="R477" s="27"/>
    </row>
    <row r="478" spans="1:18" x14ac:dyDescent="0.3">
      <c r="A478" s="3" t="str">
        <f>'Autoévaluation client'!A492</f>
        <v>9.3.1.n</v>
      </c>
      <c r="B478" s="6" t="str">
        <f>'Autoévaluation client'!C492</f>
        <v>Bruine?</v>
      </c>
      <c r="C478" s="38">
        <f>IF(ISBLANK('Autoévaluation client'!D492),0,1)</f>
        <v>0</v>
      </c>
      <c r="D478" s="165" t="str">
        <f>IF(AND('Autoévaluation client'!D492="",'Autoévaluation client'!E492=""),"*","")</f>
        <v>*</v>
      </c>
      <c r="E478" s="39" t="str">
        <f>IF(ISBLANK('Autoévaluation client'!F492),"",'Autoévaluation client'!F492)</f>
        <v/>
      </c>
      <c r="F478" s="118"/>
      <c r="G478" s="118"/>
      <c r="H478" s="118"/>
      <c r="I478" s="118"/>
      <c r="J478" s="118"/>
      <c r="K478" s="118"/>
      <c r="L478" s="112"/>
      <c r="M478" s="37">
        <v>1</v>
      </c>
      <c r="N478" s="27"/>
      <c r="O478" s="47">
        <f t="shared" si="82"/>
        <v>1</v>
      </c>
      <c r="P478" s="49">
        <f t="shared" si="83"/>
        <v>1</v>
      </c>
      <c r="Q478" s="36"/>
      <c r="R478" s="27"/>
    </row>
    <row r="479" spans="1:18" x14ac:dyDescent="0.3">
      <c r="A479" s="3" t="str">
        <f>'Autoévaluation client'!A493</f>
        <v>9.3.1.o</v>
      </c>
      <c r="B479" s="6" t="str">
        <f>'Autoévaluation client'!C493</f>
        <v>Courants d'air?</v>
      </c>
      <c r="C479" s="38">
        <f>IF(ISBLANK('Autoévaluation client'!D493),0,1)</f>
        <v>0</v>
      </c>
      <c r="D479" s="165" t="str">
        <f>IF(AND('Autoévaluation client'!D493="",'Autoévaluation client'!E493=""),"*","")</f>
        <v>*</v>
      </c>
      <c r="E479" s="39" t="str">
        <f>IF(ISBLANK('Autoévaluation client'!F493),"",'Autoévaluation client'!F493)</f>
        <v/>
      </c>
      <c r="F479" s="118"/>
      <c r="G479" s="118"/>
      <c r="H479" s="118"/>
      <c r="I479" s="118"/>
      <c r="J479" s="118"/>
      <c r="K479" s="118"/>
      <c r="L479" s="112"/>
      <c r="M479" s="37">
        <v>1</v>
      </c>
      <c r="N479" s="27"/>
      <c r="O479" s="47">
        <f t="shared" si="82"/>
        <v>1</v>
      </c>
      <c r="P479" s="49">
        <f t="shared" si="83"/>
        <v>1</v>
      </c>
      <c r="Q479" s="36"/>
      <c r="R479" s="27"/>
    </row>
    <row r="480" spans="1:18" x14ac:dyDescent="0.3">
      <c r="A480" s="3" t="str">
        <f>'Autoévaluation client'!A494</f>
        <v>9.3.1.p</v>
      </c>
      <c r="B480" s="6" t="str">
        <f>'Autoévaluation client'!C494</f>
        <v>Vapeurs?</v>
      </c>
      <c r="C480" s="38">
        <f>IF(ISBLANK('Autoévaluation client'!D494),0,1)</f>
        <v>0</v>
      </c>
      <c r="D480" s="165" t="str">
        <f>IF(AND('Autoévaluation client'!D494="",'Autoévaluation client'!E494=""),"*","")</f>
        <v>*</v>
      </c>
      <c r="E480" s="39" t="str">
        <f>IF(ISBLANK('Autoévaluation client'!F494),"",'Autoévaluation client'!F494)</f>
        <v/>
      </c>
      <c r="F480" s="118"/>
      <c r="G480" s="118"/>
      <c r="H480" s="118"/>
      <c r="I480" s="118"/>
      <c r="J480" s="118"/>
      <c r="K480" s="118"/>
      <c r="L480" s="112"/>
      <c r="M480" s="37">
        <v>1</v>
      </c>
      <c r="N480" s="27"/>
      <c r="O480" s="47">
        <f t="shared" si="82"/>
        <v>1</v>
      </c>
      <c r="P480" s="49">
        <f t="shared" si="83"/>
        <v>1</v>
      </c>
      <c r="Q480" s="36"/>
      <c r="R480" s="27"/>
    </row>
    <row r="481" spans="1:18" x14ac:dyDescent="0.3">
      <c r="A481" s="3" t="str">
        <f>'Autoévaluation client'!A495</f>
        <v>9.3.1.q</v>
      </c>
      <c r="B481" s="6" t="str">
        <f>'Autoévaluation client'!C495</f>
        <v>Poussières?</v>
      </c>
      <c r="C481" s="38">
        <f>IF(ISBLANK('Autoévaluation client'!D495),0,1)</f>
        <v>0</v>
      </c>
      <c r="D481" s="165" t="str">
        <f>IF(AND('Autoévaluation client'!D495="",'Autoévaluation client'!E495=""),"*","")</f>
        <v>*</v>
      </c>
      <c r="E481" s="39" t="str">
        <f>IF(ISBLANK('Autoévaluation client'!F495),"",'Autoévaluation client'!F495)</f>
        <v/>
      </c>
      <c r="F481" s="120"/>
      <c r="G481" s="120"/>
      <c r="H481" s="120"/>
      <c r="I481" s="120"/>
      <c r="J481" s="120"/>
      <c r="K481" s="120"/>
      <c r="L481" s="112"/>
      <c r="M481" s="37">
        <v>1</v>
      </c>
      <c r="N481" s="27"/>
      <c r="O481" s="47">
        <f t="shared" si="82"/>
        <v>1</v>
      </c>
      <c r="P481" s="49">
        <f t="shared" si="83"/>
        <v>1</v>
      </c>
      <c r="Q481" s="36"/>
      <c r="R481" s="36"/>
    </row>
    <row r="482" spans="1:18" x14ac:dyDescent="0.3">
      <c r="A482" s="3" t="str">
        <f>'Autoévaluation client'!A496</f>
        <v>9.3.1.r</v>
      </c>
      <c r="B482" s="6" t="str">
        <f>'Autoévaluation client'!C496</f>
        <v>Brouillard?</v>
      </c>
      <c r="C482" s="38">
        <f>IF(ISBLANK('Autoévaluation client'!D496),0,1)</f>
        <v>0</v>
      </c>
      <c r="D482" s="165" t="str">
        <f>IF(AND('Autoévaluation client'!D496="",'Autoévaluation client'!E496=""),"*","")</f>
        <v>*</v>
      </c>
      <c r="E482" s="39" t="str">
        <f>IF(ISBLANK('Autoévaluation client'!F496),"",'Autoévaluation client'!F496)</f>
        <v/>
      </c>
      <c r="F482" s="118"/>
      <c r="G482" s="118"/>
      <c r="H482" s="118"/>
      <c r="I482" s="118"/>
      <c r="J482" s="118"/>
      <c r="K482" s="118"/>
      <c r="L482" s="112"/>
      <c r="M482" s="37">
        <v>1</v>
      </c>
      <c r="N482" s="27"/>
      <c r="O482" s="47">
        <f t="shared" si="82"/>
        <v>1</v>
      </c>
      <c r="P482" s="49">
        <f t="shared" si="83"/>
        <v>1</v>
      </c>
      <c r="Q482" s="36"/>
      <c r="R482" s="27"/>
    </row>
    <row r="483" spans="1:18" x14ac:dyDescent="0.3">
      <c r="A483" s="3" t="str">
        <f>'Autoévaluation client'!A497</f>
        <v>9.3.1.s</v>
      </c>
      <c r="B483" s="6" t="str">
        <f>'Autoévaluation client'!C497</f>
        <v>Fumée?</v>
      </c>
      <c r="C483" s="38">
        <f>IF(ISBLANK('Autoévaluation client'!D497),0,1)</f>
        <v>0</v>
      </c>
      <c r="D483" s="165" t="str">
        <f>IF(AND('Autoévaluation client'!D497="",'Autoévaluation client'!E497=""),"*","")</f>
        <v>*</v>
      </c>
      <c r="E483" s="39" t="str">
        <f>IF(ISBLANK('Autoévaluation client'!F497),"",'Autoévaluation client'!F497)</f>
        <v/>
      </c>
      <c r="F483" s="118"/>
      <c r="G483" s="118"/>
      <c r="H483" s="118"/>
      <c r="I483" s="118"/>
      <c r="J483" s="118"/>
      <c r="K483" s="118"/>
      <c r="L483" s="112"/>
      <c r="M483" s="37">
        <v>1</v>
      </c>
      <c r="N483" s="27"/>
      <c r="O483" s="47">
        <f t="shared" si="82"/>
        <v>1</v>
      </c>
      <c r="P483" s="49">
        <f t="shared" si="83"/>
        <v>1</v>
      </c>
      <c r="Q483" s="36"/>
      <c r="R483" s="27"/>
    </row>
    <row r="484" spans="1:18" x14ac:dyDescent="0.3">
      <c r="A484" s="3" t="str">
        <f>'Autoévaluation client'!A498</f>
        <v>9.3.1.t</v>
      </c>
      <c r="B484" s="6" t="str">
        <f>'Autoévaluation client'!C498</f>
        <v>Gaz?</v>
      </c>
      <c r="C484" s="38">
        <f>IF(ISBLANK('Autoévaluation client'!D498),0,1)</f>
        <v>0</v>
      </c>
      <c r="D484" s="165" t="str">
        <f>IF(AND('Autoévaluation client'!D498="",'Autoévaluation client'!E498=""),"*","")</f>
        <v>*</v>
      </c>
      <c r="E484" s="39" t="str">
        <f>IF(ISBLANK('Autoévaluation client'!F498),"",'Autoévaluation client'!F498)</f>
        <v/>
      </c>
      <c r="F484" s="118"/>
      <c r="G484" s="118"/>
      <c r="H484" s="118"/>
      <c r="I484" s="118"/>
      <c r="J484" s="118"/>
      <c r="K484" s="118"/>
      <c r="L484" s="112"/>
      <c r="M484" s="37">
        <v>1</v>
      </c>
      <c r="N484" s="27"/>
      <c r="O484" s="47">
        <f t="shared" si="82"/>
        <v>1</v>
      </c>
      <c r="P484" s="49">
        <f t="shared" si="83"/>
        <v>1</v>
      </c>
      <c r="Q484" s="36"/>
      <c r="R484" s="27"/>
    </row>
    <row r="485" spans="1:18" x14ac:dyDescent="0.3">
      <c r="A485" s="3" t="str">
        <f>'Autoévaluation client'!A499</f>
        <v>9.3.1.u</v>
      </c>
      <c r="B485" s="6" t="str">
        <f>'Autoévaluation client'!C499</f>
        <v>Substances?</v>
      </c>
      <c r="C485" s="38">
        <f>IF(ISBLANK('Autoévaluation client'!D499),0,1)</f>
        <v>0</v>
      </c>
      <c r="D485" s="165" t="str">
        <f>IF(AND('Autoévaluation client'!D499="",'Autoévaluation client'!E499=""),"*","")</f>
        <v>*</v>
      </c>
      <c r="E485" s="39" t="str">
        <f>IF(ISBLANK('Autoévaluation client'!F499),"",'Autoévaluation client'!F499)</f>
        <v/>
      </c>
      <c r="F485" s="118"/>
      <c r="G485" s="118"/>
      <c r="H485" s="118"/>
      <c r="I485" s="118"/>
      <c r="J485" s="118"/>
      <c r="K485" s="118"/>
      <c r="L485" s="112"/>
      <c r="M485" s="37">
        <v>1</v>
      </c>
      <c r="N485" s="27"/>
      <c r="O485" s="47">
        <f t="shared" si="82"/>
        <v>1</v>
      </c>
      <c r="P485" s="49">
        <f t="shared" si="83"/>
        <v>1</v>
      </c>
      <c r="Q485" s="36"/>
      <c r="R485" s="27"/>
    </row>
    <row r="486" spans="1:18" x14ac:dyDescent="0.3">
      <c r="A486" s="3" t="str">
        <f>'Autoévaluation client'!A500</f>
        <v>9.3.1.v</v>
      </c>
      <c r="B486" s="6" t="str">
        <f>'Autoévaluation client'!C500</f>
        <v>Rayons lumineux, champs de rayonnement?</v>
      </c>
      <c r="C486" s="38">
        <f>IF(ISBLANK('Autoévaluation client'!D500),0,1)</f>
        <v>0</v>
      </c>
      <c r="D486" s="165" t="str">
        <f>IF(AND('Autoévaluation client'!D500="",'Autoévaluation client'!E500=""),"*","")</f>
        <v>*</v>
      </c>
      <c r="E486" s="39" t="str">
        <f>IF(ISBLANK('Autoévaluation client'!F500),"",'Autoévaluation client'!F500)</f>
        <v/>
      </c>
      <c r="F486" s="120"/>
      <c r="G486" s="120"/>
      <c r="H486" s="120"/>
      <c r="I486" s="120"/>
      <c r="J486" s="120"/>
      <c r="K486" s="120"/>
      <c r="L486" s="112"/>
      <c r="M486" s="37">
        <v>1</v>
      </c>
      <c r="N486" s="27"/>
      <c r="O486" s="47">
        <f t="shared" si="82"/>
        <v>1</v>
      </c>
      <c r="P486" s="49">
        <f t="shared" si="83"/>
        <v>1</v>
      </c>
      <c r="Q486" s="36"/>
      <c r="R486" s="36"/>
    </row>
    <row r="487" spans="1:18" x14ac:dyDescent="0.3">
      <c r="A487" s="3" t="str">
        <f>'Autoévaluation client'!A501</f>
        <v>9.3.1.w</v>
      </c>
      <c r="B487" s="6" t="str">
        <f>'Autoévaluation client'!C501</f>
        <v>Odeurs désagréables?</v>
      </c>
      <c r="C487" s="38">
        <f>IF(ISBLANK('Autoévaluation client'!D501),0,1)</f>
        <v>0</v>
      </c>
      <c r="D487" s="165" t="str">
        <f>IF(AND('Autoévaluation client'!D501="",'Autoévaluation client'!E501=""),"*","")</f>
        <v>*</v>
      </c>
      <c r="E487" s="39" t="str">
        <f>IF(ISBLANK('Autoévaluation client'!F501),"",'Autoévaluation client'!F501)</f>
        <v/>
      </c>
      <c r="F487" s="120"/>
      <c r="G487" s="120"/>
      <c r="H487" s="120"/>
      <c r="I487" s="120"/>
      <c r="J487" s="120"/>
      <c r="K487" s="120"/>
      <c r="L487" s="112"/>
      <c r="M487" s="37">
        <v>1</v>
      </c>
      <c r="N487" s="27"/>
      <c r="O487" s="47">
        <f t="shared" si="82"/>
        <v>1</v>
      </c>
      <c r="P487" s="49">
        <f t="shared" si="83"/>
        <v>1</v>
      </c>
      <c r="Q487" s="36"/>
      <c r="R487" s="27"/>
    </row>
    <row r="488" spans="1:18" x14ac:dyDescent="0.3">
      <c r="A488" s="3" t="str">
        <f>'Autoévaluation client'!A502</f>
        <v>9.3.1.x</v>
      </c>
      <c r="B488" s="6" t="str">
        <f>'Autoévaluation client'!C502</f>
        <v>Lumière, éclairage?</v>
      </c>
      <c r="C488" s="38">
        <f>IF(ISBLANK('Autoévaluation client'!D502),0,1)</f>
        <v>0</v>
      </c>
      <c r="D488" s="165" t="str">
        <f>IF(AND('Autoévaluation client'!D502="",'Autoévaluation client'!E502=""),"*","")</f>
        <v>*</v>
      </c>
      <c r="E488" s="39" t="str">
        <f>IF(ISBLANK('Autoévaluation client'!F502),"",'Autoévaluation client'!F502)</f>
        <v/>
      </c>
      <c r="F488" s="118"/>
      <c r="G488" s="118"/>
      <c r="H488" s="118"/>
      <c r="I488" s="118"/>
      <c r="J488" s="118"/>
      <c r="K488" s="118"/>
      <c r="L488" s="112"/>
      <c r="M488" s="37">
        <v>1</v>
      </c>
      <c r="N488" s="27"/>
      <c r="O488" s="47">
        <f t="shared" si="82"/>
        <v>1</v>
      </c>
      <c r="P488" s="49">
        <f t="shared" si="83"/>
        <v>1</v>
      </c>
      <c r="Q488" s="36"/>
      <c r="R488" s="27"/>
    </row>
    <row r="489" spans="1:18" x14ac:dyDescent="0.3">
      <c r="A489" s="3" t="str">
        <f>'Autoévaluation client'!A503</f>
        <v>9.3.1.y</v>
      </c>
      <c r="B489" s="6" t="str">
        <f>'Autoévaluation client'!C503</f>
        <v>Visibilité?</v>
      </c>
      <c r="C489" s="38">
        <f>IF(ISBLANK('Autoévaluation client'!D503),0,1)</f>
        <v>0</v>
      </c>
      <c r="D489" s="165" t="str">
        <f>IF(AND('Autoévaluation client'!D503="",'Autoévaluation client'!E503=""),"*","")</f>
        <v>*</v>
      </c>
      <c r="E489" s="39" t="str">
        <f>IF(ISBLANK('Autoévaluation client'!F503),"",'Autoévaluation client'!F503)</f>
        <v/>
      </c>
      <c r="F489" s="118"/>
      <c r="G489" s="118"/>
      <c r="H489" s="118"/>
      <c r="I489" s="118"/>
      <c r="J489" s="118"/>
      <c r="K489" s="118"/>
      <c r="L489" s="112"/>
      <c r="M489" s="37">
        <v>1</v>
      </c>
      <c r="N489" s="27"/>
      <c r="O489" s="47">
        <f t="shared" si="82"/>
        <v>1</v>
      </c>
      <c r="P489" s="49">
        <f t="shared" si="83"/>
        <v>1</v>
      </c>
      <c r="Q489" s="36"/>
      <c r="R489" s="27"/>
    </row>
    <row r="490" spans="1:18" x14ac:dyDescent="0.3">
      <c r="A490" s="3" t="str">
        <f>'Autoévaluation client'!A504</f>
        <v>9.3.1.z</v>
      </c>
      <c r="B490" s="6" t="str">
        <f>'Autoévaluation client'!C504</f>
        <v>Autres contraintes? Si oui, lesquels?</v>
      </c>
      <c r="C490" s="38">
        <f>IF(ISBLANK('Autoévaluation client'!D504),0,1)</f>
        <v>0</v>
      </c>
      <c r="D490" s="165" t="str">
        <f>IF(AND('Autoévaluation client'!D504="",'Autoévaluation client'!E504=""),"*","")</f>
        <v>*</v>
      </c>
      <c r="E490" s="39" t="str">
        <f>IF(ISBLANK('Autoévaluation client'!F504),"",'Autoévaluation client'!F504)</f>
        <v/>
      </c>
      <c r="F490" s="118"/>
      <c r="G490" s="118"/>
      <c r="H490" s="118"/>
      <c r="I490" s="118"/>
      <c r="J490" s="118"/>
      <c r="K490" s="118"/>
      <c r="L490" s="112"/>
      <c r="M490" s="37">
        <v>1</v>
      </c>
      <c r="N490" s="27"/>
      <c r="O490" s="47">
        <f t="shared" si="82"/>
        <v>1</v>
      </c>
      <c r="P490" s="49">
        <f t="shared" si="83"/>
        <v>1</v>
      </c>
      <c r="Q490" s="36"/>
      <c r="R490" s="27"/>
    </row>
    <row r="491" spans="1:18" x14ac:dyDescent="0.3">
      <c r="A491" s="20" t="str">
        <f>'Autoévaluation client'!A505</f>
        <v>9.4.</v>
      </c>
      <c r="B491" s="20" t="str">
        <f>'Autoévaluation client'!B505</f>
        <v>Charge psychique</v>
      </c>
      <c r="C491" s="21">
        <f>O491/N491</f>
        <v>1</v>
      </c>
      <c r="D491" s="23" t="str">
        <f>IF(ISBLANK('Autoévaluation client'!E505),"",'Autoévaluation client'!E505)</f>
        <v/>
      </c>
      <c r="E491" s="23" t="str">
        <f>IF(ISBLANK('Autoévaluation client'!F505),"",'Autoévaluation client'!F505)</f>
        <v/>
      </c>
      <c r="F491" s="115"/>
      <c r="G491" s="115"/>
      <c r="H491" s="115"/>
      <c r="I491" s="115"/>
      <c r="J491" s="115"/>
      <c r="K491" s="115"/>
      <c r="L491" s="50">
        <f>P491/N491</f>
        <v>1</v>
      </c>
      <c r="M491" s="22">
        <v>0</v>
      </c>
      <c r="N491" s="22">
        <f>SUM(M492:M506)</f>
        <v>15</v>
      </c>
      <c r="O491" s="24">
        <f>SUM(O492:O506)</f>
        <v>15</v>
      </c>
      <c r="P491" s="24">
        <f>SUM(P492:P506)</f>
        <v>15</v>
      </c>
      <c r="Q491" s="52">
        <f>O491/$N491*$M491</f>
        <v>0</v>
      </c>
      <c r="R491" s="52">
        <f>P491/$N491*$M491</f>
        <v>0</v>
      </c>
    </row>
    <row r="492" spans="1:18" ht="52.8" x14ac:dyDescent="0.3">
      <c r="A492" s="3" t="str">
        <f>'Autoévaluation client'!A506</f>
        <v>9.4.1.a</v>
      </c>
      <c r="B492" s="6" t="str">
        <f>'Autoévaluation client'!C506</f>
        <v>Les contraintes psychiques suivantes relatives à la sécurité et à la santé apparaissent-elles aux postes de travail de votre entreprise:
Compétences peu claires?</v>
      </c>
      <c r="C492" s="38">
        <f>IF(ISBLANK('Autoévaluation client'!D506),0,1)</f>
        <v>0</v>
      </c>
      <c r="D492" s="165" t="str">
        <f>IF(AND('Autoévaluation client'!D506="",'Autoévaluation client'!E506=""),"*","")</f>
        <v>*</v>
      </c>
      <c r="E492" s="39" t="str">
        <f>IF(ISBLANK('Autoévaluation client'!F506),"",'Autoévaluation client'!F506)</f>
        <v/>
      </c>
      <c r="F492" s="118"/>
      <c r="G492" s="118"/>
      <c r="H492" s="118"/>
      <c r="I492" s="118"/>
      <c r="J492" s="118"/>
      <c r="K492" s="118"/>
      <c r="L492" s="112"/>
      <c r="M492" s="37">
        <v>1</v>
      </c>
      <c r="N492" s="27"/>
      <c r="O492" s="47">
        <f t="shared" ref="O492:O506" si="84">(1-C492)*M492</f>
        <v>1</v>
      </c>
      <c r="P492" s="49">
        <f t="shared" ref="P492:P506" si="85">(1-L492)*M492</f>
        <v>1</v>
      </c>
      <c r="Q492" s="36"/>
      <c r="R492" s="27"/>
    </row>
    <row r="493" spans="1:18" ht="26.4" x14ac:dyDescent="0.3">
      <c r="A493" s="3" t="str">
        <f>'Autoévaluation client'!A507</f>
        <v>9.4.1.b</v>
      </c>
      <c r="B493" s="6" t="str">
        <f>'Autoévaluation client'!C507</f>
        <v>Inadéquation entre les tâches, les compétences et les responsabilités?</v>
      </c>
      <c r="C493" s="38">
        <f>IF(ISBLANK('Autoévaluation client'!D507),0,1)</f>
        <v>0</v>
      </c>
      <c r="D493" s="165" t="str">
        <f>IF(AND('Autoévaluation client'!D507="",'Autoévaluation client'!E507=""),"*","")</f>
        <v>*</v>
      </c>
      <c r="E493" s="39" t="str">
        <f>IF(ISBLANK('Autoévaluation client'!F507),"",'Autoévaluation client'!F507)</f>
        <v/>
      </c>
      <c r="F493" s="120"/>
      <c r="G493" s="120"/>
      <c r="H493" s="120"/>
      <c r="I493" s="120"/>
      <c r="J493" s="120"/>
      <c r="K493" s="120"/>
      <c r="L493" s="112"/>
      <c r="M493" s="37">
        <v>1</v>
      </c>
      <c r="N493" s="27"/>
      <c r="O493" s="47">
        <f t="shared" si="84"/>
        <v>1</v>
      </c>
      <c r="P493" s="49">
        <f t="shared" si="85"/>
        <v>1</v>
      </c>
      <c r="Q493" s="36"/>
      <c r="R493" s="36"/>
    </row>
    <row r="494" spans="1:18" x14ac:dyDescent="0.3">
      <c r="A494" s="3" t="str">
        <f>'Autoévaluation client'!A508</f>
        <v>9.4.1.c</v>
      </c>
      <c r="B494" s="6" t="str">
        <f>'Autoévaluation client'!C508</f>
        <v>Informations et instructions de travail contradictoires?</v>
      </c>
      <c r="C494" s="38">
        <f>IF(ISBLANK('Autoévaluation client'!D508),0,1)</f>
        <v>0</v>
      </c>
      <c r="D494" s="165" t="str">
        <f>IF(AND('Autoévaluation client'!D508="",'Autoévaluation client'!E508=""),"*","")</f>
        <v>*</v>
      </c>
      <c r="E494" s="39" t="str">
        <f>IF(ISBLANK('Autoévaluation client'!F508),"",'Autoévaluation client'!F508)</f>
        <v/>
      </c>
      <c r="F494" s="118"/>
      <c r="G494" s="118"/>
      <c r="H494" s="118"/>
      <c r="I494" s="118"/>
      <c r="J494" s="118"/>
      <c r="K494" s="118"/>
      <c r="L494" s="112"/>
      <c r="M494" s="37">
        <v>1</v>
      </c>
      <c r="N494" s="27"/>
      <c r="O494" s="47">
        <f t="shared" si="84"/>
        <v>1</v>
      </c>
      <c r="P494" s="49">
        <f t="shared" si="85"/>
        <v>1</v>
      </c>
      <c r="Q494" s="36"/>
      <c r="R494" s="27"/>
    </row>
    <row r="495" spans="1:18" x14ac:dyDescent="0.3">
      <c r="A495" s="3" t="str">
        <f>'Autoévaluation client'!A509</f>
        <v>9.4.1.d</v>
      </c>
      <c r="B495" s="6" t="str">
        <f>'Autoévaluation client'!C509</f>
        <v>Information et communication insuffisantes?</v>
      </c>
      <c r="C495" s="38">
        <f>IF(ISBLANK('Autoévaluation client'!D509),0,1)</f>
        <v>0</v>
      </c>
      <c r="D495" s="165" t="str">
        <f>IF(AND('Autoévaluation client'!D509="",'Autoévaluation client'!E509=""),"*","")</f>
        <v>*</v>
      </c>
      <c r="E495" s="39" t="str">
        <f>IF(ISBLANK('Autoévaluation client'!F509),"",'Autoévaluation client'!F509)</f>
        <v/>
      </c>
      <c r="F495" s="118"/>
      <c r="G495" s="118"/>
      <c r="H495" s="118"/>
      <c r="I495" s="118"/>
      <c r="J495" s="118"/>
      <c r="K495" s="118"/>
      <c r="L495" s="112"/>
      <c r="M495" s="37">
        <v>1</v>
      </c>
      <c r="N495" s="27"/>
      <c r="O495" s="47">
        <f t="shared" si="84"/>
        <v>1</v>
      </c>
      <c r="P495" s="49">
        <f t="shared" si="85"/>
        <v>1</v>
      </c>
      <c r="Q495" s="36"/>
      <c r="R495" s="27"/>
    </row>
    <row r="496" spans="1:18" x14ac:dyDescent="0.3">
      <c r="A496" s="3" t="str">
        <f>'Autoévaluation client'!A510</f>
        <v>9.4.1.e</v>
      </c>
      <c r="B496" s="6" t="str">
        <f>'Autoévaluation client'!C510</f>
        <v>Lacunes au niveau de la direction?</v>
      </c>
      <c r="C496" s="38">
        <f>IF(ISBLANK('Autoévaluation client'!D510),0,1)</f>
        <v>0</v>
      </c>
      <c r="D496" s="165" t="str">
        <f>IF(AND('Autoévaluation client'!D510="",'Autoévaluation client'!E510=""),"*","")</f>
        <v>*</v>
      </c>
      <c r="E496" s="39" t="str">
        <f>IF(ISBLANK('Autoévaluation client'!F510),"",'Autoévaluation client'!F510)</f>
        <v/>
      </c>
      <c r="F496" s="118"/>
      <c r="G496" s="118"/>
      <c r="H496" s="118"/>
      <c r="I496" s="118"/>
      <c r="J496" s="118"/>
      <c r="K496" s="118"/>
      <c r="L496" s="112"/>
      <c r="M496" s="37">
        <v>1</v>
      </c>
      <c r="N496" s="27"/>
      <c r="O496" s="47">
        <f t="shared" si="84"/>
        <v>1</v>
      </c>
      <c r="P496" s="49">
        <f t="shared" si="85"/>
        <v>1</v>
      </c>
      <c r="Q496" s="36"/>
      <c r="R496" s="27"/>
    </row>
    <row r="497" spans="1:18" x14ac:dyDescent="0.3">
      <c r="A497" s="3" t="str">
        <f>'Autoévaluation client'!A511</f>
        <v>9.4.1.f</v>
      </c>
      <c r="B497" s="6" t="str">
        <f>'Autoévaluation client'!C511</f>
        <v>Tensions sociales au niveau de l'entreprise?</v>
      </c>
      <c r="C497" s="38">
        <f>IF(ISBLANK('Autoévaluation client'!D511),0,1)</f>
        <v>0</v>
      </c>
      <c r="D497" s="165" t="str">
        <f>IF(AND('Autoévaluation client'!D511="",'Autoévaluation client'!E511=""),"*","")</f>
        <v>*</v>
      </c>
      <c r="E497" s="39" t="str">
        <f>IF(ISBLANK('Autoévaluation client'!F511),"",'Autoévaluation client'!F511)</f>
        <v/>
      </c>
      <c r="F497" s="118"/>
      <c r="G497" s="118"/>
      <c r="H497" s="118"/>
      <c r="I497" s="118"/>
      <c r="J497" s="118"/>
      <c r="K497" s="118"/>
      <c r="L497" s="112"/>
      <c r="M497" s="37">
        <v>1</v>
      </c>
      <c r="N497" s="27"/>
      <c r="O497" s="47">
        <f t="shared" si="84"/>
        <v>1</v>
      </c>
      <c r="P497" s="49">
        <f t="shared" si="85"/>
        <v>1</v>
      </c>
      <c r="Q497" s="36"/>
      <c r="R497" s="27"/>
    </row>
    <row r="498" spans="1:18" x14ac:dyDescent="0.3">
      <c r="A498" s="3" t="str">
        <f>'Autoévaluation client'!A512</f>
        <v>9.4.1.g</v>
      </c>
      <c r="B498" s="6" t="str">
        <f>'Autoévaluation client'!C512</f>
        <v>Tensions sociales au niveau des groupes ou services?</v>
      </c>
      <c r="C498" s="38">
        <f>IF(ISBLANK('Autoévaluation client'!D512),0,1)</f>
        <v>0</v>
      </c>
      <c r="D498" s="165" t="str">
        <f>IF(AND('Autoévaluation client'!D512="",'Autoévaluation client'!E512=""),"*","")</f>
        <v>*</v>
      </c>
      <c r="E498" s="39" t="str">
        <f>IF(ISBLANK('Autoévaluation client'!F512),"",'Autoévaluation client'!F512)</f>
        <v/>
      </c>
      <c r="F498" s="118"/>
      <c r="G498" s="118"/>
      <c r="H498" s="118"/>
      <c r="I498" s="118"/>
      <c r="J498" s="118"/>
      <c r="K498" s="118"/>
      <c r="L498" s="112"/>
      <c r="M498" s="37">
        <v>1</v>
      </c>
      <c r="N498" s="27"/>
      <c r="O498" s="47">
        <f t="shared" si="84"/>
        <v>1</v>
      </c>
      <c r="P498" s="49">
        <f t="shared" si="85"/>
        <v>1</v>
      </c>
      <c r="Q498" s="36"/>
      <c r="R498" s="27"/>
    </row>
    <row r="499" spans="1:18" ht="26.4" x14ac:dyDescent="0.3">
      <c r="A499" s="3" t="str">
        <f>'Autoévaluation client'!A513</f>
        <v>9.4.1.h</v>
      </c>
      <c r="B499" s="6" t="str">
        <f>'Autoévaluation client'!C513</f>
        <v>Manque de collaboration entre les différentes unités d'organisation?</v>
      </c>
      <c r="C499" s="38">
        <f>IF(ISBLANK('Autoévaluation client'!D513),0,1)</f>
        <v>0</v>
      </c>
      <c r="D499" s="165" t="str">
        <f>IF(AND('Autoévaluation client'!D513="",'Autoévaluation client'!E513=""),"*","")</f>
        <v>*</v>
      </c>
      <c r="E499" s="39" t="str">
        <f>IF(ISBLANK('Autoévaluation client'!F513),"",'Autoévaluation client'!F513)</f>
        <v/>
      </c>
      <c r="F499" s="118"/>
      <c r="G499" s="118"/>
      <c r="H499" s="118"/>
      <c r="I499" s="118"/>
      <c r="J499" s="118"/>
      <c r="K499" s="118"/>
      <c r="L499" s="112"/>
      <c r="M499" s="37">
        <v>1</v>
      </c>
      <c r="N499" s="27"/>
      <c r="O499" s="47">
        <f t="shared" si="84"/>
        <v>1</v>
      </c>
      <c r="P499" s="49">
        <f t="shared" si="85"/>
        <v>1</v>
      </c>
      <c r="Q499" s="36"/>
      <c r="R499" s="27"/>
    </row>
    <row r="500" spans="1:18" x14ac:dyDescent="0.3">
      <c r="A500" s="3" t="str">
        <f>'Autoévaluation client'!A514</f>
        <v>9.4.1.i</v>
      </c>
      <c r="B500" s="6" t="str">
        <f>'Autoévaluation client'!C514</f>
        <v>Tâches peu satisfaisantes?</v>
      </c>
      <c r="C500" s="38">
        <f>IF(ISBLANK('Autoévaluation client'!D514),0,1)</f>
        <v>0</v>
      </c>
      <c r="D500" s="165" t="str">
        <f>IF(AND('Autoévaluation client'!D514="",'Autoévaluation client'!E514=""),"*","")</f>
        <v>*</v>
      </c>
      <c r="E500" s="39" t="str">
        <f>IF(ISBLANK('Autoévaluation client'!F514),"",'Autoévaluation client'!F514)</f>
        <v/>
      </c>
      <c r="F500" s="118"/>
      <c r="G500" s="118"/>
      <c r="H500" s="118"/>
      <c r="I500" s="118"/>
      <c r="J500" s="118"/>
      <c r="K500" s="118"/>
      <c r="L500" s="112"/>
      <c r="M500" s="37">
        <v>1</v>
      </c>
      <c r="N500" s="27"/>
      <c r="O500" s="47">
        <f t="shared" si="84"/>
        <v>1</v>
      </c>
      <c r="P500" s="49">
        <f t="shared" si="85"/>
        <v>1</v>
      </c>
      <c r="Q500" s="36"/>
      <c r="R500" s="27"/>
    </row>
    <row r="501" spans="1:18" ht="26.4" x14ac:dyDescent="0.3">
      <c r="A501" s="3" t="str">
        <f>'Autoévaluation client'!A515</f>
        <v>9.4.1.j</v>
      </c>
      <c r="B501" s="6" t="str">
        <f>'Autoévaluation client'!C515</f>
        <v>Cadence de travail élevée déterminée par les installations et appareils techniques?</v>
      </c>
      <c r="C501" s="38">
        <f>IF(ISBLANK('Autoévaluation client'!D515),0,1)</f>
        <v>0</v>
      </c>
      <c r="D501" s="165" t="str">
        <f>IF(AND('Autoévaluation client'!D515="",'Autoévaluation client'!E515=""),"*","")</f>
        <v>*</v>
      </c>
      <c r="E501" s="39" t="str">
        <f>IF(ISBLANK('Autoévaluation client'!F515),"",'Autoévaluation client'!F515)</f>
        <v/>
      </c>
      <c r="F501" s="120"/>
      <c r="G501" s="120"/>
      <c r="H501" s="120"/>
      <c r="I501" s="120"/>
      <c r="J501" s="120"/>
      <c r="K501" s="120"/>
      <c r="L501" s="112"/>
      <c r="M501" s="37">
        <v>1</v>
      </c>
      <c r="N501" s="27"/>
      <c r="O501" s="47">
        <f t="shared" si="84"/>
        <v>1</v>
      </c>
      <c r="P501" s="49">
        <f t="shared" si="85"/>
        <v>1</v>
      </c>
      <c r="Q501" s="36"/>
      <c r="R501" s="36"/>
    </row>
    <row r="502" spans="1:18" x14ac:dyDescent="0.3">
      <c r="A502" s="3" t="str">
        <f>'Autoévaluation client'!A516</f>
        <v>9.4.1.k</v>
      </c>
      <c r="B502" s="6" t="str">
        <f>'Autoévaluation client'!C516</f>
        <v>Surcroît de travail fréquent?</v>
      </c>
      <c r="C502" s="38">
        <f>IF(ISBLANK('Autoévaluation client'!D516),0,1)</f>
        <v>0</v>
      </c>
      <c r="D502" s="165" t="str">
        <f>IF(AND('Autoévaluation client'!D516="",'Autoévaluation client'!E516=""),"*","")</f>
        <v>*</v>
      </c>
      <c r="E502" s="39" t="str">
        <f>IF(ISBLANK('Autoévaluation client'!F516),"",'Autoévaluation client'!F516)</f>
        <v/>
      </c>
      <c r="F502" s="118"/>
      <c r="G502" s="118"/>
      <c r="H502" s="118"/>
      <c r="I502" s="118"/>
      <c r="J502" s="118"/>
      <c r="K502" s="118"/>
      <c r="L502" s="112"/>
      <c r="M502" s="37">
        <v>1</v>
      </c>
      <c r="N502" s="27"/>
      <c r="O502" s="47">
        <f t="shared" si="84"/>
        <v>1</v>
      </c>
      <c r="P502" s="49">
        <f t="shared" si="85"/>
        <v>1</v>
      </c>
      <c r="Q502" s="36"/>
      <c r="R502" s="27"/>
    </row>
    <row r="503" spans="1:18" x14ac:dyDescent="0.3">
      <c r="A503" s="3" t="str">
        <f>'Autoévaluation client'!A517</f>
        <v>9.4.1.l</v>
      </c>
      <c r="B503" s="6" t="str">
        <f>'Autoévaluation client'!C517</f>
        <v>Heures supplémentaires fréquentes?</v>
      </c>
      <c r="C503" s="38">
        <f>IF(ISBLANK('Autoévaluation client'!D517),0,1)</f>
        <v>0</v>
      </c>
      <c r="D503" s="165" t="str">
        <f>IF(AND('Autoévaluation client'!D517="",'Autoévaluation client'!E517=""),"*","")</f>
        <v>*</v>
      </c>
      <c r="E503" s="39" t="str">
        <f>IF(ISBLANK('Autoévaluation client'!F517),"",'Autoévaluation client'!F517)</f>
        <v/>
      </c>
      <c r="F503" s="118"/>
      <c r="G503" s="118"/>
      <c r="H503" s="118"/>
      <c r="I503" s="118"/>
      <c r="J503" s="118"/>
      <c r="K503" s="118"/>
      <c r="L503" s="112"/>
      <c r="M503" s="37">
        <v>1</v>
      </c>
      <c r="N503" s="27"/>
      <c r="O503" s="47">
        <f t="shared" si="84"/>
        <v>1</v>
      </c>
      <c r="P503" s="49">
        <f t="shared" si="85"/>
        <v>1</v>
      </c>
      <c r="Q503" s="36"/>
      <c r="R503" s="27"/>
    </row>
    <row r="504" spans="1:18" x14ac:dyDescent="0.3">
      <c r="A504" s="3" t="str">
        <f>'Autoévaluation client'!A518</f>
        <v>9.4.1.m</v>
      </c>
      <c r="B504" s="6" t="str">
        <f>'Autoévaluation client'!C518</f>
        <v>Importante charge due à un volume de travail excessif?</v>
      </c>
      <c r="C504" s="38">
        <f>IF(ISBLANK('Autoévaluation client'!D518),0,1)</f>
        <v>0</v>
      </c>
      <c r="D504" s="165" t="str">
        <f>IF(AND('Autoévaluation client'!D518="",'Autoévaluation client'!E518=""),"*","")</f>
        <v>*</v>
      </c>
      <c r="E504" s="39" t="str">
        <f>IF(ISBLANK('Autoévaluation client'!F518),"",'Autoévaluation client'!F518)</f>
        <v/>
      </c>
      <c r="F504" s="118"/>
      <c r="G504" s="118"/>
      <c r="H504" s="118"/>
      <c r="I504" s="118"/>
      <c r="J504" s="118"/>
      <c r="K504" s="118"/>
      <c r="L504" s="112"/>
      <c r="M504" s="37">
        <v>1</v>
      </c>
      <c r="N504" s="27"/>
      <c r="O504" s="47">
        <f t="shared" si="84"/>
        <v>1</v>
      </c>
      <c r="P504" s="49">
        <f t="shared" si="85"/>
        <v>1</v>
      </c>
      <c r="Q504" s="36"/>
      <c r="R504" s="27"/>
    </row>
    <row r="505" spans="1:18" x14ac:dyDescent="0.3">
      <c r="A505" s="3" t="str">
        <f>'Autoévaluation client'!A519</f>
        <v>9.4.1.n</v>
      </c>
      <c r="B505" s="6" t="str">
        <f>'Autoévaluation client'!C519</f>
        <v>Situations de stress fréquentes?</v>
      </c>
      <c r="C505" s="38">
        <f>IF(ISBLANK('Autoévaluation client'!D519),0,1)</f>
        <v>0</v>
      </c>
      <c r="D505" s="165" t="str">
        <f>IF(AND('Autoévaluation client'!D519="",'Autoévaluation client'!E519=""),"*","")</f>
        <v>*</v>
      </c>
      <c r="E505" s="39" t="str">
        <f>IF(ISBLANK('Autoévaluation client'!F519),"",'Autoévaluation client'!F519)</f>
        <v/>
      </c>
      <c r="F505" s="118"/>
      <c r="G505" s="118"/>
      <c r="H505" s="118"/>
      <c r="I505" s="118"/>
      <c r="J505" s="118"/>
      <c r="K505" s="118"/>
      <c r="L505" s="112"/>
      <c r="M505" s="37">
        <v>1</v>
      </c>
      <c r="N505" s="27"/>
      <c r="O505" s="47">
        <f t="shared" si="84"/>
        <v>1</v>
      </c>
      <c r="P505" s="49">
        <f t="shared" si="85"/>
        <v>1</v>
      </c>
      <c r="Q505" s="36"/>
      <c r="R505" s="27"/>
    </row>
    <row r="506" spans="1:18" ht="26.4" x14ac:dyDescent="0.3">
      <c r="A506" s="3" t="str">
        <f>'Autoévaluation client'!A520</f>
        <v>9.4.1.o</v>
      </c>
      <c r="B506" s="6" t="str">
        <f>'Autoévaluation client'!C520</f>
        <v>Situations fréquentes où lescollaborateurs subissent des règles qui leur sont imposées?</v>
      </c>
      <c r="C506" s="38">
        <f>IF(ISBLANK('Autoévaluation client'!D520),0,1)</f>
        <v>0</v>
      </c>
      <c r="D506" s="165" t="str">
        <f>IF(AND('Autoévaluation client'!D520="",'Autoévaluation client'!E520=""),"*","")</f>
        <v>*</v>
      </c>
      <c r="E506" s="39" t="str">
        <f>IF(ISBLANK('Autoévaluation client'!F520),"",'Autoévaluation client'!F520)</f>
        <v/>
      </c>
      <c r="F506" s="118"/>
      <c r="G506" s="118"/>
      <c r="H506" s="118"/>
      <c r="I506" s="118"/>
      <c r="J506" s="118"/>
      <c r="K506" s="118"/>
      <c r="L506" s="112"/>
      <c r="M506" s="37">
        <v>1</v>
      </c>
      <c r="N506" s="27"/>
      <c r="O506" s="47">
        <f t="shared" si="84"/>
        <v>1</v>
      </c>
      <c r="P506" s="49">
        <f t="shared" si="85"/>
        <v>1</v>
      </c>
      <c r="Q506" s="36"/>
      <c r="R506" s="27"/>
    </row>
    <row r="507" spans="1:18" x14ac:dyDescent="0.3">
      <c r="A507" s="20" t="str">
        <f>'Autoévaluation client'!A521</f>
        <v>9.5.</v>
      </c>
      <c r="B507" s="20" t="str">
        <f>'Autoévaluation client'!B521</f>
        <v>Règlement sur le temps de travail</v>
      </c>
      <c r="C507" s="21">
        <f>O507/N507</f>
        <v>1</v>
      </c>
      <c r="D507" s="23" t="str">
        <f>IF(ISBLANK('Autoévaluation client'!E521),"",'Autoévaluation client'!E521)</f>
        <v/>
      </c>
      <c r="E507" s="23" t="str">
        <f>IF(ISBLANK('Autoévaluation client'!F521),"",'Autoévaluation client'!F521)</f>
        <v/>
      </c>
      <c r="F507" s="115"/>
      <c r="G507" s="115"/>
      <c r="H507" s="115"/>
      <c r="I507" s="115"/>
      <c r="J507" s="115"/>
      <c r="K507" s="115"/>
      <c r="L507" s="50">
        <f>P507/N507</f>
        <v>1</v>
      </c>
      <c r="M507" s="22">
        <v>0</v>
      </c>
      <c r="N507" s="22">
        <f>SUM(M508:M516)</f>
        <v>2</v>
      </c>
      <c r="O507" s="24">
        <f>SUM(O508:O516)</f>
        <v>2</v>
      </c>
      <c r="P507" s="24">
        <f>SUM(P508:P516)</f>
        <v>2</v>
      </c>
      <c r="Q507" s="52">
        <f>O507/$N507*$M507</f>
        <v>0</v>
      </c>
      <c r="R507" s="52">
        <f>P507/$N507*$M507</f>
        <v>0</v>
      </c>
    </row>
    <row r="508" spans="1:18" ht="52.8" x14ac:dyDescent="0.3">
      <c r="A508" s="3" t="str">
        <f>'Autoévaluation client'!A522</f>
        <v>9.5.1.a</v>
      </c>
      <c r="B508" s="6" t="str">
        <f>'Autoévaluation client'!C522</f>
        <v>Comment sont définis les horaires de travail dans votre entreprise?
Travail au quotidien?
Si oui, combien d'heures est le travail quotidien?</v>
      </c>
      <c r="C508" s="38">
        <f>IF(ISBLANK('Autoévaluation client'!D522),0,1)</f>
        <v>0</v>
      </c>
      <c r="D508" s="165" t="str">
        <f>IF(AND('Autoévaluation client'!D522="",'Autoévaluation client'!E522=""),"*","")</f>
        <v>*</v>
      </c>
      <c r="E508" s="39" t="str">
        <f>IF(ISBLANK('Autoévaluation client'!F522),"",'Autoévaluation client'!F522)</f>
        <v/>
      </c>
      <c r="F508" s="118"/>
      <c r="G508" s="118"/>
      <c r="H508" s="118"/>
      <c r="I508" s="118"/>
      <c r="J508" s="118"/>
      <c r="K508" s="118"/>
      <c r="L508" s="112"/>
      <c r="M508" s="37">
        <v>0</v>
      </c>
      <c r="N508" s="27"/>
      <c r="O508" s="28">
        <f>M508*C508</f>
        <v>0</v>
      </c>
      <c r="P508" s="43">
        <f>L508*M508</f>
        <v>0</v>
      </c>
      <c r="Q508" s="36"/>
      <c r="R508" s="27"/>
    </row>
    <row r="509" spans="1:18" ht="26.4" x14ac:dyDescent="0.3">
      <c r="A509" s="3" t="str">
        <f>'Autoévaluation client'!A523</f>
        <v>9.5.1.b</v>
      </c>
      <c r="B509" s="6" t="str">
        <f>'Autoévaluation client'!C523</f>
        <v>Travail hebdomadaire?
Si oui, combien d'heures est le travail hebdomadaire?</v>
      </c>
      <c r="C509" s="38">
        <f>IF(ISBLANK('Autoévaluation client'!D523),0,1)</f>
        <v>0</v>
      </c>
      <c r="D509" s="165" t="str">
        <f>IF(AND('Autoévaluation client'!D523="",'Autoévaluation client'!E523=""),"*","")</f>
        <v>*</v>
      </c>
      <c r="E509" s="39" t="str">
        <f>IF(ISBLANK('Autoévaluation client'!F523),"",'Autoévaluation client'!F523)</f>
        <v/>
      </c>
      <c r="F509" s="120"/>
      <c r="G509" s="120"/>
      <c r="H509" s="120"/>
      <c r="I509" s="120"/>
      <c r="J509" s="120"/>
      <c r="K509" s="120"/>
      <c r="L509" s="112"/>
      <c r="M509" s="37">
        <v>0</v>
      </c>
      <c r="N509" s="27"/>
      <c r="O509" s="28">
        <f>M509*C509</f>
        <v>0</v>
      </c>
      <c r="P509" s="43">
        <f t="shared" ref="P509:P512" si="86">L509*M509</f>
        <v>0</v>
      </c>
      <c r="Q509" s="36"/>
      <c r="R509" s="36"/>
    </row>
    <row r="510" spans="1:18" ht="26.4" x14ac:dyDescent="0.3">
      <c r="A510" s="3" t="str">
        <f>'Autoévaluation client'!A524</f>
        <v>9.5.1.c</v>
      </c>
      <c r="B510" s="6" t="str">
        <f>'Autoévaluation client'!C524</f>
        <v>Travail annuel (en théorie)?
Si oui, combien d'heures est le travail annuel?</v>
      </c>
      <c r="C510" s="38">
        <f>IF(ISBLANK('Autoévaluation client'!D524),0,1)</f>
        <v>0</v>
      </c>
      <c r="D510" s="165" t="str">
        <f>IF(AND('Autoévaluation client'!D524="",'Autoévaluation client'!E524=""),"*","")</f>
        <v>*</v>
      </c>
      <c r="E510" s="39" t="str">
        <f>IF(ISBLANK('Autoévaluation client'!F524),"",'Autoévaluation client'!F524)</f>
        <v/>
      </c>
      <c r="F510" s="118"/>
      <c r="G510" s="118"/>
      <c r="H510" s="118"/>
      <c r="I510" s="118"/>
      <c r="J510" s="118"/>
      <c r="K510" s="118"/>
      <c r="L510" s="112"/>
      <c r="M510" s="37">
        <v>0</v>
      </c>
      <c r="N510" s="27"/>
      <c r="O510" s="28">
        <f>M510*C510</f>
        <v>0</v>
      </c>
      <c r="P510" s="43">
        <f t="shared" si="86"/>
        <v>0</v>
      </c>
      <c r="Q510" s="36"/>
      <c r="R510" s="27"/>
    </row>
    <row r="511" spans="1:18" ht="26.4" x14ac:dyDescent="0.3">
      <c r="A511" s="3" t="str">
        <f>'Autoévaluation client'!A525</f>
        <v>9.5.2.</v>
      </c>
      <c r="B511" s="6" t="str">
        <f>'Autoévaluation client'!C525</f>
        <v>Les horaires sont-ils flexibles? Si oui, comment sont déterminées les heures de présence obligatoires?</v>
      </c>
      <c r="C511" s="38">
        <f>IF(ISBLANK('Autoévaluation client'!D525),0,1)</f>
        <v>0</v>
      </c>
      <c r="D511" s="165" t="str">
        <f>IF(AND('Autoévaluation client'!D525="",'Autoévaluation client'!E525=""),"*","")</f>
        <v>*</v>
      </c>
      <c r="E511" s="39" t="str">
        <f>IF(ISBLANK('Autoévaluation client'!F525),"",'Autoévaluation client'!F525)</f>
        <v/>
      </c>
      <c r="F511" s="118"/>
      <c r="G511" s="118"/>
      <c r="H511" s="118"/>
      <c r="I511" s="118"/>
      <c r="J511" s="118"/>
      <c r="K511" s="118"/>
      <c r="L511" s="112"/>
      <c r="M511" s="37">
        <v>0</v>
      </c>
      <c r="N511" s="27"/>
      <c r="O511" s="28">
        <f>M511*C511</f>
        <v>0</v>
      </c>
      <c r="P511" s="43">
        <f t="shared" si="86"/>
        <v>0</v>
      </c>
      <c r="Q511" s="36"/>
      <c r="R511" s="27"/>
    </row>
    <row r="512" spans="1:18" ht="26.4" x14ac:dyDescent="0.3">
      <c r="A512" s="3" t="str">
        <f>'Autoévaluation client'!A526</f>
        <v>9.5.3.</v>
      </c>
      <c r="B512" s="6" t="str">
        <f>'Autoévaluation client'!C526</f>
        <v>Existe-t-il d'autres types d'aménagement du temps de travail? Si oui, lesquels?</v>
      </c>
      <c r="C512" s="38">
        <f>IF(ISBLANK('Autoévaluation client'!D526),0,1)</f>
        <v>0</v>
      </c>
      <c r="D512" s="165" t="str">
        <f>IF(AND('Autoévaluation client'!D526="",'Autoévaluation client'!E526=""),"*","")</f>
        <v>*</v>
      </c>
      <c r="E512" s="39" t="str">
        <f>IF(ISBLANK('Autoévaluation client'!F526),"",'Autoévaluation client'!F526)</f>
        <v/>
      </c>
      <c r="F512" s="118"/>
      <c r="G512" s="118"/>
      <c r="H512" s="118"/>
      <c r="I512" s="118"/>
      <c r="J512" s="118"/>
      <c r="K512" s="118"/>
      <c r="L512" s="112"/>
      <c r="M512" s="37">
        <v>0</v>
      </c>
      <c r="N512" s="27"/>
      <c r="O512" s="28">
        <f>C512*M512</f>
        <v>0</v>
      </c>
      <c r="P512" s="43">
        <f t="shared" si="86"/>
        <v>0</v>
      </c>
      <c r="Q512" s="36"/>
      <c r="R512" s="27"/>
    </row>
    <row r="513" spans="1:18" x14ac:dyDescent="0.3">
      <c r="A513" s="3" t="str">
        <f>'Autoévaluation client'!A527</f>
        <v>9.5.4.</v>
      </c>
      <c r="B513" s="6" t="str">
        <f>'Autoévaluation client'!C527</f>
        <v>Dans votre entreprise, travaille-t-on le samedi?</v>
      </c>
      <c r="C513" s="38">
        <f>IF(ISBLANK('Autoévaluation client'!D527),0,1)</f>
        <v>0</v>
      </c>
      <c r="D513" s="165" t="str">
        <f>IF(AND('Autoévaluation client'!D527="",'Autoévaluation client'!E527=""),"*","")</f>
        <v>*</v>
      </c>
      <c r="E513" s="39" t="str">
        <f>IF(ISBLANK('Autoévaluation client'!F527),"",'Autoévaluation client'!F527)</f>
        <v/>
      </c>
      <c r="F513" s="118"/>
      <c r="G513" s="118"/>
      <c r="H513" s="118"/>
      <c r="I513" s="118"/>
      <c r="J513" s="118"/>
      <c r="K513" s="118"/>
      <c r="L513" s="112"/>
      <c r="M513" s="37">
        <v>1</v>
      </c>
      <c r="N513" s="27"/>
      <c r="O513" s="47">
        <f>(1-C513)*M513</f>
        <v>1</v>
      </c>
      <c r="P513" s="49">
        <f t="shared" ref="P513:P516" si="87">(1-L513)*M513</f>
        <v>1</v>
      </c>
      <c r="Q513" s="36"/>
      <c r="R513" s="27"/>
    </row>
    <row r="514" spans="1:18" ht="26.4" x14ac:dyDescent="0.3">
      <c r="A514" s="3" t="str">
        <f>'Autoévaluation client'!A528</f>
        <v>9.5.5.</v>
      </c>
      <c r="B514" s="6" t="str">
        <f>'Autoévaluation client'!C528</f>
        <v>Dans votre entreprise, travaille-t-on le dimanche et les jours fériés?</v>
      </c>
      <c r="C514" s="38">
        <f>IF(ISBLANK('Autoévaluation client'!D528),0,1)</f>
        <v>0</v>
      </c>
      <c r="D514" s="165" t="str">
        <f>IF(AND('Autoévaluation client'!D528="",'Autoévaluation client'!E528=""),"*","")</f>
        <v>*</v>
      </c>
      <c r="E514" s="39" t="str">
        <f>IF(ISBLANK('Autoévaluation client'!F528),"",'Autoévaluation client'!F528)</f>
        <v/>
      </c>
      <c r="F514" s="118"/>
      <c r="G514" s="118"/>
      <c r="H514" s="118"/>
      <c r="I514" s="118"/>
      <c r="J514" s="118"/>
      <c r="K514" s="118"/>
      <c r="L514" s="112"/>
      <c r="M514" s="37">
        <v>1</v>
      </c>
      <c r="N514" s="27"/>
      <c r="O514" s="47">
        <f>(1-C514)*M514</f>
        <v>1</v>
      </c>
      <c r="P514" s="49">
        <f t="shared" si="87"/>
        <v>1</v>
      </c>
      <c r="Q514" s="36"/>
      <c r="R514" s="27"/>
    </row>
    <row r="515" spans="1:18" ht="39.6" x14ac:dyDescent="0.3">
      <c r="A515" s="3" t="str">
        <f>'Autoévaluation client'!A529</f>
        <v>9.5.6.</v>
      </c>
      <c r="B515" s="6" t="str">
        <f>'Autoévaluation client'!C529</f>
        <v>Dans votre entreprise y a-t-il de travail en équipe? Si oui, quand démarre et termine l’équipé du matin, de l’après-midi et de nuit?</v>
      </c>
      <c r="C515" s="38">
        <f>IF(ISBLANK('Autoévaluation client'!D529),0,1)</f>
        <v>0</v>
      </c>
      <c r="D515" s="165" t="str">
        <f>IF(AND('Autoévaluation client'!D529="",'Autoévaluation client'!E529=""),"*","")</f>
        <v>*</v>
      </c>
      <c r="E515" s="39" t="str">
        <f>IF(ISBLANK('Autoévaluation client'!F529),"",'Autoévaluation client'!F529)</f>
        <v/>
      </c>
      <c r="F515" s="120"/>
      <c r="G515" s="120"/>
      <c r="H515" s="120"/>
      <c r="I515" s="120"/>
      <c r="J515" s="120"/>
      <c r="K515" s="120"/>
      <c r="L515" s="112"/>
      <c r="M515" s="37">
        <v>0</v>
      </c>
      <c r="N515" s="27"/>
      <c r="O515" s="47">
        <f>(1-C515)*M515</f>
        <v>0</v>
      </c>
      <c r="P515" s="49">
        <f t="shared" si="87"/>
        <v>0</v>
      </c>
      <c r="Q515" s="36"/>
      <c r="R515" s="27"/>
    </row>
    <row r="516" spans="1:18" ht="39.6" x14ac:dyDescent="0.3">
      <c r="A516" s="3" t="str">
        <f>'Autoévaluation client'!A530</f>
        <v>9.5.7.</v>
      </c>
      <c r="B516" s="6" t="str">
        <f>'Autoévaluation client'!C530</f>
        <v>Dans votre entreprise y a-t-il d'autres dispositions concernant la gestion de l'horaire de travail? Si oui, lesquelles?</v>
      </c>
      <c r="C516" s="38">
        <f>IF(ISBLANK('Autoévaluation client'!D530),0,1)</f>
        <v>0</v>
      </c>
      <c r="D516" s="165" t="str">
        <f>IF(AND('Autoévaluation client'!D530="",'Autoévaluation client'!E530=""),"*","")</f>
        <v>*</v>
      </c>
      <c r="E516" s="39" t="str">
        <f>IF(ISBLANK('Autoévaluation client'!F530),"",'Autoévaluation client'!F530)</f>
        <v/>
      </c>
      <c r="F516" s="120"/>
      <c r="G516" s="120"/>
      <c r="H516" s="120"/>
      <c r="I516" s="120"/>
      <c r="J516" s="120"/>
      <c r="K516" s="120"/>
      <c r="L516" s="112"/>
      <c r="M516" s="37">
        <v>0</v>
      </c>
      <c r="N516" s="27"/>
      <c r="O516" s="47">
        <f>(1-C516)*M516</f>
        <v>0</v>
      </c>
      <c r="P516" s="49">
        <f t="shared" si="87"/>
        <v>0</v>
      </c>
      <c r="Q516" s="36"/>
      <c r="R516" s="36"/>
    </row>
    <row r="517" spans="1:18" x14ac:dyDescent="0.3">
      <c r="A517" s="20" t="str">
        <f>'Autoévaluation client'!A531</f>
        <v>9.6.</v>
      </c>
      <c r="B517" s="20" t="str">
        <f>'Autoévaluation client'!B531</f>
        <v>Aménagement des pauses</v>
      </c>
      <c r="C517" s="21">
        <f>O517/N517</f>
        <v>0</v>
      </c>
      <c r="D517" s="23" t="str">
        <f>IF(ISBLANK('Autoévaluation client'!E531),"",'Autoévaluation client'!E531)</f>
        <v/>
      </c>
      <c r="E517" s="23" t="str">
        <f>IF(ISBLANK('Autoévaluation client'!F531),"",'Autoévaluation client'!F531)</f>
        <v/>
      </c>
      <c r="F517" s="115"/>
      <c r="G517" s="115"/>
      <c r="H517" s="115"/>
      <c r="I517" s="115"/>
      <c r="J517" s="115"/>
      <c r="K517" s="115"/>
      <c r="L517" s="50">
        <f>P517/N517</f>
        <v>0</v>
      </c>
      <c r="M517" s="22">
        <v>1</v>
      </c>
      <c r="N517" s="22">
        <f>SUM(M518:M525)</f>
        <v>6</v>
      </c>
      <c r="O517" s="24">
        <f>SUM(O518:O525)</f>
        <v>0</v>
      </c>
      <c r="P517" s="24">
        <f>SUM(P518:P525)</f>
        <v>0</v>
      </c>
      <c r="Q517" s="52">
        <f>O517/$N517*$M517</f>
        <v>0</v>
      </c>
      <c r="R517" s="52">
        <f>P517/$N517*$M517</f>
        <v>0</v>
      </c>
    </row>
    <row r="518" spans="1:18" ht="26.4" x14ac:dyDescent="0.3">
      <c r="A518" s="3" t="str">
        <f>'Autoévaluation client'!A532</f>
        <v>9.6.1.</v>
      </c>
      <c r="B518" s="6" t="str">
        <f>'Autoévaluation client'!C532</f>
        <v>Les pauses officielles sont-elles réglementées dans votre entreprise?</v>
      </c>
      <c r="C518" s="38">
        <f>IF(ISBLANK('Autoévaluation client'!D532),0,1)</f>
        <v>0</v>
      </c>
      <c r="D518" s="165" t="str">
        <f>IF(AND('Autoévaluation client'!D532="",'Autoévaluation client'!E532=""),"*","")</f>
        <v>*</v>
      </c>
      <c r="E518" s="39" t="str">
        <f>IF(ISBLANK('Autoévaluation client'!F532),"",'Autoévaluation client'!F532)</f>
        <v/>
      </c>
      <c r="F518" s="118"/>
      <c r="G518" s="118"/>
      <c r="H518" s="118"/>
      <c r="I518" s="118"/>
      <c r="J518" s="118"/>
      <c r="K518" s="118"/>
      <c r="L518" s="112"/>
      <c r="M518" s="37">
        <v>3</v>
      </c>
      <c r="N518" s="27"/>
      <c r="O518" s="28">
        <f t="shared" ref="O518:O525" si="88">C518*M518</f>
        <v>0</v>
      </c>
      <c r="P518" s="43">
        <f t="shared" ref="P518:P525" si="89">L518*M518</f>
        <v>0</v>
      </c>
      <c r="Q518" s="36"/>
      <c r="R518" s="27"/>
    </row>
    <row r="519" spans="1:18" ht="26.4" x14ac:dyDescent="0.3">
      <c r="A519" s="3" t="str">
        <f>'Autoévaluation client'!A533</f>
        <v>9.6.2.a</v>
      </c>
      <c r="B519" s="6" t="str">
        <f>'Autoévaluation client'!C533</f>
        <v>Dans votre entreprise y a-t-il des pauses officielles:
Dans la matinée? Si oui, quelle durée?</v>
      </c>
      <c r="C519" s="38">
        <f>IF(ISBLANK('Autoévaluation client'!D533),0,1)</f>
        <v>0</v>
      </c>
      <c r="D519" s="165" t="str">
        <f>IF(AND('Autoévaluation client'!D533="",'Autoévaluation client'!E533=""),"*","")</f>
        <v>*</v>
      </c>
      <c r="E519" s="39" t="str">
        <f>IF(ISBLANK('Autoévaluation client'!F533),"",'Autoévaluation client'!F533)</f>
        <v/>
      </c>
      <c r="F519" s="120"/>
      <c r="G519" s="120"/>
      <c r="H519" s="120"/>
      <c r="I519" s="120"/>
      <c r="J519" s="120"/>
      <c r="K519" s="120"/>
      <c r="L519" s="112"/>
      <c r="M519" s="37">
        <v>0</v>
      </c>
      <c r="N519" s="27"/>
      <c r="O519" s="28">
        <f t="shared" si="88"/>
        <v>0</v>
      </c>
      <c r="P519" s="43">
        <f t="shared" si="89"/>
        <v>0</v>
      </c>
      <c r="Q519" s="36"/>
      <c r="R519" s="27"/>
    </row>
    <row r="520" spans="1:18" x14ac:dyDescent="0.3">
      <c r="A520" s="3" t="str">
        <f>'Autoévaluation client'!A534</f>
        <v>9.6.2.b</v>
      </c>
      <c r="B520" s="6" t="str">
        <f>'Autoévaluation client'!C534</f>
        <v>A midi? Si oui, quelle durée?</v>
      </c>
      <c r="C520" s="38">
        <f>IF(ISBLANK('Autoévaluation client'!D534),0,1)</f>
        <v>0</v>
      </c>
      <c r="D520" s="165" t="str">
        <f>IF(AND('Autoévaluation client'!D534="",'Autoévaluation client'!E534=""),"*","")</f>
        <v>*</v>
      </c>
      <c r="E520" s="39" t="str">
        <f>IF(ISBLANK('Autoévaluation client'!F534),"",'Autoévaluation client'!F534)</f>
        <v/>
      </c>
      <c r="F520" s="118"/>
      <c r="G520" s="118"/>
      <c r="H520" s="118"/>
      <c r="I520" s="118"/>
      <c r="J520" s="118"/>
      <c r="K520" s="118"/>
      <c r="L520" s="112"/>
      <c r="M520" s="37">
        <v>0</v>
      </c>
      <c r="N520" s="27"/>
      <c r="O520" s="28">
        <f t="shared" si="88"/>
        <v>0</v>
      </c>
      <c r="P520" s="43">
        <f t="shared" si="89"/>
        <v>0</v>
      </c>
      <c r="Q520" s="36"/>
      <c r="R520" s="27"/>
    </row>
    <row r="521" spans="1:18" x14ac:dyDescent="0.3">
      <c r="A521" s="3" t="str">
        <f>'Autoévaluation client'!A535</f>
        <v>9.6.2.c</v>
      </c>
      <c r="B521" s="6" t="str">
        <f>'Autoévaluation client'!C535</f>
        <v>Dans l'après-midi? Si oui, quelle durée?</v>
      </c>
      <c r="C521" s="38">
        <f>IF(ISBLANK('Autoévaluation client'!D535),0,1)</f>
        <v>0</v>
      </c>
      <c r="D521" s="165" t="str">
        <f>IF(AND('Autoévaluation client'!D535="",'Autoévaluation client'!E535=""),"*","")</f>
        <v>*</v>
      </c>
      <c r="E521" s="39" t="str">
        <f>IF(ISBLANK('Autoévaluation client'!F535),"",'Autoévaluation client'!F535)</f>
        <v/>
      </c>
      <c r="F521" s="118"/>
      <c r="G521" s="118"/>
      <c r="H521" s="118"/>
      <c r="I521" s="118"/>
      <c r="J521" s="118"/>
      <c r="K521" s="118"/>
      <c r="L521" s="112"/>
      <c r="M521" s="37">
        <v>0</v>
      </c>
      <c r="N521" s="27"/>
      <c r="O521" s="28">
        <f t="shared" si="88"/>
        <v>0</v>
      </c>
      <c r="P521" s="43">
        <f t="shared" si="89"/>
        <v>0</v>
      </c>
      <c r="Q521" s="36"/>
      <c r="R521" s="27"/>
    </row>
    <row r="522" spans="1:18" x14ac:dyDescent="0.3">
      <c r="A522" s="3" t="str">
        <f>'Autoévaluation client'!A536</f>
        <v>9.6.2.d</v>
      </c>
      <c r="B522" s="6" t="str">
        <f>'Autoévaluation client'!C536</f>
        <v>Dans le cadre du travail en équipe? Si oui, quelle durée?</v>
      </c>
      <c r="C522" s="38">
        <f>IF(ISBLANK('Autoévaluation client'!D536),0,1)</f>
        <v>0</v>
      </c>
      <c r="D522" s="165" t="str">
        <f>IF(AND('Autoévaluation client'!D536="",'Autoévaluation client'!E536=""),"*","")</f>
        <v>*</v>
      </c>
      <c r="E522" s="39" t="str">
        <f>IF(ISBLANK('Autoévaluation client'!F536),"",'Autoévaluation client'!F536)</f>
        <v/>
      </c>
      <c r="F522" s="118"/>
      <c r="G522" s="118"/>
      <c r="H522" s="118"/>
      <c r="I522" s="118"/>
      <c r="J522" s="118"/>
      <c r="K522" s="118"/>
      <c r="L522" s="112"/>
      <c r="M522" s="37">
        <v>0</v>
      </c>
      <c r="N522" s="27"/>
      <c r="O522" s="28">
        <f t="shared" si="88"/>
        <v>0</v>
      </c>
      <c r="P522" s="43">
        <f t="shared" si="89"/>
        <v>0</v>
      </c>
      <c r="Q522" s="36"/>
      <c r="R522" s="27"/>
    </row>
    <row r="523" spans="1:18" ht="26.4" x14ac:dyDescent="0.3">
      <c r="A523" s="3" t="str">
        <f>'Autoévaluation client'!A537</f>
        <v>9.6.3.</v>
      </c>
      <c r="B523" s="6" t="str">
        <f>'Autoévaluation client'!C537</f>
        <v>Les collaborateurs ont-ils la possibilité de faire de courtes pauses individuelles dans une limite raisonnable?</v>
      </c>
      <c r="C523" s="38">
        <f>IF(ISBLANK('Autoévaluation client'!D537),0,1)</f>
        <v>0</v>
      </c>
      <c r="D523" s="165" t="str">
        <f>IF(AND('Autoévaluation client'!D537="",'Autoévaluation client'!E537=""),"*","")</f>
        <v>*</v>
      </c>
      <c r="E523" s="39" t="str">
        <f>IF(ISBLANK('Autoévaluation client'!F537),"",'Autoévaluation client'!F537)</f>
        <v/>
      </c>
      <c r="F523" s="118"/>
      <c r="G523" s="118"/>
      <c r="H523" s="118"/>
      <c r="I523" s="118"/>
      <c r="J523" s="118"/>
      <c r="K523" s="118"/>
      <c r="L523" s="112"/>
      <c r="M523" s="37">
        <v>1</v>
      </c>
      <c r="N523" s="27"/>
      <c r="O523" s="28">
        <f t="shared" si="88"/>
        <v>0</v>
      </c>
      <c r="P523" s="43">
        <f t="shared" si="89"/>
        <v>0</v>
      </c>
      <c r="Q523" s="36"/>
      <c r="R523" s="27"/>
    </row>
    <row r="524" spans="1:18" ht="26.4" x14ac:dyDescent="0.3">
      <c r="A524" s="3" t="str">
        <f>'Autoévaluation client'!A538</f>
        <v>9.6.4.</v>
      </c>
      <c r="B524" s="6" t="str">
        <f>'Autoévaluation client'!C538</f>
        <v>Des locaux appropriés sont-ils disponibles pour les temps de pause?</v>
      </c>
      <c r="C524" s="38">
        <f>IF(ISBLANK('Autoévaluation client'!D538),0,1)</f>
        <v>0</v>
      </c>
      <c r="D524" s="165" t="str">
        <f>IF(AND('Autoévaluation client'!D538="",'Autoévaluation client'!E538=""),"*","")</f>
        <v>*</v>
      </c>
      <c r="E524" s="39" t="str">
        <f>IF(ISBLANK('Autoévaluation client'!F538),"",'Autoévaluation client'!F538)</f>
        <v/>
      </c>
      <c r="F524" s="118"/>
      <c r="G524" s="118"/>
      <c r="H524" s="118"/>
      <c r="I524" s="118"/>
      <c r="J524" s="118"/>
      <c r="K524" s="118"/>
      <c r="L524" s="112"/>
      <c r="M524" s="37">
        <v>1</v>
      </c>
      <c r="N524" s="27"/>
      <c r="O524" s="28">
        <f t="shared" si="88"/>
        <v>0</v>
      </c>
      <c r="P524" s="43">
        <f t="shared" si="89"/>
        <v>0</v>
      </c>
      <c r="Q524" s="36"/>
      <c r="R524" s="27"/>
    </row>
    <row r="525" spans="1:18" ht="26.4" x14ac:dyDescent="0.3">
      <c r="A525" s="3" t="str">
        <f>'Autoévaluation client'!A539</f>
        <v>9.6.5.</v>
      </c>
      <c r="B525" s="6" t="str">
        <f>'Autoévaluation client'!C539</f>
        <v>Les fumeurs et les non-fumeurs disposent-ils de locaux appropriés et séparés?</v>
      </c>
      <c r="C525" s="38">
        <f>IF(ISBLANK('Autoévaluation client'!D539),0,1)</f>
        <v>0</v>
      </c>
      <c r="D525" s="165" t="str">
        <f>IF(AND('Autoévaluation client'!D539="",'Autoévaluation client'!E539=""),"*","")</f>
        <v>*</v>
      </c>
      <c r="E525" s="39" t="str">
        <f>IF(ISBLANK('Autoévaluation client'!F539),"",'Autoévaluation client'!F539)</f>
        <v/>
      </c>
      <c r="F525" s="118"/>
      <c r="G525" s="118"/>
      <c r="H525" s="118"/>
      <c r="I525" s="118"/>
      <c r="J525" s="118"/>
      <c r="K525" s="118"/>
      <c r="L525" s="112"/>
      <c r="M525" s="37">
        <v>1</v>
      </c>
      <c r="N525" s="27"/>
      <c r="O525" s="28">
        <f t="shared" si="88"/>
        <v>0</v>
      </c>
      <c r="P525" s="43">
        <f t="shared" si="89"/>
        <v>0</v>
      </c>
      <c r="Q525" s="36"/>
      <c r="R525" s="27"/>
    </row>
    <row r="526" spans="1:18" x14ac:dyDescent="0.3">
      <c r="A526" s="20" t="str">
        <f>'Autoévaluation client'!A540</f>
        <v>9.7.</v>
      </c>
      <c r="B526" s="20" t="str">
        <f>'Autoévaluation client'!B540</f>
        <v>Type de rémunération</v>
      </c>
      <c r="C526" s="21">
        <f>O526/N526</f>
        <v>0.4</v>
      </c>
      <c r="D526" s="23" t="str">
        <f>IF(ISBLANK('Autoévaluation client'!E540),"",'Autoévaluation client'!E540)</f>
        <v/>
      </c>
      <c r="E526" s="23" t="str">
        <f>IF(ISBLANK('Autoévaluation client'!F540),"",'Autoévaluation client'!F540)</f>
        <v/>
      </c>
      <c r="F526" s="115"/>
      <c r="G526" s="115"/>
      <c r="H526" s="115"/>
      <c r="I526" s="115"/>
      <c r="J526" s="115"/>
      <c r="K526" s="115"/>
      <c r="L526" s="50">
        <f>P526/N526</f>
        <v>0.4</v>
      </c>
      <c r="M526" s="22">
        <v>0</v>
      </c>
      <c r="N526" s="22">
        <f>SUM(M527:M531)</f>
        <v>5</v>
      </c>
      <c r="O526" s="24">
        <f>SUM(O527:O531)</f>
        <v>2</v>
      </c>
      <c r="P526" s="24">
        <f>SUM(P527:P531)</f>
        <v>2</v>
      </c>
      <c r="Q526" s="52">
        <f>O526/$N526*$M526</f>
        <v>0</v>
      </c>
      <c r="R526" s="52">
        <f>P526/$N526*$M526</f>
        <v>0</v>
      </c>
    </row>
    <row r="527" spans="1:18" ht="39.6" x14ac:dyDescent="0.3">
      <c r="A527" s="3" t="str">
        <f>'Autoévaluation client'!A541</f>
        <v>9.7.1.a</v>
      </c>
      <c r="B527" s="6" t="str">
        <f>'Autoévaluation client'!C541</f>
        <v>Quel est le type de rémunération appliqué dans votre entreprise:
Salaire horaire: emploi fixe, salaire mensuel ou à l'heure?</v>
      </c>
      <c r="C527" s="38">
        <f>IF(ISBLANK('Autoévaluation client'!D541),0,1)</f>
        <v>0</v>
      </c>
      <c r="D527" s="165" t="str">
        <f>IF(AND('Autoévaluation client'!D541="",'Autoévaluation client'!E541=""),"*","")</f>
        <v>*</v>
      </c>
      <c r="E527" s="39" t="str">
        <f>IF(ISBLANK('Autoévaluation client'!F541),"",'Autoévaluation client'!F541)</f>
        <v/>
      </c>
      <c r="F527" s="118"/>
      <c r="G527" s="118"/>
      <c r="H527" s="118"/>
      <c r="I527" s="118"/>
      <c r="J527" s="118"/>
      <c r="K527" s="118"/>
      <c r="L527" s="112"/>
      <c r="M527" s="37">
        <v>1</v>
      </c>
      <c r="N527" s="27"/>
      <c r="O527" s="28">
        <f>C527*M527</f>
        <v>0</v>
      </c>
      <c r="P527" s="43">
        <f t="shared" ref="P527:P528" si="90">L527*M527</f>
        <v>0</v>
      </c>
      <c r="Q527" s="36"/>
      <c r="R527" s="27"/>
    </row>
    <row r="528" spans="1:18" x14ac:dyDescent="0.3">
      <c r="A528" s="3" t="str">
        <f>'Autoévaluation client'!A542</f>
        <v>9.7.1.b</v>
      </c>
      <c r="B528" s="6" t="str">
        <f>'Autoévaluation client'!C542</f>
        <v>Salaire à la prime (salaire horaire plus primes)?</v>
      </c>
      <c r="C528" s="38">
        <f>IF(ISBLANK('Autoévaluation client'!D542),0,1)</f>
        <v>0</v>
      </c>
      <c r="D528" s="165" t="str">
        <f>IF(AND('Autoévaluation client'!D542="",'Autoévaluation client'!E542=""),"*","")</f>
        <v>*</v>
      </c>
      <c r="E528" s="39" t="str">
        <f>IF(ISBLANK('Autoévaluation client'!F542),"",'Autoévaluation client'!F542)</f>
        <v/>
      </c>
      <c r="F528" s="118"/>
      <c r="G528" s="118"/>
      <c r="H528" s="118"/>
      <c r="I528" s="118"/>
      <c r="J528" s="118"/>
      <c r="K528" s="118"/>
      <c r="L528" s="112"/>
      <c r="M528" s="37">
        <v>1</v>
      </c>
      <c r="N528" s="27"/>
      <c r="O528" s="28">
        <f>C528*M528</f>
        <v>0</v>
      </c>
      <c r="P528" s="43">
        <f t="shared" si="90"/>
        <v>0</v>
      </c>
      <c r="Q528" s="36"/>
      <c r="R528" s="27"/>
    </row>
    <row r="529" spans="1:18" x14ac:dyDescent="0.3">
      <c r="A529" s="3" t="str">
        <f>'Autoévaluation client'!A543</f>
        <v>9.7.1.c</v>
      </c>
      <c r="B529" s="6" t="str">
        <f>'Autoévaluation client'!C543</f>
        <v>Salaire au rendement: à la pièce?</v>
      </c>
      <c r="C529" s="38">
        <f>IF(ISBLANK('Autoévaluation client'!D543),0,1)</f>
        <v>0</v>
      </c>
      <c r="D529" s="165" t="str">
        <f>IF(AND('Autoévaluation client'!D543="",'Autoévaluation client'!E543=""),"*","")</f>
        <v>*</v>
      </c>
      <c r="E529" s="39" t="str">
        <f>IF(ISBLANK('Autoévaluation client'!F543),"",'Autoévaluation client'!F543)</f>
        <v/>
      </c>
      <c r="F529" s="118"/>
      <c r="G529" s="118"/>
      <c r="H529" s="118"/>
      <c r="I529" s="118"/>
      <c r="J529" s="118"/>
      <c r="K529" s="118"/>
      <c r="L529" s="112"/>
      <c r="M529" s="37">
        <v>1</v>
      </c>
      <c r="N529" s="27"/>
      <c r="O529" s="47">
        <f>(1-C529)*M529</f>
        <v>1</v>
      </c>
      <c r="P529" s="49">
        <f t="shared" ref="P529:P530" si="91">(1-L529)*M529</f>
        <v>1</v>
      </c>
      <c r="Q529" s="36"/>
      <c r="R529" s="27"/>
    </row>
    <row r="530" spans="1:18" x14ac:dyDescent="0.3">
      <c r="A530" s="3" t="str">
        <f>'Autoévaluation client'!A544</f>
        <v>9.7.1.e</v>
      </c>
      <c r="B530" s="6" t="str">
        <f>'Autoévaluation client'!C544</f>
        <v>Salaire au forfait (par équipe)?</v>
      </c>
      <c r="C530" s="38">
        <f>IF(ISBLANK('Autoévaluation client'!D544),0,1)</f>
        <v>0</v>
      </c>
      <c r="D530" s="165" t="str">
        <f>IF(AND('Autoévaluation client'!D544="",'Autoévaluation client'!E544=""),"*","")</f>
        <v>*</v>
      </c>
      <c r="E530" s="39" t="str">
        <f>IF(ISBLANK('Autoévaluation client'!F544),"",'Autoévaluation client'!F544)</f>
        <v/>
      </c>
      <c r="F530" s="118"/>
      <c r="G530" s="118"/>
      <c r="H530" s="118"/>
      <c r="I530" s="118"/>
      <c r="J530" s="118"/>
      <c r="K530" s="118"/>
      <c r="L530" s="112"/>
      <c r="M530" s="37">
        <v>1</v>
      </c>
      <c r="N530" s="27"/>
      <c r="O530" s="47">
        <f>(1-C530)*M530</f>
        <v>1</v>
      </c>
      <c r="P530" s="49">
        <f t="shared" si="91"/>
        <v>1</v>
      </c>
      <c r="Q530" s="36"/>
      <c r="R530" s="36"/>
    </row>
    <row r="531" spans="1:18" ht="26.4" x14ac:dyDescent="0.3">
      <c r="A531" s="3" t="str">
        <f>'Autoévaluation client'!A545</f>
        <v>9.7.2.</v>
      </c>
      <c r="B531" s="6" t="str">
        <f>'Autoévaluation client'!C545</f>
        <v>En cas de rémunération à la pièce, l'entreprise garantit-elle un salaire de base indépendant du rendement?</v>
      </c>
      <c r="C531" s="38">
        <f>IF(ISBLANK('Autoévaluation client'!D545),0,1)</f>
        <v>0</v>
      </c>
      <c r="D531" s="165" t="str">
        <f>IF(AND('Autoévaluation client'!D545="",'Autoévaluation client'!E545=""),"*","")</f>
        <v>*</v>
      </c>
      <c r="E531" s="39" t="str">
        <f>IF(ISBLANK('Autoévaluation client'!F545),"",'Autoévaluation client'!F545)</f>
        <v/>
      </c>
      <c r="F531" s="118"/>
      <c r="G531" s="118"/>
      <c r="H531" s="118"/>
      <c r="I531" s="118"/>
      <c r="J531" s="118"/>
      <c r="K531" s="118"/>
      <c r="L531" s="112"/>
      <c r="M531" s="37">
        <v>1</v>
      </c>
      <c r="N531" s="27"/>
      <c r="O531" s="28">
        <f>C531*M531</f>
        <v>0</v>
      </c>
      <c r="P531" s="43">
        <f>L531*M531</f>
        <v>0</v>
      </c>
      <c r="Q531" s="36"/>
      <c r="R531" s="27"/>
    </row>
    <row r="532" spans="1:18" x14ac:dyDescent="0.3">
      <c r="A532" s="20" t="str">
        <f>'Autoévaluation client'!A546</f>
        <v>9.8.</v>
      </c>
      <c r="B532" s="20" t="str">
        <f>'Autoévaluation client'!B546</f>
        <v>Substances nocives</v>
      </c>
      <c r="C532" s="21">
        <f>O532/N532</f>
        <v>0</v>
      </c>
      <c r="D532" s="23" t="str">
        <f>IF(ISBLANK('Autoévaluation client'!E546),"",'Autoévaluation client'!E546)</f>
        <v/>
      </c>
      <c r="E532" s="23" t="str">
        <f>IF(ISBLANK('Autoévaluation client'!F546),"",'Autoévaluation client'!F546)</f>
        <v/>
      </c>
      <c r="F532" s="115"/>
      <c r="G532" s="115"/>
      <c r="H532" s="115"/>
      <c r="I532" s="115"/>
      <c r="J532" s="115"/>
      <c r="K532" s="115"/>
      <c r="L532" s="50">
        <f>P532/N532</f>
        <v>0</v>
      </c>
      <c r="M532" s="22">
        <v>3</v>
      </c>
      <c r="N532" s="22">
        <f>SUM(M533:M539)</f>
        <v>15</v>
      </c>
      <c r="O532" s="24">
        <f>SUM(O533:O539)</f>
        <v>0</v>
      </c>
      <c r="P532" s="24">
        <f>SUM(P533:P539)</f>
        <v>0</v>
      </c>
      <c r="Q532" s="52">
        <f>O532/$N532*$M532</f>
        <v>0</v>
      </c>
      <c r="R532" s="52">
        <f>P532/$N532*$M532</f>
        <v>0</v>
      </c>
    </row>
    <row r="533" spans="1:18" ht="26.4" x14ac:dyDescent="0.3">
      <c r="A533" s="3" t="str">
        <f>'Autoévaluation client'!A547</f>
        <v>9.8.1.</v>
      </c>
      <c r="B533" s="6" t="str">
        <f>'Autoévaluation client'!C547</f>
        <v>Votre entreprise produit-elle ou traite-t-elle des matériaux pouvant mettre en danger la santé?</v>
      </c>
      <c r="C533" s="38">
        <f>IF(ISBLANK('Autoévaluation client'!D547),0,1)</f>
        <v>0</v>
      </c>
      <c r="D533" s="165" t="str">
        <f>IF(AND('Autoévaluation client'!D547="",'Autoévaluation client'!E547=""),"*","")</f>
        <v>*</v>
      </c>
      <c r="E533" s="39" t="str">
        <f>IF(ISBLANK('Autoévaluation client'!F547),"",'Autoévaluation client'!F547)</f>
        <v/>
      </c>
      <c r="F533" s="118"/>
      <c r="G533" s="118"/>
      <c r="H533" s="118"/>
      <c r="I533" s="118"/>
      <c r="J533" s="118"/>
      <c r="K533" s="118"/>
      <c r="L533" s="112"/>
      <c r="M533" s="37">
        <v>0</v>
      </c>
      <c r="N533" s="27"/>
      <c r="O533" s="47">
        <f>(1-C533)*M533</f>
        <v>0</v>
      </c>
      <c r="P533" s="49">
        <f t="shared" ref="P533:P534" si="92">(1-L533)*M533</f>
        <v>0</v>
      </c>
      <c r="Q533" s="36"/>
      <c r="R533" s="27"/>
    </row>
    <row r="534" spans="1:18" ht="26.4" x14ac:dyDescent="0.3">
      <c r="A534" s="3" t="str">
        <f>'Autoévaluation client'!A548</f>
        <v>9.8.2.</v>
      </c>
      <c r="B534" s="6" t="str">
        <f>'Autoévaluation client'!C548</f>
        <v>Votre entreprise stocke-t-elle des matériaux pouvant mettre en danger la santé?</v>
      </c>
      <c r="C534" s="38">
        <f>IF(ISBLANK('Autoévaluation client'!D548),0,1)</f>
        <v>0</v>
      </c>
      <c r="D534" s="165" t="str">
        <f>IF(AND('Autoévaluation client'!D548="",'Autoévaluation client'!E548=""),"*","")</f>
        <v>*</v>
      </c>
      <c r="E534" s="39" t="str">
        <f>IF(ISBLANK('Autoévaluation client'!F548),"",'Autoévaluation client'!F548)</f>
        <v/>
      </c>
      <c r="F534" s="118"/>
      <c r="G534" s="118"/>
      <c r="H534" s="118"/>
      <c r="I534" s="118"/>
      <c r="J534" s="118"/>
      <c r="K534" s="118"/>
      <c r="L534" s="112"/>
      <c r="M534" s="37">
        <v>0</v>
      </c>
      <c r="N534" s="27"/>
      <c r="O534" s="47">
        <f>(1-C534)*M534</f>
        <v>0</v>
      </c>
      <c r="P534" s="49">
        <f t="shared" si="92"/>
        <v>0</v>
      </c>
      <c r="Q534" s="36"/>
      <c r="R534" s="27"/>
    </row>
    <row r="535" spans="1:18" ht="39.6" x14ac:dyDescent="0.3">
      <c r="A535" s="3" t="str">
        <f>'Autoévaluation client'!A549</f>
        <v>9.8.3.</v>
      </c>
      <c r="B535" s="6" t="str">
        <f>'Autoévaluation client'!C549</f>
        <v>Votre entreprise respecte-t-elle les dispositions de sécurité en relation avec les matériaux pouvant mettre en danger la santé?</v>
      </c>
      <c r="C535" s="38">
        <f>IF(ISBLANK('Autoévaluation client'!D549),0,1)</f>
        <v>0</v>
      </c>
      <c r="D535" s="165" t="str">
        <f>IF(AND('Autoévaluation client'!D549="",'Autoévaluation client'!E549=""),"*","")</f>
        <v>*</v>
      </c>
      <c r="E535" s="39" t="str">
        <f>IF(ISBLANK('Autoévaluation client'!F549),"",'Autoévaluation client'!F549)</f>
        <v/>
      </c>
      <c r="F535" s="118"/>
      <c r="G535" s="118"/>
      <c r="H535" s="118"/>
      <c r="I535" s="118"/>
      <c r="J535" s="118"/>
      <c r="K535" s="118"/>
      <c r="L535" s="112"/>
      <c r="M535" s="37">
        <v>3</v>
      </c>
      <c r="N535" s="27"/>
      <c r="O535" s="28">
        <f>C535*M535</f>
        <v>0</v>
      </c>
      <c r="P535" s="43">
        <f t="shared" ref="P535:P539" si="93">L535*M535</f>
        <v>0</v>
      </c>
      <c r="Q535" s="36"/>
      <c r="R535" s="27"/>
    </row>
    <row r="536" spans="1:18" ht="26.4" x14ac:dyDescent="0.3">
      <c r="A536" s="3" t="str">
        <f>'Autoévaluation client'!A550</f>
        <v>9.8.4.</v>
      </c>
      <c r="B536" s="6" t="str">
        <f>'Autoévaluation client'!C550</f>
        <v>Votre entreprise dispose-t-elle des fiches de sécurité de tous les matériaux pouvant mettre en danger la santé?</v>
      </c>
      <c r="C536" s="38">
        <f>IF(ISBLANK('Autoévaluation client'!D550),0,1)</f>
        <v>0</v>
      </c>
      <c r="D536" s="165" t="str">
        <f>IF(AND('Autoévaluation client'!D550="",'Autoévaluation client'!E550=""),"*","")</f>
        <v>*</v>
      </c>
      <c r="E536" s="39" t="str">
        <f>IF(ISBLANK('Autoévaluation client'!F550),"",'Autoévaluation client'!F550)</f>
        <v/>
      </c>
      <c r="F536" s="118"/>
      <c r="G536" s="118"/>
      <c r="H536" s="118"/>
      <c r="I536" s="118"/>
      <c r="J536" s="118"/>
      <c r="K536" s="118"/>
      <c r="L536" s="112"/>
      <c r="M536" s="37">
        <v>3</v>
      </c>
      <c r="N536" s="27"/>
      <c r="O536" s="28">
        <f>C536*M536</f>
        <v>0</v>
      </c>
      <c r="P536" s="43">
        <f t="shared" si="93"/>
        <v>0</v>
      </c>
      <c r="Q536" s="36"/>
      <c r="R536" s="27"/>
    </row>
    <row r="537" spans="1:18" ht="26.4" x14ac:dyDescent="0.3">
      <c r="A537" s="3" t="str">
        <f>'Autoévaluation client'!A551</f>
        <v>9.8.5.</v>
      </c>
      <c r="B537" s="6" t="str">
        <f>'Autoévaluation client'!C551</f>
        <v>Ces fiches de sécurité sont-elles à portée de main aux différents postes de travail?</v>
      </c>
      <c r="C537" s="38">
        <f>IF(ISBLANK('Autoévaluation client'!D551),0,1)</f>
        <v>0</v>
      </c>
      <c r="D537" s="165" t="str">
        <f>IF(AND('Autoévaluation client'!D551="",'Autoévaluation client'!E551=""),"*","")</f>
        <v>*</v>
      </c>
      <c r="E537" s="39" t="str">
        <f>IF(ISBLANK('Autoévaluation client'!F551),"",'Autoévaluation client'!F551)</f>
        <v/>
      </c>
      <c r="F537" s="118"/>
      <c r="G537" s="118"/>
      <c r="H537" s="118"/>
      <c r="I537" s="118"/>
      <c r="J537" s="118"/>
      <c r="K537" s="118"/>
      <c r="L537" s="112"/>
      <c r="M537" s="37">
        <v>3</v>
      </c>
      <c r="N537" s="27"/>
      <c r="O537" s="28">
        <f>C537*M537</f>
        <v>0</v>
      </c>
      <c r="P537" s="43">
        <f t="shared" si="93"/>
        <v>0</v>
      </c>
      <c r="Q537" s="36"/>
      <c r="R537" s="27"/>
    </row>
    <row r="538" spans="1:18" ht="26.4" x14ac:dyDescent="0.3">
      <c r="A538" s="3" t="str">
        <f>'Autoévaluation client'!A552</f>
        <v>9.8.6.</v>
      </c>
      <c r="B538" s="6" t="str">
        <f>'Autoévaluation client'!C552</f>
        <v>Les collaborateurs sont-ils instruits sur les informations contenues dans ces fiches de sécurité?</v>
      </c>
      <c r="C538" s="38">
        <f>IF(ISBLANK('Autoévaluation client'!D552),0,1)</f>
        <v>0</v>
      </c>
      <c r="D538" s="165" t="str">
        <f>IF(AND('Autoévaluation client'!D552="",'Autoévaluation client'!E552=""),"*","")</f>
        <v>*</v>
      </c>
      <c r="E538" s="39" t="str">
        <f>IF(ISBLANK('Autoévaluation client'!F552),"",'Autoévaluation client'!F552)</f>
        <v/>
      </c>
      <c r="F538" s="118"/>
      <c r="G538" s="118"/>
      <c r="H538" s="118"/>
      <c r="I538" s="118"/>
      <c r="J538" s="118"/>
      <c r="K538" s="118"/>
      <c r="L538" s="112"/>
      <c r="M538" s="37">
        <v>3</v>
      </c>
      <c r="N538" s="27"/>
      <c r="O538" s="28">
        <f>C538*M538</f>
        <v>0</v>
      </c>
      <c r="P538" s="43">
        <f t="shared" si="93"/>
        <v>0</v>
      </c>
      <c r="Q538" s="36"/>
      <c r="R538" s="27"/>
    </row>
    <row r="539" spans="1:18" ht="39.6" x14ac:dyDescent="0.3">
      <c r="A539" s="3" t="str">
        <f>'Autoévaluation client'!A553</f>
        <v>9.8.7.</v>
      </c>
      <c r="B539" s="6" t="str">
        <f>'Autoévaluation client'!C553</f>
        <v>Les moyens et les ressources d'infrastructure nécessaires en vue de garantir l'observation des règles fixées dans les fiches de sécurité sont-ils disponibles?</v>
      </c>
      <c r="C539" s="38">
        <f>IF(ISBLANK('Autoévaluation client'!D553),0,1)</f>
        <v>0</v>
      </c>
      <c r="D539" s="165" t="str">
        <f>IF(AND('Autoévaluation client'!D553="",'Autoévaluation client'!E553=""),"*","")</f>
        <v>*</v>
      </c>
      <c r="E539" s="39" t="str">
        <f>IF(ISBLANK('Autoévaluation client'!F553),"",'Autoévaluation client'!F553)</f>
        <v/>
      </c>
      <c r="F539" s="120"/>
      <c r="G539" s="120"/>
      <c r="H539" s="120"/>
      <c r="I539" s="120"/>
      <c r="J539" s="120"/>
      <c r="K539" s="120"/>
      <c r="L539" s="112"/>
      <c r="M539" s="37">
        <v>3</v>
      </c>
      <c r="N539" s="27"/>
      <c r="O539" s="28">
        <f>C539*M539</f>
        <v>0</v>
      </c>
      <c r="P539" s="43">
        <f t="shared" si="93"/>
        <v>0</v>
      </c>
      <c r="Q539" s="36"/>
      <c r="R539" s="27"/>
    </row>
    <row r="540" spans="1:18" ht="26.4" x14ac:dyDescent="0.3">
      <c r="A540" s="20" t="str">
        <f>'Autoévaluation client'!A554</f>
        <v>9.9.</v>
      </c>
      <c r="B540" s="20" t="str">
        <f>'Autoévaluation client'!B554</f>
        <v>Comportement à risque, substances engendrant une dépendance, maladies</v>
      </c>
      <c r="C540" s="21">
        <f>O540/N540</f>
        <v>0.26666666666666666</v>
      </c>
      <c r="D540" s="23" t="str">
        <f>IF(ISBLANK('Autoévaluation client'!E554),"",'Autoévaluation client'!E554)</f>
        <v/>
      </c>
      <c r="E540" s="23" t="str">
        <f>IF(ISBLANK('Autoévaluation client'!F554),"",'Autoévaluation client'!F554)</f>
        <v/>
      </c>
      <c r="F540" s="115"/>
      <c r="G540" s="115"/>
      <c r="H540" s="115"/>
      <c r="I540" s="115"/>
      <c r="J540" s="115"/>
      <c r="K540" s="115"/>
      <c r="L540" s="50">
        <f>P540/N540</f>
        <v>0.26666666666666666</v>
      </c>
      <c r="M540" s="22">
        <v>1</v>
      </c>
      <c r="N540" s="22">
        <f>SUM(M541:M549)</f>
        <v>15</v>
      </c>
      <c r="O540" s="24">
        <f>SUM(O541:O549)</f>
        <v>4</v>
      </c>
      <c r="P540" s="24">
        <f>SUM(P541:P549)</f>
        <v>4</v>
      </c>
      <c r="Q540" s="52">
        <f>O540/$N540*$M540</f>
        <v>0.26666666666666666</v>
      </c>
      <c r="R540" s="52">
        <f>P540/$N540*$M540</f>
        <v>0.26666666666666666</v>
      </c>
    </row>
    <row r="541" spans="1:18" ht="52.8" x14ac:dyDescent="0.3">
      <c r="A541" s="3" t="str">
        <f>'Autoévaluation client'!A555</f>
        <v>9.9.1.</v>
      </c>
      <c r="B541" s="6" t="str">
        <f>'Autoévaluation client'!C555</f>
        <v>Existe-t-il des facteurs propres à amplifier le comportement à risque (grande productivité exigée à n'importe quel prix; valorisation des "Rambos", dénigrement des personnes adoptant un comportement conforme à la sécurité, etc.)?</v>
      </c>
      <c r="C541" s="38">
        <f>IF(ISBLANK('Autoévaluation client'!D555),0,1)</f>
        <v>0</v>
      </c>
      <c r="D541" s="165" t="str">
        <f>IF(AND('Autoévaluation client'!D555="",'Autoévaluation client'!E555=""),"*","")</f>
        <v>*</v>
      </c>
      <c r="E541" s="39" t="str">
        <f>IF(ISBLANK('Autoévaluation client'!F555),"",'Autoévaluation client'!F555)</f>
        <v/>
      </c>
      <c r="F541" s="118"/>
      <c r="G541" s="118"/>
      <c r="H541" s="118"/>
      <c r="I541" s="118"/>
      <c r="J541" s="118"/>
      <c r="K541" s="118"/>
      <c r="L541" s="112"/>
      <c r="M541" s="37">
        <v>1</v>
      </c>
      <c r="N541" s="27"/>
      <c r="O541" s="47">
        <f>(1-C541)*M541</f>
        <v>1</v>
      </c>
      <c r="P541" s="49">
        <f>(1-L541)*M541</f>
        <v>1</v>
      </c>
      <c r="Q541" s="36"/>
      <c r="R541" s="27"/>
    </row>
    <row r="542" spans="1:18" ht="39.6" x14ac:dyDescent="0.3">
      <c r="A542" s="3" t="str">
        <f>'Autoévaluation client'!A556</f>
        <v>9.9.2.</v>
      </c>
      <c r="B542" s="6" t="str">
        <f>'Autoévaluation client'!C556</f>
        <v>La consommation de substances engendrant une dépendance (p. ex. alcool, drogues, nicotine) est-elle réglementée dans votre entreprise?</v>
      </c>
      <c r="C542" s="38">
        <f>IF(ISBLANK('Autoévaluation client'!D556),0,1)</f>
        <v>0</v>
      </c>
      <c r="D542" s="165" t="str">
        <f>IF(AND('Autoévaluation client'!D556="",'Autoévaluation client'!E556=""),"*","")</f>
        <v>*</v>
      </c>
      <c r="E542" s="39" t="str">
        <f>IF(ISBLANK('Autoévaluation client'!F556),"",'Autoévaluation client'!F556)</f>
        <v/>
      </c>
      <c r="F542" s="118"/>
      <c r="G542" s="118"/>
      <c r="H542" s="118"/>
      <c r="I542" s="118"/>
      <c r="J542" s="118"/>
      <c r="K542" s="118"/>
      <c r="L542" s="112"/>
      <c r="M542" s="37">
        <v>3</v>
      </c>
      <c r="N542" s="27"/>
      <c r="O542" s="28">
        <f>C542*M542</f>
        <v>0</v>
      </c>
      <c r="P542" s="43">
        <f>L542*M542</f>
        <v>0</v>
      </c>
      <c r="Q542" s="36"/>
      <c r="R542" s="27"/>
    </row>
    <row r="543" spans="1:18" x14ac:dyDescent="0.3">
      <c r="A543" s="3" t="str">
        <f>'Autoévaluation client'!A557</f>
        <v>9.9.3.</v>
      </c>
      <c r="B543" s="6" t="str">
        <f>'Autoévaluation client'!C557</f>
        <v>Sert-on de l'alcool à la cantine ou dans l'entreprise?</v>
      </c>
      <c r="C543" s="38">
        <f>IF(ISBLANK('Autoévaluation client'!D557),0,1)</f>
        <v>0</v>
      </c>
      <c r="D543" s="165" t="str">
        <f>IF(AND('Autoévaluation client'!D557="",'Autoévaluation client'!E557=""),"*","")</f>
        <v>*</v>
      </c>
      <c r="E543" s="39" t="str">
        <f>IF(ISBLANK('Autoévaluation client'!F557),"",'Autoévaluation client'!F557)</f>
        <v/>
      </c>
      <c r="F543" s="118"/>
      <c r="G543" s="118"/>
      <c r="H543" s="118"/>
      <c r="I543" s="118"/>
      <c r="J543" s="118"/>
      <c r="K543" s="118"/>
      <c r="L543" s="112"/>
      <c r="M543" s="37">
        <v>3</v>
      </c>
      <c r="N543" s="27"/>
      <c r="O543" s="47">
        <f>(1-C543)*M543</f>
        <v>3</v>
      </c>
      <c r="P543" s="49">
        <f>(1-L543)*M543</f>
        <v>3</v>
      </c>
      <c r="Q543" s="36"/>
      <c r="R543" s="27"/>
    </row>
    <row r="544" spans="1:18" ht="26.4" x14ac:dyDescent="0.3">
      <c r="A544" s="3" t="str">
        <f>'Autoévaluation client'!A558</f>
        <v>9.9.4.</v>
      </c>
      <c r="B544" s="6" t="str">
        <f>'Autoévaluation client'!C558</f>
        <v>Votre entreprise dispose-t-elle d'un programme de prévention des dépendances?</v>
      </c>
      <c r="C544" s="38">
        <f>IF(ISBLANK('Autoévaluation client'!D558),0,1)</f>
        <v>0</v>
      </c>
      <c r="D544" s="165" t="str">
        <f>IF(AND('Autoévaluation client'!D558="",'Autoévaluation client'!E558=""),"*","")</f>
        <v>*</v>
      </c>
      <c r="E544" s="39" t="str">
        <f>IF(ISBLANK('Autoévaluation client'!F558),"",'Autoévaluation client'!F558)</f>
        <v/>
      </c>
      <c r="F544" s="120"/>
      <c r="G544" s="120"/>
      <c r="H544" s="120"/>
      <c r="I544" s="120"/>
      <c r="J544" s="120"/>
      <c r="K544" s="120"/>
      <c r="L544" s="112"/>
      <c r="M544" s="37">
        <v>1</v>
      </c>
      <c r="N544" s="27"/>
      <c r="O544" s="28">
        <f>C544*M544</f>
        <v>0</v>
      </c>
      <c r="P544" s="43">
        <f>L544*M544</f>
        <v>0</v>
      </c>
      <c r="Q544" s="36"/>
      <c r="R544" s="36"/>
    </row>
    <row r="545" spans="1:18" ht="39.6" x14ac:dyDescent="0.3">
      <c r="A545" s="3" t="str">
        <f>'Autoévaluation client'!A559</f>
        <v>9.9.5.</v>
      </c>
      <c r="B545" s="6" t="str">
        <f>'Autoévaluation client'!C559</f>
        <v>Avez-vous actuellement dans votre entreprise des cas de dépendance reconnus?
Si oui, combien de cas?</v>
      </c>
      <c r="C545" s="38">
        <f>IF(ISBLANK('Autoévaluation client'!D559),0,1)</f>
        <v>0</v>
      </c>
      <c r="D545" s="165" t="str">
        <f>IF(AND('Autoévaluation client'!D559="",'Autoévaluation client'!E559=""),"*","")</f>
        <v>*</v>
      </c>
      <c r="E545" s="39" t="str">
        <f>IF(ISBLANK('Autoévaluation client'!F559),"",'Autoévaluation client'!F559)</f>
        <v/>
      </c>
      <c r="F545" s="118"/>
      <c r="G545" s="118"/>
      <c r="H545" s="118"/>
      <c r="I545" s="118"/>
      <c r="J545" s="118"/>
      <c r="K545" s="118"/>
      <c r="L545" s="112"/>
      <c r="M545" s="37">
        <v>0</v>
      </c>
      <c r="N545" s="27"/>
      <c r="O545" s="47">
        <f>(1-C545)*M545</f>
        <v>0</v>
      </c>
      <c r="P545" s="49">
        <f>(1-L545)*M545</f>
        <v>0</v>
      </c>
      <c r="Q545" s="36"/>
      <c r="R545" s="27"/>
    </row>
    <row r="546" spans="1:18" ht="52.8" x14ac:dyDescent="0.3">
      <c r="A546" s="3" t="str">
        <f>'Autoévaluation client'!A560</f>
        <v>9.9.6.</v>
      </c>
      <c r="B546" s="6" t="str">
        <f>'Autoévaluation client'!C560</f>
        <v>Ces cas sont-ils traités de manière concrète et systématique?
Si oui, quel est le nom du service ou de la personne traitant ces cas?</v>
      </c>
      <c r="C546" s="38">
        <f>IF(ISBLANK('Autoévaluation client'!D560),0,1)</f>
        <v>0</v>
      </c>
      <c r="D546" s="165" t="str">
        <f>IF(AND('Autoévaluation client'!D560="",'Autoévaluation client'!E560=""),"*","")</f>
        <v>*</v>
      </c>
      <c r="E546" s="39" t="str">
        <f>IF(ISBLANK('Autoévaluation client'!F560),"",'Autoévaluation client'!F560)</f>
        <v/>
      </c>
      <c r="F546" s="118"/>
      <c r="G546" s="118"/>
      <c r="H546" s="118"/>
      <c r="I546" s="118"/>
      <c r="J546" s="118"/>
      <c r="K546" s="118"/>
      <c r="L546" s="112"/>
      <c r="M546" s="37">
        <v>1</v>
      </c>
      <c r="N546" s="27"/>
      <c r="O546" s="28">
        <f>C546*M546</f>
        <v>0</v>
      </c>
      <c r="P546" s="43">
        <f t="shared" ref="P546:P547" si="94">L546*M546</f>
        <v>0</v>
      </c>
      <c r="Q546" s="36"/>
      <c r="R546" s="27"/>
    </row>
    <row r="547" spans="1:18" ht="39.6" x14ac:dyDescent="0.3">
      <c r="A547" s="3" t="str">
        <f>'Autoévaluation client'!A561</f>
        <v>9.9.7.</v>
      </c>
      <c r="B547" s="6" t="str">
        <f>'Autoévaluation client'!C561</f>
        <v>Les supérieurs savent-ils tous comment réagir lorsqu'un collaborateur a des problèmes de dépendance (alcool, etc.)?</v>
      </c>
      <c r="C547" s="38">
        <f>IF(ISBLANK('Autoévaluation client'!D561),0,1)</f>
        <v>0</v>
      </c>
      <c r="D547" s="165" t="str">
        <f>IF(AND('Autoévaluation client'!D561="",'Autoévaluation client'!E561=""),"*","")</f>
        <v>*</v>
      </c>
      <c r="E547" s="39" t="str">
        <f>IF(ISBLANK('Autoévaluation client'!F561),"",'Autoévaluation client'!F561)</f>
        <v/>
      </c>
      <c r="F547" s="118"/>
      <c r="G547" s="118"/>
      <c r="H547" s="118"/>
      <c r="I547" s="118"/>
      <c r="J547" s="118"/>
      <c r="K547" s="118"/>
      <c r="L547" s="112"/>
      <c r="M547" s="37">
        <v>3</v>
      </c>
      <c r="N547" s="27"/>
      <c r="O547" s="28">
        <f>C547*M547</f>
        <v>0</v>
      </c>
      <c r="P547" s="43">
        <f t="shared" si="94"/>
        <v>0</v>
      </c>
      <c r="Q547" s="36"/>
      <c r="R547" s="27"/>
    </row>
    <row r="548" spans="1:18" ht="39.6" x14ac:dyDescent="0.3">
      <c r="A548" s="3" t="str">
        <f>'Autoévaluation client'!A562</f>
        <v>9.9.8.</v>
      </c>
      <c r="B548" s="6" t="str">
        <f>'Autoévaluation client'!C562</f>
        <v>Des mesures sont-elles prises pour protéger des groupes de personnes particuliers (p. ex. jeunes, femmes enceintes, personnes handicapées) ?</v>
      </c>
      <c r="C548" s="38">
        <f>IF(ISBLANK('Autoévaluation client'!D562),0,1)</f>
        <v>0</v>
      </c>
      <c r="D548" s="165" t="str">
        <f>IF(AND('Autoévaluation client'!D562="",'Autoévaluation client'!E562=""),"*","")</f>
        <v>*</v>
      </c>
      <c r="E548" s="39" t="str">
        <f>IF(ISBLANK('Autoévaluation client'!F562),"",'Autoévaluation client'!F562)</f>
        <v/>
      </c>
      <c r="F548" s="118"/>
      <c r="G548" s="118"/>
      <c r="H548" s="118"/>
      <c r="I548" s="118"/>
      <c r="J548" s="118"/>
      <c r="K548" s="118"/>
      <c r="L548" s="112"/>
      <c r="M548" s="37">
        <v>2</v>
      </c>
      <c r="N548" s="27"/>
      <c r="O548" s="28">
        <f>C548*M548</f>
        <v>0</v>
      </c>
      <c r="P548" s="43">
        <f t="shared" ref="P548:P549" si="95">L548*M548</f>
        <v>0</v>
      </c>
      <c r="Q548" s="36"/>
      <c r="R548" s="27"/>
    </row>
    <row r="549" spans="1:18" ht="52.8" x14ac:dyDescent="0.3">
      <c r="A549" s="3" t="str">
        <f>'Autoévaluation client'!A563</f>
        <v>9.9.9.</v>
      </c>
      <c r="B549" s="6" t="str">
        <f>'Autoévaluation client'!C563</f>
        <v>A-t-on pris des mesures de protection contre les maladies transmissibles (p. ex. « Plan de pandémie, Manuel pour la préparation des entreprises » élaboré par l’OFSP, dispositions cantonales ou spécifiques à la branche) ?</v>
      </c>
      <c r="C549" s="38">
        <f>IF(ISBLANK('Autoévaluation client'!D563),0,1)</f>
        <v>0</v>
      </c>
      <c r="D549" s="165" t="str">
        <f>IF(AND('Autoévaluation client'!D563="",'Autoévaluation client'!E563=""),"*","")</f>
        <v>*</v>
      </c>
      <c r="E549" s="39" t="str">
        <f>IF(ISBLANK('Autoévaluation client'!F563),"",'Autoévaluation client'!F563)</f>
        <v/>
      </c>
      <c r="F549" s="118"/>
      <c r="G549" s="118"/>
      <c r="H549" s="118"/>
      <c r="I549" s="118"/>
      <c r="J549" s="118"/>
      <c r="K549" s="118"/>
      <c r="L549" s="112"/>
      <c r="M549" s="37">
        <v>1</v>
      </c>
      <c r="N549" s="27"/>
      <c r="O549" s="28">
        <f>C549*M549</f>
        <v>0</v>
      </c>
      <c r="P549" s="43">
        <f t="shared" si="95"/>
        <v>0</v>
      </c>
      <c r="Q549" s="36"/>
      <c r="R549" s="27"/>
    </row>
    <row r="550" spans="1:18" ht="26.4" x14ac:dyDescent="0.3">
      <c r="A550" s="20" t="str">
        <f>'Autoévaluation client'!A564</f>
        <v>9.10.</v>
      </c>
      <c r="B550" s="20" t="str">
        <f>'Autoévaluation client'!B564</f>
        <v>Aménagement des postes de travail et des moyens d'exploitation</v>
      </c>
      <c r="C550" s="21">
        <f>O550/N550</f>
        <v>0</v>
      </c>
      <c r="D550" s="23" t="str">
        <f>IF(ISBLANK('Autoévaluation client'!E564),"",'Autoévaluation client'!E564)</f>
        <v/>
      </c>
      <c r="E550" s="23" t="str">
        <f>IF(ISBLANK('Autoévaluation client'!F564),"",'Autoévaluation client'!F564)</f>
        <v/>
      </c>
      <c r="F550" s="115"/>
      <c r="G550" s="115"/>
      <c r="H550" s="115"/>
      <c r="I550" s="115"/>
      <c r="J550" s="115"/>
      <c r="K550" s="115"/>
      <c r="L550" s="50">
        <f>P550/N550</f>
        <v>0</v>
      </c>
      <c r="M550" s="22">
        <v>3</v>
      </c>
      <c r="N550" s="22">
        <f>SUM(M551:M555)</f>
        <v>12</v>
      </c>
      <c r="O550" s="24">
        <f>SUM(O551:O555)</f>
        <v>0</v>
      </c>
      <c r="P550" s="24">
        <f>SUM(P551:P555)</f>
        <v>0</v>
      </c>
      <c r="Q550" s="52">
        <f>O550/$N550*$M550</f>
        <v>0</v>
      </c>
      <c r="R550" s="52">
        <f>P550/$N550*$M550</f>
        <v>0</v>
      </c>
    </row>
    <row r="551" spans="1:18" ht="39.6" x14ac:dyDescent="0.3">
      <c r="A551" s="3" t="str">
        <f>'Autoévaluation client'!A565</f>
        <v>9.10.1.</v>
      </c>
      <c r="B551" s="6" t="str">
        <f>'Autoévaluation client'!C565</f>
        <v>Lors de la planification de nouveaux moyens, postes et procédures de travail, tenez-vous compte des principes en matière d'ergonomie?</v>
      </c>
      <c r="C551" s="38">
        <f>IF(ISBLANK('Autoévaluation client'!D565),0,1)</f>
        <v>0</v>
      </c>
      <c r="D551" s="165" t="str">
        <f>IF(AND('Autoévaluation client'!D565="",'Autoévaluation client'!E565=""),"*","")</f>
        <v>*</v>
      </c>
      <c r="E551" s="39" t="str">
        <f>IF(ISBLANK('Autoévaluation client'!F565),"",'Autoévaluation client'!F565)</f>
        <v/>
      </c>
      <c r="F551" s="118"/>
      <c r="G551" s="118"/>
      <c r="H551" s="118"/>
      <c r="I551" s="118"/>
      <c r="J551" s="118"/>
      <c r="K551" s="118"/>
      <c r="L551" s="112"/>
      <c r="M551" s="37">
        <v>3</v>
      </c>
      <c r="N551" s="27"/>
      <c r="O551" s="28">
        <f>C551*M551</f>
        <v>0</v>
      </c>
      <c r="P551" s="43">
        <f t="shared" ref="P551:P555" si="96">L551*M551</f>
        <v>0</v>
      </c>
      <c r="Q551" s="36"/>
      <c r="R551" s="27"/>
    </row>
    <row r="552" spans="1:18" ht="26.4" x14ac:dyDescent="0.3">
      <c r="A552" s="3" t="str">
        <f>'Autoévaluation client'!A566</f>
        <v>9.10.2.</v>
      </c>
      <c r="B552" s="6" t="str">
        <f>'Autoévaluation client'!C566</f>
        <v>L'aménagement ergonomique des postes de travail est-il régulièrement analysé?</v>
      </c>
      <c r="C552" s="38">
        <f>IF(ISBLANK('Autoévaluation client'!D566),0,1)</f>
        <v>0</v>
      </c>
      <c r="D552" s="165" t="str">
        <f>IF(AND('Autoévaluation client'!D566="",'Autoévaluation client'!E566=""),"*","")</f>
        <v>*</v>
      </c>
      <c r="E552" s="39" t="str">
        <f>IF(ISBLANK('Autoévaluation client'!F566),"",'Autoévaluation client'!F566)</f>
        <v/>
      </c>
      <c r="F552" s="120"/>
      <c r="G552" s="120"/>
      <c r="H552" s="120"/>
      <c r="I552" s="120"/>
      <c r="J552" s="120"/>
      <c r="K552" s="120"/>
      <c r="L552" s="112"/>
      <c r="M552" s="37">
        <v>3</v>
      </c>
      <c r="N552" s="27"/>
      <c r="O552" s="28">
        <f>C552*M552</f>
        <v>0</v>
      </c>
      <c r="P552" s="43">
        <f t="shared" si="96"/>
        <v>0</v>
      </c>
      <c r="Q552" s="36"/>
      <c r="R552" s="27"/>
    </row>
    <row r="553" spans="1:18" ht="26.4" x14ac:dyDescent="0.3">
      <c r="A553" s="3" t="str">
        <f>'Autoévaluation client'!A567</f>
        <v>9.10.3.</v>
      </c>
      <c r="B553" s="6" t="str">
        <f>'Autoévaluation client'!C567</f>
        <v>Vos planificateurs du travail et des moyens d'exploitation disposent-ils de connaissances en matière d'ergonomie?</v>
      </c>
      <c r="C553" s="38">
        <f>IF(ISBLANK('Autoévaluation client'!D567),0,1)</f>
        <v>0</v>
      </c>
      <c r="D553" s="165" t="str">
        <f>IF(AND('Autoévaluation client'!D567="",'Autoévaluation client'!E567=""),"*","")</f>
        <v>*</v>
      </c>
      <c r="E553" s="39" t="str">
        <f>IF(ISBLANK('Autoévaluation client'!F567),"",'Autoévaluation client'!F567)</f>
        <v/>
      </c>
      <c r="F553" s="120"/>
      <c r="G553" s="120"/>
      <c r="H553" s="120"/>
      <c r="I553" s="120"/>
      <c r="J553" s="120"/>
      <c r="K553" s="120"/>
      <c r="L553" s="112"/>
      <c r="M553" s="37">
        <v>1</v>
      </c>
      <c r="N553" s="27"/>
      <c r="O553" s="28">
        <f>C553*M553</f>
        <v>0</v>
      </c>
      <c r="P553" s="43">
        <f t="shared" si="96"/>
        <v>0</v>
      </c>
      <c r="Q553" s="36"/>
      <c r="R553" s="36"/>
    </row>
    <row r="554" spans="1:18" ht="39.6" x14ac:dyDescent="0.3">
      <c r="A554" s="3" t="str">
        <f>'Autoévaluation client'!A568</f>
        <v>9.10.4.</v>
      </c>
      <c r="B554" s="6" t="str">
        <f>'Autoévaluation client'!C568</f>
        <v>Consultez-vous d'autres organes internes ou externes lors de questions et de problèmes liés à l'ergonomie? Si oui, lesquels?</v>
      </c>
      <c r="C554" s="38">
        <f>IF(ISBLANK('Autoévaluation client'!D568),0,1)</f>
        <v>0</v>
      </c>
      <c r="D554" s="165" t="str">
        <f>IF(AND('Autoévaluation client'!D568="",'Autoévaluation client'!E568=""),"*","")</f>
        <v>*</v>
      </c>
      <c r="E554" s="39" t="str">
        <f>IF(ISBLANK('Autoévaluation client'!F568),"",'Autoévaluation client'!F568)</f>
        <v/>
      </c>
      <c r="F554" s="118"/>
      <c r="G554" s="118"/>
      <c r="H554" s="118"/>
      <c r="I554" s="118"/>
      <c r="J554" s="118"/>
      <c r="K554" s="118"/>
      <c r="L554" s="112"/>
      <c r="M554" s="37">
        <v>3</v>
      </c>
      <c r="N554" s="27"/>
      <c r="O554" s="28">
        <f>C554*M554</f>
        <v>0</v>
      </c>
      <c r="P554" s="43">
        <f t="shared" si="96"/>
        <v>0</v>
      </c>
      <c r="Q554" s="36"/>
      <c r="R554" s="27"/>
    </row>
    <row r="555" spans="1:18" ht="39.6" x14ac:dyDescent="0.3">
      <c r="A555" s="3" t="str">
        <f>'Autoévaluation client'!A569</f>
        <v>9.10.5.</v>
      </c>
      <c r="B555" s="6" t="str">
        <f>'Autoévaluation client'!C569</f>
        <v>Les critères et les exigences en matière d'ergonomie font-ils partie intégrante de vos contrats de vente et de vos commandes?</v>
      </c>
      <c r="C555" s="38">
        <f>IF(ISBLANK('Autoévaluation client'!D569),0,1)</f>
        <v>0</v>
      </c>
      <c r="D555" s="165" t="str">
        <f>IF(AND('Autoévaluation client'!D569="",'Autoévaluation client'!E569=""),"*","")</f>
        <v>*</v>
      </c>
      <c r="E555" s="39" t="str">
        <f>IF(ISBLANK('Autoévaluation client'!F569),"",'Autoévaluation client'!F569)</f>
        <v/>
      </c>
      <c r="F555" s="118"/>
      <c r="G555" s="118"/>
      <c r="H555" s="118"/>
      <c r="I555" s="118"/>
      <c r="J555" s="118"/>
      <c r="K555" s="118"/>
      <c r="L555" s="112"/>
      <c r="M555" s="37">
        <v>2</v>
      </c>
      <c r="N555" s="27"/>
      <c r="O555" s="28">
        <f>C555*M555</f>
        <v>0</v>
      </c>
      <c r="P555" s="43">
        <f t="shared" si="96"/>
        <v>0</v>
      </c>
      <c r="Q555" s="36"/>
      <c r="R555" s="27"/>
    </row>
    <row r="556" spans="1:18" x14ac:dyDescent="0.3">
      <c r="A556" s="34" t="str">
        <f>'Autoévaluation client'!A571</f>
        <v>10.</v>
      </c>
      <c r="B556" s="7" t="str">
        <f>'Autoévaluation client'!B571</f>
        <v>Contrôle, audit</v>
      </c>
      <c r="C556" s="30">
        <f>O556/N556</f>
        <v>0</v>
      </c>
      <c r="D556" s="18"/>
      <c r="E556" s="18"/>
      <c r="F556" s="18"/>
      <c r="G556" s="18"/>
      <c r="H556" s="18"/>
      <c r="I556" s="18"/>
      <c r="J556" s="18"/>
      <c r="K556" s="18"/>
      <c r="L556" s="114">
        <f>P556/N556</f>
        <v>0</v>
      </c>
      <c r="M556" s="5"/>
      <c r="N556" s="5">
        <f>SUM(M557,M571,M582,)</f>
        <v>6</v>
      </c>
      <c r="O556" s="48">
        <f>SUM(Q557:Q586)</f>
        <v>0</v>
      </c>
      <c r="P556" s="48">
        <f>SUM(R557:R586)</f>
        <v>0</v>
      </c>
      <c r="Q556" s="35"/>
      <c r="R556" s="35"/>
    </row>
    <row r="557" spans="1:18" x14ac:dyDescent="0.3">
      <c r="A557" s="20" t="str">
        <f>'Autoévaluation client'!A573</f>
        <v>10.1.</v>
      </c>
      <c r="B557" s="20" t="str">
        <f>'Autoévaluation client'!B573</f>
        <v>Audits de sécurité</v>
      </c>
      <c r="C557" s="21">
        <f>O557/N557</f>
        <v>0</v>
      </c>
      <c r="D557" s="23"/>
      <c r="E557" s="23"/>
      <c r="F557" s="115"/>
      <c r="G557" s="115"/>
      <c r="H557" s="115"/>
      <c r="I557" s="115"/>
      <c r="J557" s="115"/>
      <c r="K557" s="115"/>
      <c r="L557" s="50">
        <f>P557/N557</f>
        <v>0</v>
      </c>
      <c r="M557" s="22">
        <v>3</v>
      </c>
      <c r="N557" s="22">
        <f>SUM(M558:M570)</f>
        <v>18</v>
      </c>
      <c r="O557" s="24">
        <f>SUM(O558:O570)</f>
        <v>0</v>
      </c>
      <c r="P557" s="24">
        <f>SUM(P558:P570)</f>
        <v>0</v>
      </c>
      <c r="Q557" s="52">
        <f>O557/$N557*$M557</f>
        <v>0</v>
      </c>
      <c r="R557" s="52">
        <f>P557/$N557*$M557</f>
        <v>0</v>
      </c>
    </row>
    <row r="558" spans="1:18" ht="39.6" x14ac:dyDescent="0.3">
      <c r="A558" s="3" t="str">
        <f>'Autoévaluation client'!A574</f>
        <v>10.1.1.</v>
      </c>
      <c r="B558" s="6" t="str">
        <f>'Autoévaluation client'!C574</f>
        <v>Votre entreprise dispose-t-elle d'un concept de contrôle ou de surveillance en matière de sécurité et de santé du personnel?</v>
      </c>
      <c r="C558" s="38">
        <f>IF(ISBLANK('Autoévaluation client'!D574),0,1)</f>
        <v>0</v>
      </c>
      <c r="D558" s="165" t="str">
        <f>IF(AND('Autoévaluation client'!D574="",'Autoévaluation client'!E574=""),"*","")</f>
        <v>*</v>
      </c>
      <c r="E558" s="39" t="str">
        <f>IF(ISBLANK('Autoévaluation client'!F574),"",'Autoévaluation client'!F574)</f>
        <v/>
      </c>
      <c r="F558" s="120"/>
      <c r="G558" s="120"/>
      <c r="H558" s="120"/>
      <c r="I558" s="120"/>
      <c r="J558" s="120"/>
      <c r="K558" s="120"/>
      <c r="L558" s="112"/>
      <c r="M558" s="37">
        <v>2</v>
      </c>
      <c r="N558" s="27">
        <v>13</v>
      </c>
      <c r="O558" s="28">
        <f t="shared" ref="O558:O570" si="97">C558*M558</f>
        <v>0</v>
      </c>
      <c r="P558" s="43">
        <f t="shared" ref="P558:P570" si="98">L558*M558</f>
        <v>0</v>
      </c>
      <c r="Q558" s="36"/>
      <c r="R558" s="36"/>
    </row>
    <row r="559" spans="1:18" ht="26.4" x14ac:dyDescent="0.3">
      <c r="A559" s="3" t="str">
        <f>'Autoévaluation client'!A575</f>
        <v>10.1.2.</v>
      </c>
      <c r="B559" s="6" t="str">
        <f>'Autoévaluation client'!C575</f>
        <v>Des audits de sécurité sont-ils régulièrement réalisés dans votre entreprise? Si oui, par qui?</v>
      </c>
      <c r="C559" s="38">
        <f>IF(ISBLANK('Autoévaluation client'!D575),0,1)</f>
        <v>0</v>
      </c>
      <c r="D559" s="165" t="str">
        <f>IF(AND('Autoévaluation client'!D575="",'Autoévaluation client'!E575=""),"*","")</f>
        <v>*</v>
      </c>
      <c r="E559" s="39" t="str">
        <f>IF(ISBLANK('Autoévaluation client'!F575),"",'Autoévaluation client'!F575)</f>
        <v/>
      </c>
      <c r="F559" s="120"/>
      <c r="G559" s="120"/>
      <c r="H559" s="120"/>
      <c r="I559" s="120"/>
      <c r="J559" s="120"/>
      <c r="K559" s="120"/>
      <c r="L559" s="112"/>
      <c r="M559" s="37">
        <v>3</v>
      </c>
      <c r="N559" s="27"/>
      <c r="O559" s="28">
        <f t="shared" si="97"/>
        <v>0</v>
      </c>
      <c r="P559" s="43">
        <f t="shared" si="98"/>
        <v>0</v>
      </c>
      <c r="Q559" s="36"/>
      <c r="R559" s="27"/>
    </row>
    <row r="560" spans="1:18" ht="26.4" x14ac:dyDescent="0.3">
      <c r="A560" s="3" t="str">
        <f>'Autoévaluation client'!A576</f>
        <v>10.1.3.a</v>
      </c>
      <c r="B560" s="6" t="str">
        <f>'Autoévaluation client'!C576</f>
        <v>Quelle est la fréquence des audits de sécurité:
Hebdomadaire?</v>
      </c>
      <c r="C560" s="38">
        <f>IF(ISBLANK('Autoévaluation client'!D576),0,1)</f>
        <v>0</v>
      </c>
      <c r="D560" s="165" t="str">
        <f>IF(AND('Autoévaluation client'!D576="",'Autoévaluation client'!E576=""),"*","")</f>
        <v>*</v>
      </c>
      <c r="E560" s="39" t="str">
        <f>IF(ISBLANK('Autoévaluation client'!F576),"",'Autoévaluation client'!F576)</f>
        <v/>
      </c>
      <c r="F560" s="118"/>
      <c r="G560" s="118"/>
      <c r="H560" s="118"/>
      <c r="I560" s="118"/>
      <c r="J560" s="118"/>
      <c r="K560" s="118"/>
      <c r="L560" s="112"/>
      <c r="M560" s="37">
        <v>0</v>
      </c>
      <c r="N560" s="27"/>
      <c r="O560" s="28">
        <f t="shared" si="97"/>
        <v>0</v>
      </c>
      <c r="P560" s="43">
        <f t="shared" si="98"/>
        <v>0</v>
      </c>
      <c r="Q560" s="36"/>
      <c r="R560" s="27"/>
    </row>
    <row r="561" spans="1:18" x14ac:dyDescent="0.3">
      <c r="A561" s="3" t="str">
        <f>'Autoévaluation client'!A577</f>
        <v>10.1.3.b</v>
      </c>
      <c r="B561" s="6" t="str">
        <f>'Autoévaluation client'!C577</f>
        <v>Mensuel?</v>
      </c>
      <c r="C561" s="38">
        <f>IF(ISBLANK('Autoévaluation client'!D577),0,1)</f>
        <v>0</v>
      </c>
      <c r="D561" s="165" t="str">
        <f>IF(AND('Autoévaluation client'!D577="",'Autoévaluation client'!E577=""),"*","")</f>
        <v>*</v>
      </c>
      <c r="E561" s="39" t="str">
        <f>IF(ISBLANK('Autoévaluation client'!F577),"",'Autoévaluation client'!F577)</f>
        <v/>
      </c>
      <c r="F561" s="118"/>
      <c r="G561" s="118"/>
      <c r="H561" s="118"/>
      <c r="I561" s="118"/>
      <c r="J561" s="118"/>
      <c r="K561" s="118"/>
      <c r="L561" s="112"/>
      <c r="M561" s="37">
        <v>0</v>
      </c>
      <c r="N561" s="27"/>
      <c r="O561" s="28">
        <f t="shared" si="97"/>
        <v>0</v>
      </c>
      <c r="P561" s="43">
        <f t="shared" si="98"/>
        <v>0</v>
      </c>
      <c r="Q561" s="36"/>
      <c r="R561" s="27"/>
    </row>
    <row r="562" spans="1:18" x14ac:dyDescent="0.3">
      <c r="A562" s="3" t="str">
        <f>'Autoévaluation client'!A578</f>
        <v>10.1.3.c</v>
      </c>
      <c r="B562" s="6" t="str">
        <f>'Autoévaluation client'!C578</f>
        <v>Bi-annuel?</v>
      </c>
      <c r="C562" s="38">
        <f>IF(ISBLANK('Autoévaluation client'!D578),0,1)</f>
        <v>0</v>
      </c>
      <c r="D562" s="165" t="str">
        <f>IF(AND('Autoévaluation client'!D578="",'Autoévaluation client'!E578=""),"*","")</f>
        <v>*</v>
      </c>
      <c r="E562" s="39" t="str">
        <f>IF(ISBLANK('Autoévaluation client'!F578),"",'Autoévaluation client'!F578)</f>
        <v/>
      </c>
      <c r="F562" s="118"/>
      <c r="G562" s="118"/>
      <c r="H562" s="118"/>
      <c r="I562" s="118"/>
      <c r="J562" s="118"/>
      <c r="K562" s="118"/>
      <c r="L562" s="112"/>
      <c r="M562" s="37">
        <v>0</v>
      </c>
      <c r="N562" s="27"/>
      <c r="O562" s="28">
        <f t="shared" si="97"/>
        <v>0</v>
      </c>
      <c r="P562" s="43">
        <f t="shared" si="98"/>
        <v>0</v>
      </c>
      <c r="Q562" s="36"/>
      <c r="R562" s="27"/>
    </row>
    <row r="563" spans="1:18" x14ac:dyDescent="0.3">
      <c r="A563" s="3" t="str">
        <f>'Autoévaluation client'!A579</f>
        <v>10.1.3.d</v>
      </c>
      <c r="B563" s="6" t="str">
        <f>'Autoévaluation client'!C579</f>
        <v>Annuel</v>
      </c>
      <c r="C563" s="38">
        <f>IF(ISBLANK('Autoévaluation client'!D579),0,1)</f>
        <v>0</v>
      </c>
      <c r="D563" s="165" t="str">
        <f>IF(AND('Autoévaluation client'!D579="",'Autoévaluation client'!E579=""),"*","")</f>
        <v>*</v>
      </c>
      <c r="E563" s="39" t="str">
        <f>IF(ISBLANK('Autoévaluation client'!F579),"",'Autoévaluation client'!F579)</f>
        <v/>
      </c>
      <c r="F563" s="118"/>
      <c r="G563" s="118"/>
      <c r="H563" s="118"/>
      <c r="I563" s="118"/>
      <c r="J563" s="118"/>
      <c r="K563" s="118"/>
      <c r="L563" s="112"/>
      <c r="M563" s="37">
        <v>0</v>
      </c>
      <c r="N563" s="27"/>
      <c r="O563" s="28">
        <f t="shared" si="97"/>
        <v>0</v>
      </c>
      <c r="P563" s="43">
        <f t="shared" si="98"/>
        <v>0</v>
      </c>
      <c r="Q563" s="36"/>
      <c r="R563" s="27"/>
    </row>
    <row r="564" spans="1:18" x14ac:dyDescent="0.3">
      <c r="A564" s="3" t="str">
        <f>'Autoévaluation client'!A580</f>
        <v>10.1.3.e</v>
      </c>
      <c r="B564" s="6" t="str">
        <f>'Autoévaluation client'!C580</f>
        <v>Autre fréquence? Si oui, à quelle fréquence?</v>
      </c>
      <c r="C564" s="38">
        <f>IF(ISBLANK('Autoévaluation client'!D580),0,1)</f>
        <v>0</v>
      </c>
      <c r="D564" s="165" t="str">
        <f>IF(AND('Autoévaluation client'!D580="",'Autoévaluation client'!E580=""),"*","")</f>
        <v>*</v>
      </c>
      <c r="E564" s="39" t="str">
        <f>IF(ISBLANK('Autoévaluation client'!F580),"",'Autoévaluation client'!F580)</f>
        <v/>
      </c>
      <c r="F564" s="118"/>
      <c r="G564" s="118"/>
      <c r="H564" s="118"/>
      <c r="I564" s="118"/>
      <c r="J564" s="118"/>
      <c r="K564" s="118"/>
      <c r="L564" s="112"/>
      <c r="M564" s="37">
        <v>0</v>
      </c>
      <c r="N564" s="27"/>
      <c r="O564" s="28">
        <f t="shared" si="97"/>
        <v>0</v>
      </c>
      <c r="P564" s="43">
        <f t="shared" si="98"/>
        <v>0</v>
      </c>
      <c r="Q564" s="36"/>
      <c r="R564" s="27"/>
    </row>
    <row r="565" spans="1:18" ht="26.4" x14ac:dyDescent="0.3">
      <c r="A565" s="3" t="str">
        <f>'Autoévaluation client'!A581</f>
        <v>10.1.4.</v>
      </c>
      <c r="B565" s="6" t="str">
        <f>'Autoévaluation client'!C581</f>
        <v>Le contenu et le déroulement des audits de sécurité sont-ils planifiés au préalable?</v>
      </c>
      <c r="C565" s="38">
        <f>IF(ISBLANK('Autoévaluation client'!D581),0,1)</f>
        <v>0</v>
      </c>
      <c r="D565" s="165" t="str">
        <f>IF(AND('Autoévaluation client'!D581="",'Autoévaluation client'!E581=""),"*","")</f>
        <v>*</v>
      </c>
      <c r="E565" s="39" t="str">
        <f>IF(ISBLANK('Autoévaluation client'!F581),"",'Autoévaluation client'!F581)</f>
        <v/>
      </c>
      <c r="F565" s="118"/>
      <c r="G565" s="118"/>
      <c r="H565" s="118"/>
      <c r="I565" s="118"/>
      <c r="J565" s="118"/>
      <c r="K565" s="118"/>
      <c r="L565" s="112"/>
      <c r="M565" s="37">
        <v>2</v>
      </c>
      <c r="N565" s="27"/>
      <c r="O565" s="28">
        <f t="shared" si="97"/>
        <v>0</v>
      </c>
      <c r="P565" s="43">
        <f t="shared" si="98"/>
        <v>0</v>
      </c>
      <c r="Q565" s="36"/>
      <c r="R565" s="27"/>
    </row>
    <row r="566" spans="1:18" ht="26.4" x14ac:dyDescent="0.3">
      <c r="A566" s="3" t="str">
        <f>'Autoévaluation client'!A582</f>
        <v>10.1.5.</v>
      </c>
      <c r="B566" s="6" t="str">
        <f>'Autoévaluation client'!C582</f>
        <v>Les supérieurs bénéficient-ils d'une formation en matière de réalisation et d'évaluation d'audits de sécurité?</v>
      </c>
      <c r="C566" s="38">
        <f>IF(ISBLANK('Autoévaluation client'!D582),0,1)</f>
        <v>0</v>
      </c>
      <c r="D566" s="165" t="str">
        <f>IF(AND('Autoévaluation client'!D582="",'Autoévaluation client'!E582=""),"*","")</f>
        <v>*</v>
      </c>
      <c r="E566" s="39" t="str">
        <f>IF(ISBLANK('Autoévaluation client'!F582),"",'Autoévaluation client'!F582)</f>
        <v/>
      </c>
      <c r="F566" s="118"/>
      <c r="G566" s="118"/>
      <c r="H566" s="118"/>
      <c r="I566" s="118"/>
      <c r="J566" s="118"/>
      <c r="K566" s="118"/>
      <c r="L566" s="112"/>
      <c r="M566" s="37">
        <v>2</v>
      </c>
      <c r="N566" s="27"/>
      <c r="O566" s="28">
        <f t="shared" si="97"/>
        <v>0</v>
      </c>
      <c r="P566" s="43">
        <f t="shared" si="98"/>
        <v>0</v>
      </c>
      <c r="Q566" s="36"/>
      <c r="R566" s="27"/>
    </row>
    <row r="567" spans="1:18" ht="39.6" x14ac:dyDescent="0.3">
      <c r="A567" s="3" t="str">
        <f>'Autoévaluation client'!A583</f>
        <v>10.1.6.</v>
      </c>
      <c r="B567" s="6" t="str">
        <f>'Autoévaluation client'!C583</f>
        <v>Utilisez-vous des procédures d'audits spécifiquement adaptées à la structure de risque et à la situation de votre entreprise?</v>
      </c>
      <c r="C567" s="38">
        <f>IF(ISBLANK('Autoévaluation client'!D583),0,1)</f>
        <v>0</v>
      </c>
      <c r="D567" s="165" t="str">
        <f>IF(AND('Autoévaluation client'!D583="",'Autoévaluation client'!E583=""),"*","")</f>
        <v>*</v>
      </c>
      <c r="E567" s="39" t="str">
        <f>IF(ISBLANK('Autoévaluation client'!F583),"",'Autoévaluation client'!F583)</f>
        <v/>
      </c>
      <c r="F567" s="118"/>
      <c r="G567" s="118"/>
      <c r="H567" s="118"/>
      <c r="I567" s="118"/>
      <c r="J567" s="118"/>
      <c r="K567" s="118"/>
      <c r="L567" s="112"/>
      <c r="M567" s="37">
        <v>1</v>
      </c>
      <c r="N567" s="27"/>
      <c r="O567" s="28">
        <f t="shared" si="97"/>
        <v>0</v>
      </c>
      <c r="P567" s="43">
        <f t="shared" si="98"/>
        <v>0</v>
      </c>
      <c r="Q567" s="36"/>
      <c r="R567" s="27"/>
    </row>
    <row r="568" spans="1:18" ht="39.6" x14ac:dyDescent="0.3">
      <c r="A568" s="3" t="str">
        <f>'Autoévaluation client'!A584</f>
        <v>10.1.7.</v>
      </c>
      <c r="B568" s="6" t="str">
        <f>'Autoévaluation client'!C584</f>
        <v>Lors de la réalisation d'audits de sécurité, utilisez-vous certains moyens auxiliaires tels que des listes de mots-clés, des listes de contrôle ou des formulaires?</v>
      </c>
      <c r="C568" s="38">
        <f>IF(ISBLANK('Autoévaluation client'!D584),0,1)</f>
        <v>0</v>
      </c>
      <c r="D568" s="165" t="str">
        <f>IF(AND('Autoévaluation client'!D584="",'Autoévaluation client'!E584=""),"*","")</f>
        <v>*</v>
      </c>
      <c r="E568" s="39" t="str">
        <f>IF(ISBLANK('Autoévaluation client'!F584),"",'Autoévaluation client'!F584)</f>
        <v/>
      </c>
      <c r="F568" s="118"/>
      <c r="G568" s="118"/>
      <c r="H568" s="118"/>
      <c r="I568" s="118"/>
      <c r="J568" s="118"/>
      <c r="K568" s="118"/>
      <c r="L568" s="112"/>
      <c r="M568" s="37">
        <v>2</v>
      </c>
      <c r="N568" s="27"/>
      <c r="O568" s="28">
        <f t="shared" si="97"/>
        <v>0</v>
      </c>
      <c r="P568" s="43">
        <f t="shared" si="98"/>
        <v>0</v>
      </c>
      <c r="Q568" s="36"/>
      <c r="R568" s="27"/>
    </row>
    <row r="569" spans="1:18" ht="26.4" x14ac:dyDescent="0.3">
      <c r="A569" s="3" t="str">
        <f>'Autoévaluation client'!A585</f>
        <v>10.1.8.</v>
      </c>
      <c r="B569" s="6" t="str">
        <f>'Autoévaluation client'!C585</f>
        <v>Les constatations faites et les mesures prises sont-elles consignées par écrit?</v>
      </c>
      <c r="C569" s="38">
        <f>IF(ISBLANK('Autoévaluation client'!D585),0,1)</f>
        <v>0</v>
      </c>
      <c r="D569" s="165" t="str">
        <f>IF(AND('Autoévaluation client'!D585="",'Autoévaluation client'!E585=""),"*","")</f>
        <v>*</v>
      </c>
      <c r="E569" s="39" t="str">
        <f>IF(ISBLANK('Autoévaluation client'!F585),"",'Autoévaluation client'!F585)</f>
        <v/>
      </c>
      <c r="F569" s="118"/>
      <c r="G569" s="118"/>
      <c r="H569" s="118"/>
      <c r="I569" s="118"/>
      <c r="J569" s="118"/>
      <c r="K569" s="118"/>
      <c r="L569" s="112"/>
      <c r="M569" s="37">
        <v>3</v>
      </c>
      <c r="N569" s="27"/>
      <c r="O569" s="28">
        <f t="shared" si="97"/>
        <v>0</v>
      </c>
      <c r="P569" s="43">
        <f t="shared" si="98"/>
        <v>0</v>
      </c>
      <c r="Q569" s="36"/>
      <c r="R569" s="27"/>
    </row>
    <row r="570" spans="1:18" ht="26.4" x14ac:dyDescent="0.3">
      <c r="A570" s="3" t="str">
        <f>'Autoévaluation client'!A586</f>
        <v>10.1.9.</v>
      </c>
      <c r="B570" s="6" t="str">
        <f>'Autoévaluation client'!C586</f>
        <v>Les constatations sont pris en considération dans le système de sécurité de l'entreprise?</v>
      </c>
      <c r="C570" s="38">
        <f>IF(ISBLANK('Autoévaluation client'!D586),0,1)</f>
        <v>0</v>
      </c>
      <c r="D570" s="165" t="str">
        <f>IF(AND('Autoévaluation client'!D586="",'Autoévaluation client'!E586=""),"*","")</f>
        <v>*</v>
      </c>
      <c r="E570" s="39" t="str">
        <f>IF(ISBLANK('Autoévaluation client'!F586),"",'Autoévaluation client'!F586)</f>
        <v/>
      </c>
      <c r="F570" s="118"/>
      <c r="G570" s="118"/>
      <c r="H570" s="118"/>
      <c r="I570" s="118"/>
      <c r="J570" s="118"/>
      <c r="K570" s="118"/>
      <c r="L570" s="112"/>
      <c r="M570" s="37">
        <v>3</v>
      </c>
      <c r="N570" s="27"/>
      <c r="O570" s="28">
        <f t="shared" si="97"/>
        <v>0</v>
      </c>
      <c r="P570" s="43">
        <f t="shared" si="98"/>
        <v>0</v>
      </c>
      <c r="Q570" s="36"/>
      <c r="R570" s="27"/>
    </row>
    <row r="571" spans="1:18" x14ac:dyDescent="0.3">
      <c r="A571" s="20" t="str">
        <f>'Autoévaluation client'!A587</f>
        <v>10.2.</v>
      </c>
      <c r="B571" s="20" t="str">
        <f>'Autoévaluation client'!B587</f>
        <v>Statistique des événements</v>
      </c>
      <c r="C571" s="21">
        <f>O571/N571</f>
        <v>0</v>
      </c>
      <c r="D571" s="23" t="str">
        <f>IF(ISBLANK('Autoévaluation client'!E587),"",'Autoévaluation client'!E587)</f>
        <v/>
      </c>
      <c r="E571" s="23" t="str">
        <f>IF(ISBLANK('Autoévaluation client'!F587),"",'Autoévaluation client'!F587)</f>
        <v/>
      </c>
      <c r="F571" s="115"/>
      <c r="G571" s="115"/>
      <c r="H571" s="115"/>
      <c r="I571" s="115"/>
      <c r="J571" s="115"/>
      <c r="K571" s="115"/>
      <c r="L571" s="50">
        <f>P571/N571</f>
        <v>0</v>
      </c>
      <c r="M571" s="22">
        <v>2</v>
      </c>
      <c r="N571" s="22">
        <f>SUM(M572:M581)</f>
        <v>21</v>
      </c>
      <c r="O571" s="24">
        <f>SUM(O572:O581)</f>
        <v>0</v>
      </c>
      <c r="P571" s="24">
        <f>SUM(P572:P581)</f>
        <v>0</v>
      </c>
      <c r="Q571" s="52">
        <f>O571/$N571*$M571</f>
        <v>0</v>
      </c>
      <c r="R571" s="52">
        <f>P571/$N571*$M571</f>
        <v>0</v>
      </c>
    </row>
    <row r="572" spans="1:18" ht="26.4" x14ac:dyDescent="0.3">
      <c r="A572" s="3" t="str">
        <f>'Autoévaluation client'!A588</f>
        <v>10.2.1.a</v>
      </c>
      <c r="B572" s="6" t="str">
        <f>'Autoévaluation client'!C588</f>
        <v>Votre entreprise tient-elle des statistiques sur:
Les maladies et les accidents professionnels?</v>
      </c>
      <c r="C572" s="38">
        <f>IF(ISBLANK('Autoévaluation client'!D588),0,1)</f>
        <v>0</v>
      </c>
      <c r="D572" s="165" t="str">
        <f>IF(AND('Autoévaluation client'!D588="",'Autoévaluation client'!E588=""),"*","")</f>
        <v>*</v>
      </c>
      <c r="E572" s="39" t="str">
        <f>IF(ISBLANK('Autoévaluation client'!F588),"",'Autoévaluation client'!F588)</f>
        <v/>
      </c>
      <c r="F572" s="118"/>
      <c r="G572" s="118"/>
      <c r="H572" s="118"/>
      <c r="I572" s="118"/>
      <c r="J572" s="118"/>
      <c r="K572" s="118"/>
      <c r="L572" s="112"/>
      <c r="M572" s="37">
        <v>3</v>
      </c>
      <c r="N572" s="27"/>
      <c r="O572" s="28">
        <f t="shared" ref="O572:O581" si="99">C572*M572</f>
        <v>0</v>
      </c>
      <c r="P572" s="43">
        <f t="shared" ref="P572:P581" si="100">L572*M572</f>
        <v>0</v>
      </c>
      <c r="Q572" s="36"/>
      <c r="R572" s="27"/>
    </row>
    <row r="573" spans="1:18" x14ac:dyDescent="0.3">
      <c r="A573" s="3" t="str">
        <f>'Autoévaluation client'!A589</f>
        <v>10.2.1.b</v>
      </c>
      <c r="B573" s="6" t="str">
        <f>'Autoévaluation client'!C589</f>
        <v>Les accidents non professionnels?</v>
      </c>
      <c r="C573" s="38">
        <f>IF(ISBLANK('Autoévaluation client'!D589),0,1)</f>
        <v>0</v>
      </c>
      <c r="D573" s="165" t="str">
        <f>IF(AND('Autoévaluation client'!D589="",'Autoévaluation client'!E589=""),"*","")</f>
        <v>*</v>
      </c>
      <c r="E573" s="39" t="str">
        <f>IF(ISBLANK('Autoévaluation client'!F589),"",'Autoévaluation client'!F589)</f>
        <v/>
      </c>
      <c r="F573" s="118"/>
      <c r="G573" s="118"/>
      <c r="H573" s="118"/>
      <c r="I573" s="118"/>
      <c r="J573" s="118"/>
      <c r="K573" s="118"/>
      <c r="L573" s="112"/>
      <c r="M573" s="37">
        <v>3</v>
      </c>
      <c r="N573" s="27"/>
      <c r="O573" s="28">
        <f t="shared" si="99"/>
        <v>0</v>
      </c>
      <c r="P573" s="43">
        <f t="shared" si="100"/>
        <v>0</v>
      </c>
      <c r="Q573" s="36"/>
      <c r="R573" s="27"/>
    </row>
    <row r="574" spans="1:18" x14ac:dyDescent="0.3">
      <c r="A574" s="3" t="str">
        <f>'Autoévaluation client'!A590</f>
        <v>10.2.1.c</v>
      </c>
      <c r="B574" s="6" t="str">
        <f>'Autoévaluation client'!C590</f>
        <v>La maladie?</v>
      </c>
      <c r="C574" s="38">
        <f>IF(ISBLANK('Autoévaluation client'!D590),0,1)</f>
        <v>0</v>
      </c>
      <c r="D574" s="165" t="str">
        <f>IF(AND('Autoévaluation client'!D590="",'Autoévaluation client'!E590=""),"*","")</f>
        <v>*</v>
      </c>
      <c r="E574" s="39" t="str">
        <f>IF(ISBLANK('Autoévaluation client'!F590),"",'Autoévaluation client'!F590)</f>
        <v/>
      </c>
      <c r="F574" s="118"/>
      <c r="G574" s="118"/>
      <c r="H574" s="118"/>
      <c r="I574" s="118"/>
      <c r="J574" s="118"/>
      <c r="K574" s="118"/>
      <c r="L574" s="112"/>
      <c r="M574" s="37">
        <v>3</v>
      </c>
      <c r="N574" s="27"/>
      <c r="O574" s="28">
        <f t="shared" si="99"/>
        <v>0</v>
      </c>
      <c r="P574" s="43">
        <f t="shared" si="100"/>
        <v>0</v>
      </c>
      <c r="Q574" s="36"/>
      <c r="R574" s="27"/>
    </row>
    <row r="575" spans="1:18" x14ac:dyDescent="0.3">
      <c r="A575" s="3" t="str">
        <f>'Autoévaluation client'!A591</f>
        <v>10.2.1.d</v>
      </c>
      <c r="B575" s="6" t="str">
        <f>'Autoévaluation client'!C591</f>
        <v>Les dommages matériels?</v>
      </c>
      <c r="C575" s="38">
        <f>IF(ISBLANK('Autoévaluation client'!D591),0,1)</f>
        <v>0</v>
      </c>
      <c r="D575" s="165" t="str">
        <f>IF(AND('Autoévaluation client'!D591="",'Autoévaluation client'!E591=""),"*","")</f>
        <v>*</v>
      </c>
      <c r="E575" s="39" t="str">
        <f>IF(ISBLANK('Autoévaluation client'!F591),"",'Autoévaluation client'!F591)</f>
        <v/>
      </c>
      <c r="F575" s="118"/>
      <c r="G575" s="118"/>
      <c r="H575" s="118"/>
      <c r="I575" s="118"/>
      <c r="J575" s="118"/>
      <c r="K575" s="118"/>
      <c r="L575" s="112"/>
      <c r="M575" s="37">
        <v>1</v>
      </c>
      <c r="N575" s="27"/>
      <c r="O575" s="28">
        <f t="shared" si="99"/>
        <v>0</v>
      </c>
      <c r="P575" s="43">
        <f t="shared" si="100"/>
        <v>0</v>
      </c>
      <c r="Q575" s="36"/>
      <c r="R575" s="27"/>
    </row>
    <row r="576" spans="1:18" x14ac:dyDescent="0.3">
      <c r="A576" s="3" t="str">
        <f>'Autoévaluation client'!A592</f>
        <v>10.2.1.e</v>
      </c>
      <c r="B576" s="6" t="str">
        <f>'Autoévaluation client'!C592</f>
        <v>Les incidents dans l'entreprise?</v>
      </c>
      <c r="C576" s="38">
        <f>IF(ISBLANK('Autoévaluation client'!D592),0,1)</f>
        <v>0</v>
      </c>
      <c r="D576" s="165" t="str">
        <f>IF(AND('Autoévaluation client'!D592="",'Autoévaluation client'!E592=""),"*","")</f>
        <v>*</v>
      </c>
      <c r="E576" s="39" t="str">
        <f>IF(ISBLANK('Autoévaluation client'!F592),"",'Autoévaluation client'!F592)</f>
        <v/>
      </c>
      <c r="F576" s="118"/>
      <c r="G576" s="118"/>
      <c r="H576" s="118"/>
      <c r="I576" s="118"/>
      <c r="J576" s="118"/>
      <c r="K576" s="118"/>
      <c r="L576" s="112"/>
      <c r="M576" s="37">
        <v>1</v>
      </c>
      <c r="N576" s="27"/>
      <c r="O576" s="28">
        <f t="shared" si="99"/>
        <v>0</v>
      </c>
      <c r="P576" s="43">
        <f t="shared" si="100"/>
        <v>0</v>
      </c>
      <c r="Q576" s="36"/>
      <c r="R576" s="27"/>
    </row>
    <row r="577" spans="1:18" x14ac:dyDescent="0.3">
      <c r="A577" s="3" t="str">
        <f>'Autoévaluation client'!A593</f>
        <v>10.2.1.f</v>
      </c>
      <c r="B577" s="6" t="str">
        <f>'Autoévaluation client'!C593</f>
        <v>Les jours d'absence?</v>
      </c>
      <c r="C577" s="38">
        <f>IF(ISBLANK('Autoévaluation client'!D593),0,1)</f>
        <v>0</v>
      </c>
      <c r="D577" s="165" t="str">
        <f>IF(AND('Autoévaluation client'!D593="",'Autoévaluation client'!E593=""),"*","")</f>
        <v>*</v>
      </c>
      <c r="E577" s="39" t="str">
        <f>IF(ISBLANK('Autoévaluation client'!F593),"",'Autoévaluation client'!F593)</f>
        <v/>
      </c>
      <c r="F577" s="118"/>
      <c r="G577" s="118"/>
      <c r="H577" s="118"/>
      <c r="I577" s="118"/>
      <c r="J577" s="118"/>
      <c r="K577" s="118"/>
      <c r="L577" s="112"/>
      <c r="M577" s="37">
        <v>3</v>
      </c>
      <c r="N577" s="27"/>
      <c r="O577" s="28">
        <f t="shared" si="99"/>
        <v>0</v>
      </c>
      <c r="P577" s="43">
        <f t="shared" si="100"/>
        <v>0</v>
      </c>
      <c r="Q577" s="36"/>
      <c r="R577" s="27"/>
    </row>
    <row r="578" spans="1:18" x14ac:dyDescent="0.3">
      <c r="A578" s="3" t="str">
        <f>'Autoévaluation client'!A594</f>
        <v>10.2.1.g</v>
      </c>
      <c r="B578" s="6" t="str">
        <f>'Autoévaluation client'!C594</f>
        <v>Les presqu'accidents?</v>
      </c>
      <c r="C578" s="38">
        <f>IF(ISBLANK('Autoévaluation client'!D594),0,1)</f>
        <v>0</v>
      </c>
      <c r="D578" s="165" t="str">
        <f>IF(AND('Autoévaluation client'!D594="",'Autoévaluation client'!E594=""),"*","")</f>
        <v>*</v>
      </c>
      <c r="E578" s="39" t="str">
        <f>IF(ISBLANK('Autoévaluation client'!F594),"",'Autoévaluation client'!F594)</f>
        <v/>
      </c>
      <c r="F578" s="118"/>
      <c r="G578" s="118"/>
      <c r="H578" s="118"/>
      <c r="I578" s="118"/>
      <c r="J578" s="118"/>
      <c r="K578" s="118"/>
      <c r="L578" s="112"/>
      <c r="M578" s="37">
        <v>1</v>
      </c>
      <c r="N578" s="27"/>
      <c r="O578" s="28">
        <f t="shared" si="99"/>
        <v>0</v>
      </c>
      <c r="P578" s="43">
        <f t="shared" si="100"/>
        <v>0</v>
      </c>
      <c r="Q578" s="36"/>
      <c r="R578" s="27"/>
    </row>
    <row r="579" spans="1:18" ht="39.6" x14ac:dyDescent="0.3">
      <c r="A579" s="3" t="str">
        <f>'Autoévaluation client'!A595</f>
        <v>10.2.2.a</v>
      </c>
      <c r="B579" s="6" t="str">
        <f>'Autoévaluation client'!C595</f>
        <v>Tenez-vous une statistique des événements pour: 
L'entreprise entière? Si oui, qui est responsable de la mise à jour de la statistique des événements?</v>
      </c>
      <c r="C579" s="38">
        <f>IF(ISBLANK('Autoévaluation client'!D595),0,1)</f>
        <v>0</v>
      </c>
      <c r="D579" s="165" t="str">
        <f>IF(AND('Autoévaluation client'!D595="",'Autoévaluation client'!E595=""),"*","")</f>
        <v>*</v>
      </c>
      <c r="E579" s="39" t="str">
        <f>IF(ISBLANK('Autoévaluation client'!F595),"",'Autoévaluation client'!F595)</f>
        <v/>
      </c>
      <c r="F579" s="118"/>
      <c r="G579" s="118"/>
      <c r="H579" s="118"/>
      <c r="I579" s="118"/>
      <c r="J579" s="118"/>
      <c r="K579" s="118"/>
      <c r="L579" s="112"/>
      <c r="M579" s="37">
        <v>1</v>
      </c>
      <c r="N579" s="27"/>
      <c r="O579" s="28">
        <f t="shared" si="99"/>
        <v>0</v>
      </c>
      <c r="P579" s="43">
        <f t="shared" si="100"/>
        <v>0</v>
      </c>
      <c r="Q579" s="36"/>
      <c r="R579" s="27"/>
    </row>
    <row r="580" spans="1:18" x14ac:dyDescent="0.3">
      <c r="A580" s="3" t="str">
        <f>'Autoévaluation client'!A596</f>
        <v>10.2.2.b</v>
      </c>
      <c r="B580" s="6" t="str">
        <f>'Autoévaluation client'!C596</f>
        <v>Les unités d'organisation (p. ex. secteurs, divisions)?</v>
      </c>
      <c r="C580" s="38">
        <f>IF(ISBLANK('Autoévaluation client'!D596),0,1)</f>
        <v>0</v>
      </c>
      <c r="D580" s="165" t="str">
        <f>IF(AND('Autoévaluation client'!D596="",'Autoévaluation client'!E596=""),"*","")</f>
        <v>*</v>
      </c>
      <c r="E580" s="39" t="str">
        <f>IF(ISBLANK('Autoévaluation client'!F596),"",'Autoévaluation client'!F596)</f>
        <v/>
      </c>
      <c r="F580" s="118"/>
      <c r="G580" s="118"/>
      <c r="H580" s="118"/>
      <c r="I580" s="118"/>
      <c r="J580" s="118"/>
      <c r="K580" s="118"/>
      <c r="L580" s="112"/>
      <c r="M580" s="37">
        <v>2</v>
      </c>
      <c r="N580" s="27"/>
      <c r="O580" s="28">
        <f t="shared" si="99"/>
        <v>0</v>
      </c>
      <c r="P580" s="43">
        <f t="shared" si="100"/>
        <v>0</v>
      </c>
      <c r="Q580" s="36"/>
      <c r="R580" s="27"/>
    </row>
    <row r="581" spans="1:18" ht="26.4" x14ac:dyDescent="0.3">
      <c r="A581" s="3" t="str">
        <f>'Autoévaluation client'!A597</f>
        <v>10.2.3.</v>
      </c>
      <c r="B581" s="6" t="str">
        <f>'Autoévaluation client'!C597</f>
        <v>La statistique des événements est-elle utilisée à des fins de direction du personnel?</v>
      </c>
      <c r="C581" s="38">
        <f>IF(ISBLANK('Autoévaluation client'!D597),0,1)</f>
        <v>0</v>
      </c>
      <c r="D581" s="165" t="str">
        <f>IF(AND('Autoévaluation client'!D597="",'Autoévaluation client'!E597=""),"*","")</f>
        <v>*</v>
      </c>
      <c r="E581" s="39" t="str">
        <f>IF(ISBLANK('Autoévaluation client'!F597),"",'Autoévaluation client'!F597)</f>
        <v/>
      </c>
      <c r="F581" s="118"/>
      <c r="G581" s="118"/>
      <c r="H581" s="118"/>
      <c r="I581" s="118"/>
      <c r="J581" s="118"/>
      <c r="K581" s="118"/>
      <c r="L581" s="112"/>
      <c r="M581" s="37">
        <v>3</v>
      </c>
      <c r="N581" s="27"/>
      <c r="O581" s="28">
        <f t="shared" si="99"/>
        <v>0</v>
      </c>
      <c r="P581" s="43">
        <f t="shared" si="100"/>
        <v>0</v>
      </c>
      <c r="Q581" s="36"/>
      <c r="R581" s="27"/>
    </row>
    <row r="582" spans="1:18" x14ac:dyDescent="0.3">
      <c r="A582" s="20" t="str">
        <f>'Autoévaluation client'!A598</f>
        <v>10.3.</v>
      </c>
      <c r="B582" s="20" t="str">
        <f>'Autoévaluation client'!B598</f>
        <v>Rotation du personnel</v>
      </c>
      <c r="C582" s="21">
        <f>O582/N582</f>
        <v>0</v>
      </c>
      <c r="D582" s="23" t="str">
        <f>IF(ISBLANK('Autoévaluation client'!E598),"",'Autoévaluation client'!E598)</f>
        <v/>
      </c>
      <c r="E582" s="23" t="str">
        <f>IF(ISBLANK('Autoévaluation client'!F598),"",'Autoévaluation client'!F598)</f>
        <v/>
      </c>
      <c r="F582" s="115"/>
      <c r="G582" s="115"/>
      <c r="H582" s="115"/>
      <c r="I582" s="115"/>
      <c r="J582" s="115"/>
      <c r="K582" s="115"/>
      <c r="L582" s="50">
        <f>P582/N582</f>
        <v>0</v>
      </c>
      <c r="M582" s="22">
        <v>1</v>
      </c>
      <c r="N582" s="22">
        <f>SUM(M583:M586)</f>
        <v>8</v>
      </c>
      <c r="O582" s="24">
        <f>SUM(O583:O586)</f>
        <v>0</v>
      </c>
      <c r="P582" s="24">
        <f>SUM(P583:P586)</f>
        <v>0</v>
      </c>
      <c r="Q582" s="52">
        <f>O582/$N582*$M582</f>
        <v>0</v>
      </c>
      <c r="R582" s="52">
        <f>P582/$N582*$M582</f>
        <v>0</v>
      </c>
    </row>
    <row r="583" spans="1:18" ht="79.2" x14ac:dyDescent="0.3">
      <c r="A583" s="3" t="str">
        <f>'Autoévaluation client'!A599</f>
        <v>10.3.1.</v>
      </c>
      <c r="B583" s="6" t="str">
        <f>'Autoévaluation client'!C599</f>
        <v>Le taux de rotation* annuel dans votre entreprise fait-il l'objet d'un enregistrement et d'une évaluation statistique?
*Le taux de rotation désigne la relation entre le nombre de départs et le nombre d'employés durant une année.
Taux de rotation =nombre de départs / nombre d’employés x 100.</v>
      </c>
      <c r="C583" s="38">
        <f>IF(ISBLANK('Autoévaluation client'!D599),0,1)</f>
        <v>0</v>
      </c>
      <c r="D583" s="165" t="str">
        <f>IF(AND('Autoévaluation client'!D599="",'Autoévaluation client'!E599=""),"*","")</f>
        <v>*</v>
      </c>
      <c r="E583" s="39" t="str">
        <f>IF(ISBLANK('Autoévaluation client'!F599),"",'Autoévaluation client'!F599)</f>
        <v/>
      </c>
      <c r="F583" s="118"/>
      <c r="G583" s="118"/>
      <c r="H583" s="118"/>
      <c r="I583" s="118"/>
      <c r="J583" s="118"/>
      <c r="K583" s="118"/>
      <c r="L583" s="112"/>
      <c r="M583" s="37">
        <v>2</v>
      </c>
      <c r="N583" s="27"/>
      <c r="O583" s="28">
        <f>C583*M583</f>
        <v>0</v>
      </c>
      <c r="P583" s="43">
        <f t="shared" ref="P583:P586" si="101">L583*M583</f>
        <v>0</v>
      </c>
      <c r="Q583" s="36"/>
      <c r="R583" s="27"/>
    </row>
    <row r="584" spans="1:18" x14ac:dyDescent="0.3">
      <c r="A584" s="3" t="str">
        <f>'Autoévaluation client'!A600</f>
        <v>10.3.2.</v>
      </c>
      <c r="B584" s="6" t="str">
        <f>'Autoévaluation client'!C600</f>
        <v>Les raisons de départ sont-elles établies et analysées?</v>
      </c>
      <c r="C584" s="38">
        <f>IF(ISBLANK('Autoévaluation client'!D600),0,1)</f>
        <v>0</v>
      </c>
      <c r="D584" s="165" t="str">
        <f>IF(AND('Autoévaluation client'!D600="",'Autoévaluation client'!E600=""),"*","")</f>
        <v>*</v>
      </c>
      <c r="E584" s="39" t="str">
        <f>IF(ISBLANK('Autoévaluation client'!F600),"",'Autoévaluation client'!F600)</f>
        <v/>
      </c>
      <c r="F584" s="118"/>
      <c r="G584" s="118"/>
      <c r="H584" s="118"/>
      <c r="I584" s="118"/>
      <c r="J584" s="118"/>
      <c r="K584" s="118"/>
      <c r="L584" s="112"/>
      <c r="M584" s="37">
        <v>3</v>
      </c>
      <c r="N584" s="27"/>
      <c r="O584" s="28">
        <f>C584*M584</f>
        <v>0</v>
      </c>
      <c r="P584" s="43">
        <f t="shared" si="101"/>
        <v>0</v>
      </c>
      <c r="Q584" s="36"/>
      <c r="R584" s="27"/>
    </row>
    <row r="585" spans="1:18" ht="26.4" x14ac:dyDescent="0.3">
      <c r="A585" s="3" t="str">
        <f>'Autoévaluation client'!A601</f>
        <v>10.3.3.</v>
      </c>
      <c r="B585" s="6" t="str">
        <f>'Autoévaluation client'!C601</f>
        <v>Tirez-vous l'enseignement de certaines raisons de départ en prenant des mesures concrètes?</v>
      </c>
      <c r="C585" s="38">
        <f>IF(ISBLANK('Autoévaluation client'!D601),0,1)</f>
        <v>0</v>
      </c>
      <c r="D585" s="165" t="str">
        <f>IF(AND('Autoévaluation client'!D601="",'Autoévaluation client'!E601=""),"*","")</f>
        <v>*</v>
      </c>
      <c r="E585" s="39" t="str">
        <f>IF(ISBLANK('Autoévaluation client'!F601),"",'Autoévaluation client'!F601)</f>
        <v/>
      </c>
      <c r="F585" s="118"/>
      <c r="G585" s="118"/>
      <c r="H585" s="118"/>
      <c r="I585" s="118"/>
      <c r="J585" s="118"/>
      <c r="K585" s="118"/>
      <c r="L585" s="112"/>
      <c r="M585" s="37">
        <v>3</v>
      </c>
      <c r="N585" s="27"/>
      <c r="O585" s="28">
        <f>C585*M585</f>
        <v>0</v>
      </c>
      <c r="P585" s="43">
        <f t="shared" si="101"/>
        <v>0</v>
      </c>
      <c r="Q585" s="36"/>
      <c r="R585" s="27"/>
    </row>
    <row r="586" spans="1:18" ht="39.6" x14ac:dyDescent="0.3">
      <c r="A586" s="3" t="str">
        <f>'Autoévaluation client'!A602</f>
        <v>10.3.4.</v>
      </c>
      <c r="B586" s="6" t="str">
        <f>'Autoévaluation client'!C602</f>
        <v xml:space="preserve">Disposez-vous de possibilités de comparaison quant au taux de rotation dans votre branche ou avec des entreprises similaires de votre région? </v>
      </c>
      <c r="C586" s="38">
        <f>IF(ISBLANK('Autoévaluation client'!D602),0,1)</f>
        <v>0</v>
      </c>
      <c r="D586" s="165" t="str">
        <f>IF(AND('Autoévaluation client'!D602="",'Autoévaluation client'!E602=""),"*","")</f>
        <v>*</v>
      </c>
      <c r="E586" s="39" t="str">
        <f>IF(ISBLANK('Autoévaluation client'!F602),"",'Autoévaluation client'!F602)</f>
        <v/>
      </c>
      <c r="F586" s="118"/>
      <c r="G586" s="118"/>
      <c r="H586" s="118"/>
      <c r="I586" s="118"/>
      <c r="J586" s="118"/>
      <c r="K586" s="118"/>
      <c r="L586" s="112"/>
      <c r="M586" s="37">
        <v>0</v>
      </c>
      <c r="N586" s="27"/>
      <c r="O586" s="28">
        <f>C586*M586</f>
        <v>0</v>
      </c>
      <c r="P586" s="43">
        <f t="shared" si="101"/>
        <v>0</v>
      </c>
      <c r="Q586" s="36"/>
      <c r="R586" s="27"/>
    </row>
    <row r="587" spans="1:18" x14ac:dyDescent="0.3">
      <c r="A587" s="34" t="str">
        <f>'Autoévaluation client'!A604</f>
        <v>11.</v>
      </c>
      <c r="B587" s="7" t="str">
        <f>'Autoévaluation client'!B604</f>
        <v>Gestion des absences</v>
      </c>
      <c r="C587" s="30">
        <f>O587/N587</f>
        <v>0</v>
      </c>
      <c r="D587" s="18"/>
      <c r="E587" s="18"/>
      <c r="F587" s="18"/>
      <c r="G587" s="18"/>
      <c r="H587" s="18"/>
      <c r="I587" s="18"/>
      <c r="J587" s="18"/>
      <c r="K587" s="18"/>
      <c r="L587" s="114">
        <f>P587/N587</f>
        <v>0</v>
      </c>
      <c r="M587" s="5"/>
      <c r="N587" s="5">
        <f>SUM(M588:M606)</f>
        <v>19</v>
      </c>
      <c r="O587" s="4">
        <f>SUM(O588:O606)</f>
        <v>0</v>
      </c>
      <c r="P587" s="4">
        <f>SUM(P588:P606)</f>
        <v>0</v>
      </c>
      <c r="Q587" s="35"/>
      <c r="R587" s="35"/>
    </row>
    <row r="588" spans="1:18" ht="26.4" x14ac:dyDescent="0.3">
      <c r="A588" s="3" t="str">
        <f>'Autoévaluation client'!A606</f>
        <v>11.1.</v>
      </c>
      <c r="B588" s="6" t="str">
        <f>'Autoévaluation client'!C606</f>
        <v>Y a-t-il une déclaration d'intention exprimée par la direction qui se traduit par une gestion des absences?</v>
      </c>
      <c r="C588" s="38">
        <f>IF(ISBLANK('Autoévaluation client'!D606),0,1)</f>
        <v>0</v>
      </c>
      <c r="D588" s="165" t="str">
        <f>IF(AND('Autoévaluation client'!D606="",'Autoévaluation client'!E606=""),"*","")</f>
        <v>*</v>
      </c>
      <c r="E588" s="39" t="str">
        <f>IF(ISBLANK('Autoévaluation client'!F606),"",'Autoévaluation client'!F606)</f>
        <v/>
      </c>
      <c r="F588" s="118"/>
      <c r="G588" s="118"/>
      <c r="H588" s="118"/>
      <c r="I588" s="118"/>
      <c r="J588" s="118"/>
      <c r="K588" s="118"/>
      <c r="L588" s="112"/>
      <c r="M588" s="37">
        <v>1</v>
      </c>
      <c r="N588" s="27"/>
      <c r="O588" s="28">
        <f t="shared" ref="O588:O606" si="102">C588*M588</f>
        <v>0</v>
      </c>
      <c r="P588" s="43">
        <f t="shared" ref="P588:P596" si="103">L588*M588</f>
        <v>0</v>
      </c>
      <c r="Q588" s="36"/>
      <c r="R588" s="27"/>
    </row>
    <row r="589" spans="1:18" ht="39.6" x14ac:dyDescent="0.3">
      <c r="A589" s="3" t="str">
        <f>'Autoévaluation client'!A607</f>
        <v>11.2.a</v>
      </c>
      <c r="B589" s="6" t="str">
        <f>'Autoévaluation client'!C607</f>
        <v>Les données relatives aux accidentés et malades, ainsi qu'à leurs jours d'absence, sont-elles:
Consignées?</v>
      </c>
      <c r="C589" s="38">
        <f>IF(ISBLANK('Autoévaluation client'!D607),0,1)</f>
        <v>0</v>
      </c>
      <c r="D589" s="165" t="str">
        <f>IF(AND('Autoévaluation client'!D607="",'Autoévaluation client'!E607=""),"*","")</f>
        <v>*</v>
      </c>
      <c r="E589" s="39" t="str">
        <f>IF(ISBLANK('Autoévaluation client'!F607),"",'Autoévaluation client'!F607)</f>
        <v/>
      </c>
      <c r="F589" s="118"/>
      <c r="G589" s="118"/>
      <c r="H589" s="118"/>
      <c r="I589" s="118"/>
      <c r="J589" s="118"/>
      <c r="K589" s="118"/>
      <c r="L589" s="112"/>
      <c r="M589" s="37">
        <v>1</v>
      </c>
      <c r="N589" s="27"/>
      <c r="O589" s="28">
        <f t="shared" si="102"/>
        <v>0</v>
      </c>
      <c r="P589" s="43">
        <f t="shared" si="103"/>
        <v>0</v>
      </c>
      <c r="Q589" s="36"/>
      <c r="R589" s="27"/>
    </row>
    <row r="590" spans="1:18" x14ac:dyDescent="0.3">
      <c r="A590" s="3" t="str">
        <f>'Autoévaluation client'!A608</f>
        <v>11.2.b</v>
      </c>
      <c r="B590" s="6" t="str">
        <f>'Autoévaluation client'!C608</f>
        <v>Analysées?</v>
      </c>
      <c r="C590" s="38">
        <f>IF(ISBLANK('Autoévaluation client'!D608),0,1)</f>
        <v>0</v>
      </c>
      <c r="D590" s="165" t="str">
        <f>IF(AND('Autoévaluation client'!D608="",'Autoévaluation client'!E608=""),"*","")</f>
        <v>*</v>
      </c>
      <c r="E590" s="39" t="str">
        <f>IF(ISBLANK('Autoévaluation client'!F608),"",'Autoévaluation client'!F608)</f>
        <v/>
      </c>
      <c r="F590" s="118"/>
      <c r="G590" s="118"/>
      <c r="H590" s="118"/>
      <c r="I590" s="118"/>
      <c r="J590" s="118"/>
      <c r="K590" s="118"/>
      <c r="L590" s="112"/>
      <c r="M590" s="37">
        <v>1</v>
      </c>
      <c r="N590" s="27"/>
      <c r="O590" s="28">
        <f t="shared" si="102"/>
        <v>0</v>
      </c>
      <c r="P590" s="43">
        <f t="shared" si="103"/>
        <v>0</v>
      </c>
      <c r="Q590" s="36"/>
      <c r="R590" s="27"/>
    </row>
    <row r="591" spans="1:18" x14ac:dyDescent="0.3">
      <c r="A591" s="3" t="str">
        <f>'Autoévaluation client'!A609</f>
        <v>11.2.c</v>
      </c>
      <c r="B591" s="6" t="str">
        <f>'Autoévaluation client'!C609</f>
        <v>Exploitées pour en tirer des mesures?</v>
      </c>
      <c r="C591" s="38">
        <f>IF(ISBLANK('Autoévaluation client'!D609),0,1)</f>
        <v>0</v>
      </c>
      <c r="D591" s="165" t="str">
        <f>IF(AND('Autoévaluation client'!D609="",'Autoévaluation client'!E609=""),"*","")</f>
        <v>*</v>
      </c>
      <c r="E591" s="39" t="str">
        <f>IF(ISBLANK('Autoévaluation client'!F609),"",'Autoévaluation client'!F609)</f>
        <v/>
      </c>
      <c r="F591" s="118"/>
      <c r="G591" s="118"/>
      <c r="H591" s="118"/>
      <c r="I591" s="118"/>
      <c r="J591" s="118"/>
      <c r="K591" s="118"/>
      <c r="L591" s="112"/>
      <c r="M591" s="37">
        <v>1</v>
      </c>
      <c r="N591" s="27"/>
      <c r="O591" s="28">
        <f t="shared" si="102"/>
        <v>0</v>
      </c>
      <c r="P591" s="43">
        <f t="shared" si="103"/>
        <v>0</v>
      </c>
      <c r="Q591" s="36"/>
      <c r="R591" s="27"/>
    </row>
    <row r="592" spans="1:18" x14ac:dyDescent="0.3">
      <c r="A592" s="3" t="str">
        <f>'Autoévaluation client'!A610</f>
        <v>11.2.d</v>
      </c>
      <c r="B592" s="6" t="str">
        <f>'Autoévaluation client'!C610</f>
        <v>Communiquées ?</v>
      </c>
      <c r="C592" s="38">
        <f>IF(ISBLANK('Autoévaluation client'!D610),0,1)</f>
        <v>0</v>
      </c>
      <c r="D592" s="165" t="str">
        <f>IF(AND('Autoévaluation client'!D610="",'Autoévaluation client'!E610=""),"*","")</f>
        <v>*</v>
      </c>
      <c r="E592" s="39" t="str">
        <f>IF(ISBLANK('Autoévaluation client'!F610),"",'Autoévaluation client'!F610)</f>
        <v/>
      </c>
      <c r="F592" s="118"/>
      <c r="G592" s="118"/>
      <c r="H592" s="118"/>
      <c r="I592" s="118"/>
      <c r="J592" s="118"/>
      <c r="K592" s="118"/>
      <c r="L592" s="112"/>
      <c r="M592" s="37">
        <v>1</v>
      </c>
      <c r="N592" s="27"/>
      <c r="O592" s="28">
        <f t="shared" si="102"/>
        <v>0</v>
      </c>
      <c r="P592" s="43">
        <f t="shared" ref="P592" si="104">L592*M592</f>
        <v>0</v>
      </c>
      <c r="Q592" s="36"/>
      <c r="R592" s="27"/>
    </row>
    <row r="593" spans="1:18" ht="26.4" x14ac:dyDescent="0.3">
      <c r="A593" s="3" t="str">
        <f>'Autoévaluation client'!A611</f>
        <v>11.3.</v>
      </c>
      <c r="B593" s="6" t="str">
        <f>'Autoévaluation client'!C611</f>
        <v>Les indicateurs sont-ils mis à jour annuellement et définis dans les objectifs de prévention?</v>
      </c>
      <c r="C593" s="38">
        <f>IF(ISBLANK('Autoévaluation client'!D611),0,1)</f>
        <v>0</v>
      </c>
      <c r="D593" s="165" t="str">
        <f>IF(AND('Autoévaluation client'!D611="",'Autoévaluation client'!E611=""),"*","")</f>
        <v>*</v>
      </c>
      <c r="E593" s="39" t="str">
        <f>IF(ISBLANK('Autoévaluation client'!F611),"",'Autoévaluation client'!F611)</f>
        <v/>
      </c>
      <c r="F593" s="118"/>
      <c r="G593" s="118"/>
      <c r="H593" s="118"/>
      <c r="I593" s="118"/>
      <c r="J593" s="118"/>
      <c r="K593" s="118"/>
      <c r="L593" s="112"/>
      <c r="M593" s="37">
        <v>1</v>
      </c>
      <c r="N593" s="27"/>
      <c r="O593" s="28">
        <f t="shared" si="102"/>
        <v>0</v>
      </c>
      <c r="P593" s="43">
        <f t="shared" si="103"/>
        <v>0</v>
      </c>
      <c r="Q593" s="36"/>
      <c r="R593" s="27"/>
    </row>
    <row r="594" spans="1:18" ht="52.8" x14ac:dyDescent="0.3">
      <c r="A594" s="3" t="str">
        <f>'Autoévaluation client'!A612</f>
        <v>11.4.</v>
      </c>
      <c r="B594" s="6" t="str">
        <f>'Autoévaluation client'!C612</f>
        <v>Y a-t-il une définition des processus, responsabilités et tâches, qui fixent le mode de prise en charge des absences non planifiées de courtes et longues durées, ainsi que la réintégration au travail?</v>
      </c>
      <c r="C594" s="38">
        <f>IF(ISBLANK('Autoévaluation client'!D612),0,1)</f>
        <v>0</v>
      </c>
      <c r="D594" s="165" t="str">
        <f>IF(AND('Autoévaluation client'!D612="",'Autoévaluation client'!E612=""),"*","")</f>
        <v>*</v>
      </c>
      <c r="E594" s="39" t="str">
        <f>IF(ISBLANK('Autoévaluation client'!F612),"",'Autoévaluation client'!F612)</f>
        <v/>
      </c>
      <c r="F594" s="118"/>
      <c r="G594" s="118"/>
      <c r="H594" s="118"/>
      <c r="I594" s="118"/>
      <c r="J594" s="118"/>
      <c r="K594" s="118"/>
      <c r="L594" s="112"/>
      <c r="M594" s="37">
        <v>1</v>
      </c>
      <c r="N594" s="27"/>
      <c r="O594" s="28">
        <f t="shared" si="102"/>
        <v>0</v>
      </c>
      <c r="P594" s="43">
        <f t="shared" si="103"/>
        <v>0</v>
      </c>
      <c r="Q594" s="36"/>
      <c r="R594" s="27"/>
    </row>
    <row r="595" spans="1:18" ht="52.8" x14ac:dyDescent="0.3">
      <c r="A595" s="3" t="str">
        <f>'Autoévaluation client'!A613</f>
        <v>11.5.</v>
      </c>
      <c r="B595" s="6" t="str">
        <f>'Autoévaluation client'!C613</f>
        <v>Les supérieurs hiérarchiques (et les autres services impliqués) bénéficient-ils d’une initiation à la gestion des absences et d’une formation à leurs tâches administratives et de suivi?</v>
      </c>
      <c r="C595" s="38">
        <f>IF(ISBLANK('Autoévaluation client'!D613),0,1)</f>
        <v>0</v>
      </c>
      <c r="D595" s="165" t="str">
        <f>IF(AND('Autoévaluation client'!D613="",'Autoévaluation client'!E613=""),"*","")</f>
        <v>*</v>
      </c>
      <c r="E595" s="39" t="str">
        <f>IF(ISBLANK('Autoévaluation client'!F613),"",'Autoévaluation client'!F613)</f>
        <v/>
      </c>
      <c r="F595" s="118"/>
      <c r="G595" s="118"/>
      <c r="H595" s="118"/>
      <c r="I595" s="118"/>
      <c r="J595" s="118"/>
      <c r="K595" s="118"/>
      <c r="L595" s="112"/>
      <c r="M595" s="37">
        <v>1</v>
      </c>
      <c r="N595" s="27"/>
      <c r="O595" s="28">
        <f t="shared" si="102"/>
        <v>0</v>
      </c>
      <c r="P595" s="43">
        <f t="shared" si="103"/>
        <v>0</v>
      </c>
      <c r="Q595" s="36"/>
      <c r="R595" s="27"/>
    </row>
    <row r="596" spans="1:18" ht="39.6" x14ac:dyDescent="0.3">
      <c r="A596" s="3" t="str">
        <f>'Autoévaluation client'!A614</f>
        <v>11.6.</v>
      </c>
      <c r="B596" s="6" t="str">
        <f>'Autoévaluation client'!C614</f>
        <v>Les collaborateurs sont-ils périodiquement informés des buts de la gestion des absences et de la bonne attitude à adopter en cas d'absence?</v>
      </c>
      <c r="C596" s="38">
        <f>IF(ISBLANK('Autoévaluation client'!D614),0,1)</f>
        <v>0</v>
      </c>
      <c r="D596" s="165" t="str">
        <f>IF(AND('Autoévaluation client'!D614="",'Autoévaluation client'!E614=""),"*","")</f>
        <v>*</v>
      </c>
      <c r="E596" s="39" t="str">
        <f>IF(ISBLANK('Autoévaluation client'!F614),"",'Autoévaluation client'!F614)</f>
        <v/>
      </c>
      <c r="F596" s="118"/>
      <c r="G596" s="118"/>
      <c r="H596" s="118"/>
      <c r="I596" s="118"/>
      <c r="J596" s="118"/>
      <c r="K596" s="118"/>
      <c r="L596" s="112"/>
      <c r="M596" s="37">
        <v>1</v>
      </c>
      <c r="N596" s="27"/>
      <c r="O596" s="28">
        <f t="shared" si="102"/>
        <v>0</v>
      </c>
      <c r="P596" s="43">
        <f t="shared" si="103"/>
        <v>0</v>
      </c>
      <c r="Q596" s="36"/>
      <c r="R596" s="27"/>
    </row>
    <row r="597" spans="1:18" ht="26.4" x14ac:dyDescent="0.3">
      <c r="A597" s="3" t="str">
        <f>'Autoévaluation client'!A615</f>
        <v>11.7.a</v>
      </c>
      <c r="B597" s="6" t="str">
        <f>'Autoévaluation client'!C615</f>
        <v>Les entretiens de retour au travail sont-ils menés:
Par les chefs?</v>
      </c>
      <c r="C597" s="38">
        <f>IF(ISBLANK('Autoévaluation client'!D615),0,1)</f>
        <v>0</v>
      </c>
      <c r="D597" s="165" t="str">
        <f>IF(AND('Autoévaluation client'!D615="",'Autoévaluation client'!E615=""),"*","")</f>
        <v>*</v>
      </c>
      <c r="E597" s="39" t="str">
        <f>IF(ISBLANK('Autoévaluation client'!F615),"",'Autoévaluation client'!F615)</f>
        <v/>
      </c>
      <c r="F597" s="118"/>
      <c r="G597" s="118"/>
      <c r="H597" s="118"/>
      <c r="I597" s="118"/>
      <c r="J597" s="118"/>
      <c r="K597" s="118"/>
      <c r="L597" s="112"/>
      <c r="M597" s="37">
        <v>1</v>
      </c>
      <c r="N597" s="27"/>
      <c r="O597" s="28">
        <f t="shared" si="102"/>
        <v>0</v>
      </c>
      <c r="P597" s="43">
        <f t="shared" ref="P597" si="105">L597*M597</f>
        <v>0</v>
      </c>
      <c r="Q597" s="36"/>
      <c r="R597" s="27"/>
    </row>
    <row r="598" spans="1:18" x14ac:dyDescent="0.3">
      <c r="A598" s="3" t="str">
        <f>'Autoévaluation client'!A616</f>
        <v>11.7.b</v>
      </c>
      <c r="B598" s="6" t="str">
        <f>'Autoévaluation client'!C616</f>
        <v>Après chaque absence non planifiée de longue durée?</v>
      </c>
      <c r="C598" s="38">
        <f>IF(ISBLANK('Autoévaluation client'!D616),0,1)</f>
        <v>0</v>
      </c>
      <c r="D598" s="165" t="str">
        <f>IF(AND('Autoévaluation client'!D616="",'Autoévaluation client'!E616=""),"*","")</f>
        <v>*</v>
      </c>
      <c r="E598" s="39" t="str">
        <f>IF(ISBLANK('Autoévaluation client'!F616),"",'Autoévaluation client'!F616)</f>
        <v/>
      </c>
      <c r="F598" s="118"/>
      <c r="G598" s="118"/>
      <c r="H598" s="118"/>
      <c r="I598" s="118"/>
      <c r="J598" s="118"/>
      <c r="K598" s="118"/>
      <c r="L598" s="112"/>
      <c r="M598" s="37">
        <v>1</v>
      </c>
      <c r="N598" s="27"/>
      <c r="O598" s="28">
        <f t="shared" si="102"/>
        <v>0</v>
      </c>
      <c r="P598" s="43">
        <f t="shared" ref="P598:P603" si="106">L598*M598</f>
        <v>0</v>
      </c>
      <c r="Q598" s="36"/>
      <c r="R598" s="27"/>
    </row>
    <row r="599" spans="1:18" x14ac:dyDescent="0.3">
      <c r="A599" s="3" t="str">
        <f>'Autoévaluation client'!A617</f>
        <v>11.7.c</v>
      </c>
      <c r="B599" s="6" t="str">
        <f>'Autoévaluation client'!C617</f>
        <v>Après chaque absence non planifiée?</v>
      </c>
      <c r="C599" s="38">
        <f>IF(ISBLANK('Autoévaluation client'!D617),0,1)</f>
        <v>0</v>
      </c>
      <c r="D599" s="165" t="str">
        <f>IF(AND('Autoévaluation client'!D617="",'Autoévaluation client'!E617=""),"*","")</f>
        <v>*</v>
      </c>
      <c r="E599" s="39" t="str">
        <f>IF(ISBLANK('Autoévaluation client'!F617),"",'Autoévaluation client'!F617)</f>
        <v/>
      </c>
      <c r="F599" s="118"/>
      <c r="G599" s="118"/>
      <c r="H599" s="118"/>
      <c r="I599" s="118"/>
      <c r="J599" s="118"/>
      <c r="K599" s="118"/>
      <c r="L599" s="112"/>
      <c r="M599" s="37">
        <v>1</v>
      </c>
      <c r="N599" s="27"/>
      <c r="O599" s="28">
        <f t="shared" si="102"/>
        <v>0</v>
      </c>
      <c r="P599" s="43">
        <f t="shared" si="106"/>
        <v>0</v>
      </c>
      <c r="Q599" s="36"/>
      <c r="R599" s="27"/>
    </row>
    <row r="600" spans="1:18" ht="26.4" x14ac:dyDescent="0.3">
      <c r="A600" s="3" t="str">
        <f>'Autoévaluation client'!A618</f>
        <v>11.8.</v>
      </c>
      <c r="B600" s="6" t="str">
        <f>'Autoévaluation client'!C618</f>
        <v>Des mesures de prévention sont-elles déduites des conclusions des entretiens de retour au travail?</v>
      </c>
      <c r="C600" s="38">
        <f>IF(ISBLANK('Autoévaluation client'!D618),0,1)</f>
        <v>0</v>
      </c>
      <c r="D600" s="165" t="str">
        <f>IF(AND('Autoévaluation client'!D618="",'Autoévaluation client'!E618=""),"*","")</f>
        <v>*</v>
      </c>
      <c r="E600" s="39" t="str">
        <f>IF(ISBLANK('Autoévaluation client'!F618),"",'Autoévaluation client'!F618)</f>
        <v/>
      </c>
      <c r="F600" s="118"/>
      <c r="G600" s="118"/>
      <c r="H600" s="118"/>
      <c r="I600" s="118"/>
      <c r="J600" s="118"/>
      <c r="K600" s="118"/>
      <c r="L600" s="112"/>
      <c r="M600" s="37">
        <v>1</v>
      </c>
      <c r="N600" s="27"/>
      <c r="O600" s="28">
        <f t="shared" si="102"/>
        <v>0</v>
      </c>
      <c r="P600" s="43">
        <f t="shared" si="106"/>
        <v>0</v>
      </c>
      <c r="Q600" s="36"/>
      <c r="R600" s="27"/>
    </row>
    <row r="601" spans="1:18" ht="26.4" x14ac:dyDescent="0.3">
      <c r="A601" s="3" t="str">
        <f>'Autoévaluation client'!A619</f>
        <v>11.9.</v>
      </c>
      <c r="B601" s="6" t="str">
        <f>'Autoévaluation client'!C619</f>
        <v>Une approche est-elle définie pour les absences fréquentes?</v>
      </c>
      <c r="C601" s="38">
        <f>IF(ISBLANK('Autoévaluation client'!D619),0,1)</f>
        <v>0</v>
      </c>
      <c r="D601" s="165" t="str">
        <f>IF(AND('Autoévaluation client'!D619="",'Autoévaluation client'!E619=""),"*","")</f>
        <v>*</v>
      </c>
      <c r="E601" s="39" t="str">
        <f>IF(ISBLANK('Autoévaluation client'!F619),"",'Autoévaluation client'!F619)</f>
        <v/>
      </c>
      <c r="F601" s="118"/>
      <c r="G601" s="118"/>
      <c r="H601" s="118"/>
      <c r="I601" s="118"/>
      <c r="J601" s="118"/>
      <c r="K601" s="118"/>
      <c r="L601" s="112"/>
      <c r="M601" s="37">
        <v>1</v>
      </c>
      <c r="N601" s="27"/>
      <c r="O601" s="28">
        <f t="shared" si="102"/>
        <v>0</v>
      </c>
      <c r="P601" s="43">
        <f t="shared" si="106"/>
        <v>0</v>
      </c>
      <c r="Q601" s="36"/>
      <c r="R601" s="27"/>
    </row>
    <row r="602" spans="1:18" ht="52.8" x14ac:dyDescent="0.3">
      <c r="A602" s="3" t="str">
        <f>'Autoévaluation client'!A620</f>
        <v>11.10.</v>
      </c>
      <c r="B602" s="6" t="str">
        <f>'Autoévaluation client'!C620</f>
        <v>Les chefs directs se renseignent-ils auprès des collaborateurs accidentés ou malades pendant leur absence au sujet de leur état de santé? Leur offrent-ils du soutien?</v>
      </c>
      <c r="C602" s="38">
        <f>IF(ISBLANK('Autoévaluation client'!D620),0,1)</f>
        <v>0</v>
      </c>
      <c r="D602" s="165" t="str">
        <f>IF(AND('Autoévaluation client'!D620="",'Autoévaluation client'!E620=""),"*","")</f>
        <v>*</v>
      </c>
      <c r="E602" s="39" t="str">
        <f>IF(ISBLANK('Autoévaluation client'!F620),"",'Autoévaluation client'!F620)</f>
        <v/>
      </c>
      <c r="F602" s="118"/>
      <c r="G602" s="118"/>
      <c r="H602" s="118"/>
      <c r="I602" s="118"/>
      <c r="J602" s="118"/>
      <c r="K602" s="118"/>
      <c r="L602" s="112"/>
      <c r="M602" s="37">
        <v>1</v>
      </c>
      <c r="N602" s="27"/>
      <c r="O602" s="28">
        <f t="shared" si="102"/>
        <v>0</v>
      </c>
      <c r="P602" s="43">
        <f t="shared" si="106"/>
        <v>0</v>
      </c>
      <c r="Q602" s="36"/>
      <c r="R602" s="27"/>
    </row>
    <row r="603" spans="1:18" ht="52.8" x14ac:dyDescent="0.3">
      <c r="A603" s="3" t="str">
        <f>'Autoévaluation client'!A621</f>
        <v>11.11.</v>
      </c>
      <c r="B603" s="6" t="str">
        <f>'Autoévaluation client'!C621</f>
        <v>Les possibilités d'occupation à temps partiel ou, éventuellement, avec un cahier des charges alternatif, sont-elles systématiquement envisagées par les chefs des collaborateurs accidentés ou malades?</v>
      </c>
      <c r="C603" s="38">
        <f>IF(ISBLANK('Autoévaluation client'!D621),0,1)</f>
        <v>0</v>
      </c>
      <c r="D603" s="165" t="str">
        <f>IF(AND('Autoévaluation client'!D621="",'Autoévaluation client'!E621=""),"*","")</f>
        <v>*</v>
      </c>
      <c r="E603" s="39" t="str">
        <f>IF(ISBLANK('Autoévaluation client'!F621),"",'Autoévaluation client'!F621)</f>
        <v/>
      </c>
      <c r="F603" s="118"/>
      <c r="G603" s="118"/>
      <c r="H603" s="118"/>
      <c r="I603" s="118"/>
      <c r="J603" s="118"/>
      <c r="K603" s="118"/>
      <c r="L603" s="112"/>
      <c r="M603" s="37">
        <v>1</v>
      </c>
      <c r="N603" s="27"/>
      <c r="O603" s="28">
        <f t="shared" si="102"/>
        <v>0</v>
      </c>
      <c r="P603" s="43">
        <f t="shared" si="106"/>
        <v>0</v>
      </c>
      <c r="Q603" s="36"/>
      <c r="R603" s="27"/>
    </row>
    <row r="604" spans="1:18" ht="39.6" x14ac:dyDescent="0.3">
      <c r="A604" s="3" t="str">
        <f>'Autoévaluation client'!A622</f>
        <v>11.12.</v>
      </c>
      <c r="B604" s="6" t="str">
        <f>'Autoévaluation client'!C622</f>
        <v>Les médecins traitants sont-ils informés des possibilités d'occupation à temps partiel ou, éventuellement, de cahiers des charges alternatifs?</v>
      </c>
      <c r="C604" s="38">
        <f>IF(ISBLANK('Autoévaluation client'!D622),0,1)</f>
        <v>0</v>
      </c>
      <c r="D604" s="165" t="str">
        <f>IF(AND('Autoévaluation client'!D622="",'Autoévaluation client'!E622=""),"*","")</f>
        <v>*</v>
      </c>
      <c r="E604" s="39" t="str">
        <f>IF(ISBLANK('Autoévaluation client'!F622),"",'Autoévaluation client'!F622)</f>
        <v/>
      </c>
      <c r="F604" s="118"/>
      <c r="G604" s="118"/>
      <c r="H604" s="118"/>
      <c r="I604" s="118"/>
      <c r="J604" s="118"/>
      <c r="K604" s="118"/>
      <c r="L604" s="112"/>
      <c r="M604" s="37">
        <v>1</v>
      </c>
      <c r="N604" s="27"/>
      <c r="O604" s="28">
        <f t="shared" si="102"/>
        <v>0</v>
      </c>
      <c r="P604" s="43">
        <f t="shared" ref="P604:P608" si="107">L604*M604</f>
        <v>0</v>
      </c>
      <c r="Q604" s="36"/>
      <c r="R604" s="27"/>
    </row>
    <row r="605" spans="1:18" ht="39.6" x14ac:dyDescent="0.3">
      <c r="A605" s="111" t="str">
        <f>'Autoévaluation client'!A623</f>
        <v>11.13.a</v>
      </c>
      <c r="B605" s="6" t="str">
        <f>'Autoévaluation client'!C623</f>
        <v>Les chefs sont-ils soutenus dans leur effort de gestion et d'intégration des personnes accidentées ou malades:
Par le service du personnel (RH)?</v>
      </c>
      <c r="C605" s="38">
        <f>IF(ISBLANK('Autoévaluation client'!D623),0,1)</f>
        <v>0</v>
      </c>
      <c r="D605" s="165" t="str">
        <f>IF(AND('Autoévaluation client'!D623="",'Autoévaluation client'!E623=""),"*","")</f>
        <v>*</v>
      </c>
      <c r="E605" s="39" t="str">
        <f>IF(ISBLANK('Autoévaluation client'!F623),"",'Autoévaluation client'!F623)</f>
        <v/>
      </c>
      <c r="F605" s="118"/>
      <c r="G605" s="118"/>
      <c r="H605" s="118"/>
      <c r="I605" s="118"/>
      <c r="J605" s="118"/>
      <c r="K605" s="118"/>
      <c r="L605" s="112"/>
      <c r="M605" s="37">
        <v>1</v>
      </c>
      <c r="N605" s="27"/>
      <c r="O605" s="28">
        <f t="shared" si="102"/>
        <v>0</v>
      </c>
      <c r="P605" s="43">
        <f t="shared" si="107"/>
        <v>0</v>
      </c>
      <c r="Q605" s="36"/>
      <c r="R605" s="27"/>
    </row>
    <row r="606" spans="1:18" x14ac:dyDescent="0.3">
      <c r="A606" s="111" t="str">
        <f>'Autoévaluation client'!A624</f>
        <v>11.13.b</v>
      </c>
      <c r="B606" s="6" t="str">
        <f>'Autoévaluation client'!C624</f>
        <v>Par d'autres services? Si oui, lesquels?</v>
      </c>
      <c r="C606" s="38">
        <f>IF(ISBLANK('Autoévaluation client'!D624),0,1)</f>
        <v>0</v>
      </c>
      <c r="D606" s="165" t="str">
        <f>IF(AND('Autoévaluation client'!D624="",'Autoévaluation client'!E624=""),"*","")</f>
        <v>*</v>
      </c>
      <c r="E606" s="39" t="str">
        <f>IF(ISBLANK('Autoévaluation client'!F624),"",'Autoévaluation client'!F624)</f>
        <v/>
      </c>
      <c r="F606" s="118"/>
      <c r="G606" s="118"/>
      <c r="H606" s="118"/>
      <c r="I606" s="118"/>
      <c r="J606" s="118"/>
      <c r="K606" s="118"/>
      <c r="L606" s="112"/>
      <c r="M606" s="37">
        <v>1</v>
      </c>
      <c r="N606" s="27"/>
      <c r="O606" s="28">
        <f t="shared" si="102"/>
        <v>0</v>
      </c>
      <c r="P606" s="43">
        <f t="shared" si="107"/>
        <v>0</v>
      </c>
      <c r="Q606" s="36"/>
      <c r="R606" s="27"/>
    </row>
    <row r="607" spans="1:18" x14ac:dyDescent="0.3">
      <c r="A607" s="34" t="str">
        <f>'Autoévaluation client'!A626</f>
        <v>12</v>
      </c>
      <c r="B607" s="7" t="str">
        <f>'Autoévaluation client'!B626</f>
        <v>Sécurité durant les loisirs (facultatif)</v>
      </c>
      <c r="C607" s="30">
        <f>O607/N607</f>
        <v>0</v>
      </c>
      <c r="D607" s="18"/>
      <c r="E607" s="18"/>
      <c r="F607" s="18"/>
      <c r="G607" s="18"/>
      <c r="H607" s="18"/>
      <c r="I607" s="18"/>
      <c r="J607" s="18"/>
      <c r="K607" s="18"/>
      <c r="L607" s="114">
        <f>P607/N607</f>
        <v>0</v>
      </c>
      <c r="M607" s="5"/>
      <c r="N607" s="5">
        <f>SUM(M608:M628)</f>
        <v>20</v>
      </c>
      <c r="O607" s="4">
        <f>SUM(O608:O628)</f>
        <v>0</v>
      </c>
      <c r="P607" s="4">
        <f>SUM(P608:P628)</f>
        <v>0</v>
      </c>
      <c r="Q607" s="35"/>
      <c r="R607" s="35"/>
    </row>
    <row r="608" spans="1:18" ht="52.8" x14ac:dyDescent="0.3">
      <c r="A608" s="3" t="str">
        <f>'Autoévaluation client'!A628</f>
        <v>12.1.</v>
      </c>
      <c r="B608" s="6" t="str">
        <f>'Autoévaluation client'!C628</f>
        <v>Y a-t-il une déclaration d'intention explicitement exprimée par la direction visant à encourager les collaborateurs à adopter un comportement sûr et sain dans le cadre des loisirs?</v>
      </c>
      <c r="C608" s="38">
        <f>IF(ISBLANK('Autoévaluation client'!D628),0,1)</f>
        <v>0</v>
      </c>
      <c r="D608" s="165" t="str">
        <f>IF(AND('Autoévaluation client'!D628="",'Autoévaluation client'!E628=""),"*","")</f>
        <v>*</v>
      </c>
      <c r="E608" s="39" t="str">
        <f>IF(ISBLANK('Autoévaluation client'!F628),"",'Autoévaluation client'!F628)</f>
        <v/>
      </c>
      <c r="F608" s="118"/>
      <c r="G608" s="118"/>
      <c r="H608" s="118"/>
      <c r="I608" s="118"/>
      <c r="J608" s="118"/>
      <c r="K608" s="118"/>
      <c r="L608" s="112"/>
      <c r="M608" s="37">
        <v>1</v>
      </c>
      <c r="N608" s="27"/>
      <c r="O608" s="28">
        <f t="shared" ref="O608:O628" si="108">C608*M608</f>
        <v>0</v>
      </c>
      <c r="P608" s="43">
        <f t="shared" si="107"/>
        <v>0</v>
      </c>
      <c r="Q608" s="36"/>
      <c r="R608" s="27"/>
    </row>
    <row r="609" spans="1:18" ht="26.4" x14ac:dyDescent="0.3">
      <c r="A609" s="3" t="str">
        <f>'Autoévaluation client'!A629</f>
        <v>12.2.</v>
      </c>
      <c r="B609" s="6" t="str">
        <f>'Autoévaluation client'!C629</f>
        <v>Les projets relatifs à la prévention des accidents lors des loisirs sont-ils budgetés?</v>
      </c>
      <c r="C609" s="38">
        <f>IF(ISBLANK('Autoévaluation client'!D629),0,1)</f>
        <v>0</v>
      </c>
      <c r="D609" s="165" t="str">
        <f>IF(AND('Autoévaluation client'!D629="",'Autoévaluation client'!E629=""),"*","")</f>
        <v>*</v>
      </c>
      <c r="E609" s="39" t="str">
        <f>IF(ISBLANK('Autoévaluation client'!F629),"",'Autoévaluation client'!F629)</f>
        <v/>
      </c>
      <c r="F609" s="118"/>
      <c r="G609" s="118"/>
      <c r="H609" s="118"/>
      <c r="I609" s="118"/>
      <c r="J609" s="118"/>
      <c r="K609" s="118"/>
      <c r="L609" s="112"/>
      <c r="M609" s="37">
        <v>1</v>
      </c>
      <c r="N609" s="27"/>
      <c r="O609" s="28">
        <f t="shared" si="108"/>
        <v>0</v>
      </c>
      <c r="P609" s="43">
        <f t="shared" ref="P609:P630" si="109">L609*M609</f>
        <v>0</v>
      </c>
      <c r="Q609" s="36"/>
      <c r="R609" s="27"/>
    </row>
    <row r="610" spans="1:18" ht="26.4" x14ac:dyDescent="0.3">
      <c r="A610" s="3" t="str">
        <f>'Autoévaluation client'!A630</f>
        <v>12.3.</v>
      </c>
      <c r="B610" s="6" t="str">
        <f>'Autoévaluation client'!C630</f>
        <v>Y a-t-il une personne ou un groupe responsable en charge de la prévention des accidents lors des loisirs?</v>
      </c>
      <c r="C610" s="38">
        <f>IF(ISBLANK('Autoévaluation client'!D630),0,1)</f>
        <v>0</v>
      </c>
      <c r="D610" s="165" t="str">
        <f>IF(AND('Autoévaluation client'!D630="",'Autoévaluation client'!E630=""),"*","")</f>
        <v>*</v>
      </c>
      <c r="E610" s="39" t="str">
        <f>IF(ISBLANK('Autoévaluation client'!F630),"",'Autoévaluation client'!F630)</f>
        <v/>
      </c>
      <c r="F610" s="118"/>
      <c r="G610" s="118"/>
      <c r="H610" s="118"/>
      <c r="I610" s="118"/>
      <c r="J610" s="118"/>
      <c r="K610" s="118"/>
      <c r="L610" s="112"/>
      <c r="M610" s="37">
        <v>1</v>
      </c>
      <c r="N610" s="27"/>
      <c r="O610" s="28">
        <f t="shared" si="108"/>
        <v>0</v>
      </c>
      <c r="P610" s="43">
        <f t="shared" si="109"/>
        <v>0</v>
      </c>
      <c r="Q610" s="36"/>
      <c r="R610" s="27"/>
    </row>
    <row r="611" spans="1:18" ht="52.8" x14ac:dyDescent="0.3">
      <c r="A611" s="3" t="str">
        <f>'Autoévaluation client'!A631</f>
        <v>12.4.</v>
      </c>
      <c r="B611" s="6" t="str">
        <f>'Autoévaluation client'!C631</f>
        <v xml:space="preserve">Cette personne responsable ou les membres du groupe responsable bénéficient-ils d'une formation dans le domaine de la prévention des accidents lors des loisirs (par ex. Suva, BPA, etc.) ? </v>
      </c>
      <c r="C611" s="38">
        <f>IF(ISBLANK('Autoévaluation client'!D631),0,1)</f>
        <v>0</v>
      </c>
      <c r="D611" s="165" t="str">
        <f>IF(AND('Autoévaluation client'!D631="",'Autoévaluation client'!E631=""),"*","")</f>
        <v>*</v>
      </c>
      <c r="E611" s="39" t="str">
        <f>IF(ISBLANK('Autoévaluation client'!F631),"",'Autoévaluation client'!F631)</f>
        <v/>
      </c>
      <c r="F611" s="118"/>
      <c r="G611" s="118"/>
      <c r="H611" s="118"/>
      <c r="I611" s="118"/>
      <c r="J611" s="118"/>
      <c r="K611" s="118"/>
      <c r="L611" s="112"/>
      <c r="M611" s="37">
        <v>1</v>
      </c>
      <c r="N611" s="27"/>
      <c r="O611" s="28">
        <f t="shared" si="108"/>
        <v>0</v>
      </c>
      <c r="P611" s="43">
        <f t="shared" si="109"/>
        <v>0</v>
      </c>
      <c r="Q611" s="36"/>
      <c r="R611" s="27"/>
    </row>
    <row r="612" spans="1:18" ht="52.8" x14ac:dyDescent="0.3">
      <c r="A612" s="3" t="str">
        <f>'Autoévaluation client'!A632</f>
        <v>12.5.</v>
      </c>
      <c r="B612" s="6" t="str">
        <f>'Autoévaluation client'!C632</f>
        <v>Les collaborateurs sont-ils régulièrement informés au sujet des accidents non professionnels de l'entreprise (entretiens, articles, intranet, mailing, panneau d'affichage, etc.) ?</v>
      </c>
      <c r="C612" s="38">
        <f>IF(ISBLANK('Autoévaluation client'!D632),0,1)</f>
        <v>0</v>
      </c>
      <c r="D612" s="165" t="str">
        <f>IF(AND('Autoévaluation client'!D632="",'Autoévaluation client'!E632=""),"*","")</f>
        <v>*</v>
      </c>
      <c r="E612" s="39" t="str">
        <f>IF(ISBLANK('Autoévaluation client'!F632),"",'Autoévaluation client'!F632)</f>
        <v/>
      </c>
      <c r="F612" s="118"/>
      <c r="G612" s="118"/>
      <c r="H612" s="118"/>
      <c r="I612" s="118"/>
      <c r="J612" s="118"/>
      <c r="K612" s="118"/>
      <c r="L612" s="112"/>
      <c r="M612" s="37">
        <v>1</v>
      </c>
      <c r="N612" s="27"/>
      <c r="O612" s="28">
        <f t="shared" si="108"/>
        <v>0</v>
      </c>
      <c r="P612" s="43">
        <f t="shared" si="109"/>
        <v>0</v>
      </c>
      <c r="Q612" s="36"/>
      <c r="R612" s="27"/>
    </row>
    <row r="613" spans="1:18" ht="26.4" x14ac:dyDescent="0.3">
      <c r="A613" s="3" t="str">
        <f>'Autoévaluation client'!A633</f>
        <v>12.6.a</v>
      </c>
      <c r="B613" s="6" t="str">
        <f>'Autoévaluation client'!C633</f>
        <v>Les accidents lors des loisirs sont-ils:
Enregistrés?</v>
      </c>
      <c r="C613" s="38">
        <f>IF(ISBLANK('Autoévaluation client'!D633),0,1)</f>
        <v>0</v>
      </c>
      <c r="D613" s="165" t="str">
        <f>IF(AND('Autoévaluation client'!D633="",'Autoévaluation client'!E633=""),"*","")</f>
        <v>*</v>
      </c>
      <c r="E613" s="39" t="str">
        <f>IF(ISBLANK('Autoévaluation client'!F633),"",'Autoévaluation client'!F633)</f>
        <v/>
      </c>
      <c r="F613" s="118"/>
      <c r="G613" s="118"/>
      <c r="H613" s="118"/>
      <c r="I613" s="118"/>
      <c r="J613" s="118"/>
      <c r="K613" s="118"/>
      <c r="L613" s="112"/>
      <c r="M613" s="37">
        <v>1</v>
      </c>
      <c r="N613" s="27"/>
      <c r="O613" s="28">
        <f t="shared" si="108"/>
        <v>0</v>
      </c>
      <c r="P613" s="43">
        <f t="shared" si="109"/>
        <v>0</v>
      </c>
      <c r="Q613" s="36"/>
      <c r="R613" s="27"/>
    </row>
    <row r="614" spans="1:18" x14ac:dyDescent="0.3">
      <c r="A614" s="3" t="str">
        <f>'Autoévaluation client'!A634</f>
        <v>12.6.b</v>
      </c>
      <c r="B614" s="6" t="str">
        <f>'Autoévaluation client'!C634</f>
        <v>Analysés?</v>
      </c>
      <c r="C614" s="38">
        <f>IF(ISBLANK('Autoévaluation client'!D634),0,1)</f>
        <v>0</v>
      </c>
      <c r="D614" s="165" t="str">
        <f>IF(AND('Autoévaluation client'!D634="",'Autoévaluation client'!E634=""),"*","")</f>
        <v>*</v>
      </c>
      <c r="E614" s="39" t="str">
        <f>IF(ISBLANK('Autoévaluation client'!F634),"",'Autoévaluation client'!F634)</f>
        <v/>
      </c>
      <c r="F614" s="118"/>
      <c r="G614" s="118"/>
      <c r="H614" s="118"/>
      <c r="I614" s="118"/>
      <c r="J614" s="118"/>
      <c r="K614" s="118"/>
      <c r="L614" s="112"/>
      <c r="M614" s="37">
        <v>1</v>
      </c>
      <c r="N614" s="27"/>
      <c r="O614" s="28">
        <f t="shared" si="108"/>
        <v>0</v>
      </c>
      <c r="P614" s="43">
        <f t="shared" si="109"/>
        <v>0</v>
      </c>
      <c r="Q614" s="36"/>
      <c r="R614" s="27"/>
    </row>
    <row r="615" spans="1:18" x14ac:dyDescent="0.3">
      <c r="A615" s="3" t="str">
        <f>'Autoévaluation client'!A635</f>
        <v>12.6.c</v>
      </c>
      <c r="B615" s="6" t="str">
        <f>'Autoévaluation client'!C635</f>
        <v>Exploités?</v>
      </c>
      <c r="C615" s="38">
        <f>IF(ISBLANK('Autoévaluation client'!D635),0,1)</f>
        <v>0</v>
      </c>
      <c r="D615" s="165" t="str">
        <f>IF(AND('Autoévaluation client'!D635="",'Autoévaluation client'!E635=""),"*","")</f>
        <v>*</v>
      </c>
      <c r="E615" s="39" t="str">
        <f>IF(ISBLANK('Autoévaluation client'!F635),"",'Autoévaluation client'!F635)</f>
        <v/>
      </c>
      <c r="F615" s="118"/>
      <c r="G615" s="118"/>
      <c r="H615" s="118"/>
      <c r="I615" s="118"/>
      <c r="J615" s="118"/>
      <c r="K615" s="118"/>
      <c r="L615" s="112"/>
      <c r="M615" s="37">
        <v>1</v>
      </c>
      <c r="N615" s="27"/>
      <c r="O615" s="28">
        <f t="shared" si="108"/>
        <v>0</v>
      </c>
      <c r="P615" s="43">
        <f t="shared" si="109"/>
        <v>0</v>
      </c>
      <c r="Q615" s="36"/>
      <c r="R615" s="27"/>
    </row>
    <row r="616" spans="1:18" x14ac:dyDescent="0.3">
      <c r="A616" s="3" t="str">
        <f>'Autoévaluation client'!A636</f>
        <v>12.6.d</v>
      </c>
      <c r="B616" s="6" t="str">
        <f>'Autoévaluation client'!C636</f>
        <v>Communiqués?</v>
      </c>
      <c r="C616" s="38">
        <f>IF(ISBLANK('Autoévaluation client'!D636),0,1)</f>
        <v>0</v>
      </c>
      <c r="D616" s="165" t="str">
        <f>IF(AND('Autoévaluation client'!D636="",'Autoévaluation client'!E636=""),"*","")</f>
        <v>*</v>
      </c>
      <c r="E616" s="39" t="str">
        <f>IF(ISBLANK('Autoévaluation client'!F636),"",'Autoévaluation client'!F636)</f>
        <v/>
      </c>
      <c r="F616" s="118"/>
      <c r="G616" s="118"/>
      <c r="H616" s="118"/>
      <c r="I616" s="118"/>
      <c r="J616" s="118"/>
      <c r="K616" s="118"/>
      <c r="L616" s="112"/>
      <c r="M616" s="37">
        <v>1</v>
      </c>
      <c r="N616" s="27"/>
      <c r="O616" s="28">
        <f t="shared" si="108"/>
        <v>0</v>
      </c>
      <c r="P616" s="43">
        <f t="shared" si="109"/>
        <v>0</v>
      </c>
      <c r="Q616" s="36"/>
      <c r="R616" s="27"/>
    </row>
    <row r="617" spans="1:18" ht="26.4" x14ac:dyDescent="0.3">
      <c r="A617" s="3" t="str">
        <f>'Autoévaluation client'!A637</f>
        <v>12.7.</v>
      </c>
      <c r="B617" s="6" t="str">
        <f>'Autoévaluation client'!C637</f>
        <v>Des points forts sont-ils déduits des statistiques d'accidents lors des loisirs?</v>
      </c>
      <c r="C617" s="38">
        <f>IF(ISBLANK('Autoévaluation client'!D637),0,1)</f>
        <v>0</v>
      </c>
      <c r="D617" s="165" t="str">
        <f>IF(AND('Autoévaluation client'!D637="",'Autoévaluation client'!E637=""),"*","")</f>
        <v>*</v>
      </c>
      <c r="E617" s="39" t="str">
        <f>IF(ISBLANK('Autoévaluation client'!F637),"",'Autoévaluation client'!F637)</f>
        <v/>
      </c>
      <c r="F617" s="118"/>
      <c r="G617" s="118"/>
      <c r="H617" s="118"/>
      <c r="I617" s="118"/>
      <c r="J617" s="118"/>
      <c r="K617" s="118"/>
      <c r="L617" s="112"/>
      <c r="M617" s="37">
        <v>1</v>
      </c>
      <c r="N617" s="27"/>
      <c r="O617" s="28">
        <f t="shared" si="108"/>
        <v>0</v>
      </c>
      <c r="P617" s="43">
        <f t="shared" si="109"/>
        <v>0</v>
      </c>
      <c r="Q617" s="36"/>
      <c r="R617" s="27"/>
    </row>
    <row r="618" spans="1:18" ht="39.6" x14ac:dyDescent="0.3">
      <c r="A618" s="3" t="str">
        <f>'Autoévaluation client'!A638</f>
        <v>12.8.</v>
      </c>
      <c r="B618" s="6" t="str">
        <f>'Autoévaluation client'!C638</f>
        <v>Y a-t-il des catégories de collaborateurs (jeunes, âgés, hommes, femmes, etc.) particulièrement concernés par les accidents lors des loisirs?</v>
      </c>
      <c r="C618" s="38">
        <f>IF(ISBLANK('Autoévaluation client'!D638),0,1)</f>
        <v>0</v>
      </c>
      <c r="D618" s="165" t="str">
        <f>IF(AND('Autoévaluation client'!D638="",'Autoévaluation client'!E638=""),"*","")</f>
        <v>*</v>
      </c>
      <c r="E618" s="39" t="str">
        <f>IF(ISBLANK('Autoévaluation client'!F638),"",'Autoévaluation client'!F638)</f>
        <v/>
      </c>
      <c r="F618" s="118"/>
      <c r="G618" s="118"/>
      <c r="H618" s="118"/>
      <c r="I618" s="118"/>
      <c r="J618" s="118"/>
      <c r="K618" s="118"/>
      <c r="L618" s="112"/>
      <c r="M618" s="37">
        <v>1</v>
      </c>
      <c r="N618" s="27"/>
      <c r="O618" s="28">
        <f t="shared" si="108"/>
        <v>0</v>
      </c>
      <c r="P618" s="43">
        <f t="shared" si="109"/>
        <v>0</v>
      </c>
      <c r="Q618" s="36"/>
      <c r="R618" s="27"/>
    </row>
    <row r="619" spans="1:18" ht="26.4" x14ac:dyDescent="0.3">
      <c r="A619" s="3" t="str">
        <f>'Autoévaluation client'!A639</f>
        <v>12.9.</v>
      </c>
      <c r="B619" s="6" t="str">
        <f>'Autoévaluation client'!C639</f>
        <v>L'entreprise dispose-t-elle de ses propres associations/clubs de sport?</v>
      </c>
      <c r="C619" s="38">
        <f>IF(ISBLANK('Autoévaluation client'!D639),0,1)</f>
        <v>0</v>
      </c>
      <c r="D619" s="165" t="str">
        <f>IF(AND('Autoévaluation client'!D639="",'Autoévaluation client'!E639=""),"*","")</f>
        <v>*</v>
      </c>
      <c r="E619" s="39" t="str">
        <f>IF(ISBLANK('Autoévaluation client'!F639),"",'Autoévaluation client'!F639)</f>
        <v/>
      </c>
      <c r="F619" s="118"/>
      <c r="G619" s="118"/>
      <c r="H619" s="118"/>
      <c r="I619" s="118"/>
      <c r="J619" s="118"/>
      <c r="K619" s="118"/>
      <c r="L619" s="112"/>
      <c r="M619" s="37">
        <v>1</v>
      </c>
      <c r="N619" s="27"/>
      <c r="O619" s="28">
        <f t="shared" si="108"/>
        <v>0</v>
      </c>
      <c r="P619" s="43">
        <f t="shared" si="109"/>
        <v>0</v>
      </c>
      <c r="Q619" s="36"/>
      <c r="R619" s="27"/>
    </row>
    <row r="620" spans="1:18" ht="52.8" x14ac:dyDescent="0.3">
      <c r="A620" s="3" t="str">
        <f>'Autoévaluation client'!A640</f>
        <v>12.10.</v>
      </c>
      <c r="B620" s="6" t="str">
        <f>'Autoévaluation client'!C640</f>
        <v>Y a-t-il dans l'entreprise des collaborateurs ayant de bonnes connaissances d'encadrement en pratique du sport, par ex. des entraîneurs, des coachs, des instructeurs?</v>
      </c>
      <c r="C620" s="38">
        <f>IF(ISBLANK('Autoévaluation client'!D640),0,1)</f>
        <v>0</v>
      </c>
      <c r="D620" s="165" t="str">
        <f>IF(AND('Autoévaluation client'!D640="",'Autoévaluation client'!E640=""),"*","")</f>
        <v>*</v>
      </c>
      <c r="E620" s="39" t="str">
        <f>IF(ISBLANK('Autoévaluation client'!F640),"",'Autoévaluation client'!F640)</f>
        <v/>
      </c>
      <c r="F620" s="118"/>
      <c r="G620" s="118"/>
      <c r="H620" s="118"/>
      <c r="I620" s="118"/>
      <c r="J620" s="118"/>
      <c r="K620" s="118"/>
      <c r="L620" s="112"/>
      <c r="M620" s="37">
        <v>1</v>
      </c>
      <c r="N620" s="27"/>
      <c r="O620" s="28">
        <f t="shared" si="108"/>
        <v>0</v>
      </c>
      <c r="P620" s="43">
        <f t="shared" si="109"/>
        <v>0</v>
      </c>
      <c r="Q620" s="36"/>
      <c r="R620" s="27"/>
    </row>
    <row r="621" spans="1:18" ht="39.6" x14ac:dyDescent="0.3">
      <c r="A621" s="3" t="str">
        <f>'Autoévaluation client'!A641</f>
        <v>12.11.a</v>
      </c>
      <c r="B621" s="6" t="str">
        <f>'Autoévaluation client'!C641</f>
        <v>Des projets ou des mesures visant à promouvoir la sécurité dans les loisirs sont-ils déjà en cours? Si oui, sur quels thèmes sont-ils focalisés?</v>
      </c>
      <c r="C621" s="38">
        <f>IF(ISBLANK('Autoévaluation client'!D641),0,1)</f>
        <v>0</v>
      </c>
      <c r="D621" s="165" t="str">
        <f>IF(AND('Autoévaluation client'!D641="",'Autoévaluation client'!E641=""),"*","")</f>
        <v>*</v>
      </c>
      <c r="E621" s="39" t="str">
        <f>IF(ISBLANK('Autoévaluation client'!F641),"",'Autoévaluation client'!F641)</f>
        <v/>
      </c>
      <c r="F621" s="118"/>
      <c r="G621" s="118"/>
      <c r="H621" s="118"/>
      <c r="I621" s="118"/>
      <c r="J621" s="118"/>
      <c r="K621" s="118"/>
      <c r="L621" s="112"/>
      <c r="M621" s="37"/>
      <c r="N621" s="27"/>
      <c r="O621" s="28">
        <f t="shared" si="108"/>
        <v>0</v>
      </c>
      <c r="P621" s="43">
        <f t="shared" si="109"/>
        <v>0</v>
      </c>
      <c r="Q621" s="36"/>
      <c r="R621" s="27"/>
    </row>
    <row r="622" spans="1:18" x14ac:dyDescent="0.3">
      <c r="A622" s="3" t="str">
        <f>'Autoévaluation client'!A642</f>
        <v>12.11.b</v>
      </c>
      <c r="B622" s="6" t="str">
        <f>'Autoévaluation client'!C642</f>
        <v>Trébucher et chuter?</v>
      </c>
      <c r="C622" s="38">
        <f>IF(ISBLANK('Autoévaluation client'!D642),0,1)</f>
        <v>0</v>
      </c>
      <c r="D622" s="165" t="str">
        <f>IF(AND('Autoévaluation client'!D642="",'Autoévaluation client'!E642=""),"*","")</f>
        <v>*</v>
      </c>
      <c r="E622" s="39" t="str">
        <f>IF(ISBLANK('Autoévaluation client'!F642),"",'Autoévaluation client'!F642)</f>
        <v/>
      </c>
      <c r="F622" s="118"/>
      <c r="G622" s="118"/>
      <c r="H622" s="118"/>
      <c r="I622" s="118"/>
      <c r="J622" s="118"/>
      <c r="K622" s="118"/>
      <c r="L622" s="112"/>
      <c r="M622" s="37">
        <v>1</v>
      </c>
      <c r="N622" s="27"/>
      <c r="O622" s="28">
        <f t="shared" si="108"/>
        <v>0</v>
      </c>
      <c r="P622" s="43">
        <f t="shared" si="109"/>
        <v>0</v>
      </c>
      <c r="Q622" s="36"/>
      <c r="R622" s="27"/>
    </row>
    <row r="623" spans="1:18" x14ac:dyDescent="0.3">
      <c r="A623" s="3" t="str">
        <f>'Autoévaluation client'!A643</f>
        <v>12.11.c</v>
      </c>
      <c r="B623" s="6" t="str">
        <f>'Autoévaluation client'!C643</f>
        <v>Sports de balle?</v>
      </c>
      <c r="C623" s="38">
        <f>IF(ISBLANK('Autoévaluation client'!D643),0,1)</f>
        <v>0</v>
      </c>
      <c r="D623" s="165" t="str">
        <f>IF(AND('Autoévaluation client'!D643="",'Autoévaluation client'!E643=""),"*","")</f>
        <v>*</v>
      </c>
      <c r="E623" s="39" t="str">
        <f>IF(ISBLANK('Autoévaluation client'!F643),"",'Autoévaluation client'!F643)</f>
        <v/>
      </c>
      <c r="F623" s="118"/>
      <c r="G623" s="118"/>
      <c r="H623" s="118"/>
      <c r="I623" s="118"/>
      <c r="J623" s="118"/>
      <c r="K623" s="118"/>
      <c r="L623" s="112"/>
      <c r="M623" s="37">
        <v>1</v>
      </c>
      <c r="N623" s="27"/>
      <c r="O623" s="28">
        <f t="shared" si="108"/>
        <v>0</v>
      </c>
      <c r="P623" s="43">
        <f t="shared" si="109"/>
        <v>0</v>
      </c>
      <c r="Q623" s="36"/>
      <c r="R623" s="27"/>
    </row>
    <row r="624" spans="1:18" x14ac:dyDescent="0.3">
      <c r="A624" s="3" t="str">
        <f>'Autoévaluation client'!A644</f>
        <v>12.11.d</v>
      </c>
      <c r="B624" s="6" t="str">
        <f>'Autoévaluation client'!C644</f>
        <v>Sports d'hiver?</v>
      </c>
      <c r="C624" s="38">
        <f>IF(ISBLANK('Autoévaluation client'!D644),0,1)</f>
        <v>0</v>
      </c>
      <c r="D624" s="165" t="str">
        <f>IF(AND('Autoévaluation client'!D644="",'Autoévaluation client'!E644=""),"*","")</f>
        <v>*</v>
      </c>
      <c r="E624" s="39" t="str">
        <f>IF(ISBLANK('Autoévaluation client'!F644),"",'Autoévaluation client'!F644)</f>
        <v/>
      </c>
      <c r="F624" s="118"/>
      <c r="G624" s="118"/>
      <c r="H624" s="118"/>
      <c r="I624" s="118"/>
      <c r="J624" s="118"/>
      <c r="K624" s="118"/>
      <c r="L624" s="112"/>
      <c r="M624" s="37">
        <v>1</v>
      </c>
      <c r="N624" s="27"/>
      <c r="O624" s="28">
        <f t="shared" si="108"/>
        <v>0</v>
      </c>
      <c r="P624" s="43">
        <f t="shared" si="109"/>
        <v>0</v>
      </c>
      <c r="Q624" s="36"/>
      <c r="R624" s="27"/>
    </row>
    <row r="625" spans="1:18" x14ac:dyDescent="0.3">
      <c r="A625" s="3" t="str">
        <f>'Autoévaluation client'!A645</f>
        <v>12.11.e</v>
      </c>
      <c r="B625" s="6" t="str">
        <f>'Autoévaluation client'!C645</f>
        <v>Maison et jardin?</v>
      </c>
      <c r="C625" s="38">
        <f>IF(ISBLANK('Autoévaluation client'!D645),0,1)</f>
        <v>0</v>
      </c>
      <c r="D625" s="165" t="str">
        <f>IF(AND('Autoévaluation client'!D645="",'Autoévaluation client'!E645=""),"*","")</f>
        <v>*</v>
      </c>
      <c r="E625" s="39" t="str">
        <f>IF(ISBLANK('Autoévaluation client'!F645),"",'Autoévaluation client'!F645)</f>
        <v/>
      </c>
      <c r="F625" s="118"/>
      <c r="G625" s="118"/>
      <c r="H625" s="118"/>
      <c r="I625" s="118"/>
      <c r="J625" s="118"/>
      <c r="K625" s="118"/>
      <c r="L625" s="112"/>
      <c r="M625" s="37">
        <v>1</v>
      </c>
      <c r="N625" s="27"/>
      <c r="O625" s="28">
        <f t="shared" si="108"/>
        <v>0</v>
      </c>
      <c r="P625" s="43">
        <f t="shared" si="109"/>
        <v>0</v>
      </c>
      <c r="Q625" s="36"/>
      <c r="R625" s="27"/>
    </row>
    <row r="626" spans="1:18" x14ac:dyDescent="0.3">
      <c r="A626" s="3" t="str">
        <f>'Autoévaluation client'!A646</f>
        <v>12.11.f</v>
      </c>
      <c r="B626" s="6" t="str">
        <f>'Autoévaluation client'!C646</f>
        <v>Autres thèmes?</v>
      </c>
      <c r="C626" s="38">
        <f>IF(ISBLANK('Autoévaluation client'!D646),0,1)</f>
        <v>0</v>
      </c>
      <c r="D626" s="165" t="str">
        <f>IF(AND('Autoévaluation client'!D646="",'Autoévaluation client'!E646=""),"*","")</f>
        <v>*</v>
      </c>
      <c r="E626" s="39" t="str">
        <f>IF(ISBLANK('Autoévaluation client'!F646),"",'Autoévaluation client'!F646)</f>
        <v/>
      </c>
      <c r="F626" s="118"/>
      <c r="G626" s="118"/>
      <c r="H626" s="118"/>
      <c r="I626" s="118"/>
      <c r="J626" s="118"/>
      <c r="K626" s="118"/>
      <c r="L626" s="112"/>
      <c r="M626" s="37">
        <v>1</v>
      </c>
      <c r="N626" s="27"/>
      <c r="O626" s="28">
        <f t="shared" si="108"/>
        <v>0</v>
      </c>
      <c r="P626" s="43">
        <f t="shared" si="109"/>
        <v>0</v>
      </c>
      <c r="Q626" s="36"/>
      <c r="R626" s="27"/>
    </row>
    <row r="627" spans="1:18" ht="26.4" x14ac:dyDescent="0.3">
      <c r="A627" s="3" t="str">
        <f>'Autoévaluation client'!A647</f>
        <v>12.12.</v>
      </c>
      <c r="B627" s="6" t="str">
        <f>'Autoévaluation client'!C647</f>
        <v>Des objectifs concrets sont-ils poursuivis au travers de ces projets et mesures? Si oui, lesquels?</v>
      </c>
      <c r="C627" s="38">
        <f>IF(ISBLANK('Autoévaluation client'!D647),0,1)</f>
        <v>0</v>
      </c>
      <c r="D627" s="165" t="str">
        <f>IF(AND('Autoévaluation client'!D647="",'Autoévaluation client'!E647=""),"*","")</f>
        <v>*</v>
      </c>
      <c r="E627" s="39" t="str">
        <f>IF(ISBLANK('Autoévaluation client'!F647),"",'Autoévaluation client'!F647)</f>
        <v/>
      </c>
      <c r="F627" s="118"/>
      <c r="G627" s="118"/>
      <c r="H627" s="118"/>
      <c r="I627" s="118"/>
      <c r="J627" s="118"/>
      <c r="K627" s="118"/>
      <c r="L627" s="112"/>
      <c r="M627" s="37">
        <v>1</v>
      </c>
      <c r="N627" s="27"/>
      <c r="O627" s="28">
        <f t="shared" si="108"/>
        <v>0</v>
      </c>
      <c r="P627" s="43">
        <f t="shared" si="109"/>
        <v>0</v>
      </c>
      <c r="Q627" s="36"/>
      <c r="R627" s="27"/>
    </row>
    <row r="628" spans="1:18" ht="26.4" x14ac:dyDescent="0.3">
      <c r="A628" s="3" t="str">
        <f>'Autoévaluation client'!A648</f>
        <v>12.13.</v>
      </c>
      <c r="B628" s="6" t="str">
        <f>'Autoévaluation client'!C648</f>
        <v>Ces projets et mesures sont-ils évalués de sorte à en tirer des enseignements ou des conséquences?</v>
      </c>
      <c r="C628" s="38">
        <f>IF(ISBLANK('Autoévaluation client'!D648),0,1)</f>
        <v>0</v>
      </c>
      <c r="D628" s="165" t="str">
        <f>IF(AND('Autoévaluation client'!D648="",'Autoévaluation client'!E648=""),"*","")</f>
        <v>*</v>
      </c>
      <c r="E628" s="39" t="str">
        <f>IF(ISBLANK('Autoévaluation client'!F648),"",'Autoévaluation client'!F648)</f>
        <v/>
      </c>
      <c r="F628" s="118"/>
      <c r="G628" s="118"/>
      <c r="H628" s="118"/>
      <c r="I628" s="118"/>
      <c r="J628" s="118"/>
      <c r="K628" s="118"/>
      <c r="L628" s="112"/>
      <c r="M628" s="37">
        <v>1</v>
      </c>
      <c r="N628" s="27"/>
      <c r="O628" s="28">
        <f t="shared" si="108"/>
        <v>0</v>
      </c>
      <c r="P628" s="43">
        <f t="shared" si="109"/>
        <v>0</v>
      </c>
      <c r="Q628" s="36"/>
      <c r="R628" s="27"/>
    </row>
    <row r="629" spans="1:18" x14ac:dyDescent="0.3">
      <c r="A629" s="34" t="str">
        <f>'Autoévaluation client'!A650</f>
        <v>13</v>
      </c>
      <c r="B629" s="7" t="str">
        <f>'Autoévaluation client'!B650</f>
        <v>GSE: Gestion de la santé en entreprise (facultatif)</v>
      </c>
      <c r="C629" s="30">
        <f>O629/N629</f>
        <v>0</v>
      </c>
      <c r="D629" s="18"/>
      <c r="E629" s="18"/>
      <c r="F629" s="18"/>
      <c r="G629" s="18"/>
      <c r="H629" s="18"/>
      <c r="I629" s="18"/>
      <c r="J629" s="18"/>
      <c r="K629" s="18"/>
      <c r="L629" s="114">
        <f>P629/N629</f>
        <v>0</v>
      </c>
      <c r="M629" s="5"/>
      <c r="N629" s="5">
        <f>SUM(M630:M656)</f>
        <v>27</v>
      </c>
      <c r="O629" s="4">
        <f>SUM(O630:O656)</f>
        <v>0</v>
      </c>
      <c r="P629" s="4">
        <f>SUM(P630:P656)</f>
        <v>0</v>
      </c>
      <c r="Q629" s="35"/>
      <c r="R629" s="35"/>
    </row>
    <row r="630" spans="1:18" ht="52.8" x14ac:dyDescent="0.3">
      <c r="A630" s="3" t="str">
        <f>'Autoévaluation client'!A652</f>
        <v>13.1.</v>
      </c>
      <c r="B630" s="6" t="str">
        <f>'Autoévaluation client'!C652</f>
        <v>Y a-t-il une déclaration d'intention explicitement exprimée par la direction visant à intégrer la gestion de la santé en entreprise dans la politique de l'entreprise et dans son mode de gestion?</v>
      </c>
      <c r="C630" s="38">
        <f>IF(ISBLANK('Autoévaluation client'!D652),0,1)</f>
        <v>0</v>
      </c>
      <c r="D630" s="165" t="str">
        <f>IF(AND('Autoévaluation client'!D652="",'Autoévaluation client'!E652=""),"*","")</f>
        <v>*</v>
      </c>
      <c r="E630" s="39" t="str">
        <f>IF(ISBLANK('Autoévaluation client'!F652),"",'Autoévaluation client'!F652)</f>
        <v/>
      </c>
      <c r="F630" s="118"/>
      <c r="G630" s="118"/>
      <c r="H630" s="118"/>
      <c r="I630" s="118"/>
      <c r="J630" s="118"/>
      <c r="K630" s="118"/>
      <c r="L630" s="112"/>
      <c r="M630" s="37">
        <v>1</v>
      </c>
      <c r="N630" s="27"/>
      <c r="O630" s="28">
        <f t="shared" ref="O630:O656" si="110">C630*M630</f>
        <v>0</v>
      </c>
      <c r="P630" s="43">
        <f t="shared" si="109"/>
        <v>0</v>
      </c>
      <c r="Q630" s="36"/>
      <c r="R630" s="27"/>
    </row>
    <row r="631" spans="1:18" ht="26.4" x14ac:dyDescent="0.3">
      <c r="A631" s="3" t="str">
        <f>'Autoévaluation client'!A653</f>
        <v>13.2.a</v>
      </c>
      <c r="B631" s="6" t="str">
        <f>'Autoévaluation client'!C653</f>
        <v>Y a-t-il un concept avec:
Des buts?</v>
      </c>
      <c r="C631" s="38">
        <f>IF(ISBLANK('Autoévaluation client'!D653),0,1)</f>
        <v>0</v>
      </c>
      <c r="D631" s="165" t="str">
        <f>IF(AND('Autoévaluation client'!D653="",'Autoévaluation client'!E653=""),"*","")</f>
        <v>*</v>
      </c>
      <c r="E631" s="39" t="str">
        <f>IF(ISBLANK('Autoévaluation client'!F653),"",'Autoévaluation client'!F653)</f>
        <v/>
      </c>
      <c r="F631" s="118"/>
      <c r="G631" s="118"/>
      <c r="H631" s="118"/>
      <c r="I631" s="118"/>
      <c r="J631" s="118"/>
      <c r="K631" s="118"/>
      <c r="L631" s="112"/>
      <c r="M631" s="37">
        <v>1</v>
      </c>
      <c r="N631" s="27"/>
      <c r="O631" s="28">
        <f t="shared" si="110"/>
        <v>0</v>
      </c>
      <c r="P631" s="43">
        <f t="shared" ref="P631:P653" si="111">L631*M631</f>
        <v>0</v>
      </c>
      <c r="Q631" s="36"/>
      <c r="R631" s="27"/>
    </row>
    <row r="632" spans="1:18" x14ac:dyDescent="0.3">
      <c r="A632" s="3" t="str">
        <f>'Autoévaluation client'!A654</f>
        <v>13.2.b</v>
      </c>
      <c r="B632" s="6" t="str">
        <f>'Autoévaluation client'!C654</f>
        <v>Une approche et un agenda?</v>
      </c>
      <c r="C632" s="38">
        <f>IF(ISBLANK('Autoévaluation client'!D654),0,1)</f>
        <v>0</v>
      </c>
      <c r="D632" s="165" t="str">
        <f>IF(AND('Autoévaluation client'!D654="",'Autoévaluation client'!E654=""),"*","")</f>
        <v>*</v>
      </c>
      <c r="E632" s="39" t="str">
        <f>IF(ISBLANK('Autoévaluation client'!F654),"",'Autoévaluation client'!F654)</f>
        <v/>
      </c>
      <c r="F632" s="118"/>
      <c r="G632" s="118"/>
      <c r="H632" s="118"/>
      <c r="I632" s="118"/>
      <c r="J632" s="118"/>
      <c r="K632" s="118"/>
      <c r="L632" s="112"/>
      <c r="M632" s="37">
        <v>1</v>
      </c>
      <c r="N632" s="27"/>
      <c r="O632" s="28">
        <f t="shared" si="110"/>
        <v>0</v>
      </c>
      <c r="P632" s="43">
        <f t="shared" si="111"/>
        <v>0</v>
      </c>
      <c r="Q632" s="36"/>
      <c r="R632" s="27"/>
    </row>
    <row r="633" spans="1:18" x14ac:dyDescent="0.3">
      <c r="A633" s="3" t="str">
        <f>'Autoévaluation client'!A655</f>
        <v>13.2.c</v>
      </c>
      <c r="B633" s="6" t="str">
        <f>'Autoévaluation client'!C655</f>
        <v>Une communication adaptée à des groupes cibles?</v>
      </c>
      <c r="C633" s="38">
        <f>IF(ISBLANK('Autoévaluation client'!D655),0,1)</f>
        <v>0</v>
      </c>
      <c r="D633" s="165" t="str">
        <f>IF(AND('Autoévaluation client'!D655="",'Autoévaluation client'!E655=""),"*","")</f>
        <v>*</v>
      </c>
      <c r="E633" s="39" t="str">
        <f>IF(ISBLANK('Autoévaluation client'!F655),"",'Autoévaluation client'!F655)</f>
        <v/>
      </c>
      <c r="F633" s="118"/>
      <c r="G633" s="118"/>
      <c r="H633" s="118"/>
      <c r="I633" s="118"/>
      <c r="J633" s="118"/>
      <c r="K633" s="118"/>
      <c r="L633" s="112"/>
      <c r="M633" s="37">
        <v>1</v>
      </c>
      <c r="N633" s="27"/>
      <c r="O633" s="28">
        <f t="shared" si="110"/>
        <v>0</v>
      </c>
      <c r="P633" s="43">
        <f t="shared" si="111"/>
        <v>0</v>
      </c>
      <c r="Q633" s="36"/>
      <c r="R633" s="27"/>
    </row>
    <row r="634" spans="1:18" x14ac:dyDescent="0.3">
      <c r="A634" s="3" t="str">
        <f>'Autoévaluation client'!A656</f>
        <v>13.2.d</v>
      </c>
      <c r="B634" s="6" t="str">
        <f>'Autoévaluation client'!C656</f>
        <v>Un cadre budgétaire pour des projets de GSE?</v>
      </c>
      <c r="C634" s="38">
        <f>IF(ISBLANK('Autoévaluation client'!D656),0,1)</f>
        <v>0</v>
      </c>
      <c r="D634" s="165" t="str">
        <f>IF(AND('Autoévaluation client'!D656="",'Autoévaluation client'!E656=""),"*","")</f>
        <v>*</v>
      </c>
      <c r="E634" s="39" t="str">
        <f>IF(ISBLANK('Autoévaluation client'!F656),"",'Autoévaluation client'!F656)</f>
        <v/>
      </c>
      <c r="F634" s="118"/>
      <c r="G634" s="118"/>
      <c r="H634" s="118"/>
      <c r="I634" s="118"/>
      <c r="J634" s="118"/>
      <c r="K634" s="118"/>
      <c r="L634" s="112"/>
      <c r="M634" s="37">
        <v>1</v>
      </c>
      <c r="N634" s="27"/>
      <c r="O634" s="28">
        <f t="shared" si="110"/>
        <v>0</v>
      </c>
      <c r="P634" s="43">
        <f t="shared" si="111"/>
        <v>0</v>
      </c>
      <c r="Q634" s="36"/>
      <c r="R634" s="27"/>
    </row>
    <row r="635" spans="1:18" ht="26.4" x14ac:dyDescent="0.3">
      <c r="A635" s="3" t="str">
        <f>'Autoévaluation client'!A657</f>
        <v>13.3.</v>
      </c>
      <c r="B635" s="6" t="str">
        <f>'Autoévaluation client'!C657</f>
        <v>Y a-t-il une personne ou un groupe responsable en charge des projets de GSE?</v>
      </c>
      <c r="C635" s="38">
        <f>IF(ISBLANK('Autoévaluation client'!D657),0,1)</f>
        <v>0</v>
      </c>
      <c r="D635" s="165" t="str">
        <f>IF(AND('Autoévaluation client'!D657="",'Autoévaluation client'!E657=""),"*","")</f>
        <v>*</v>
      </c>
      <c r="E635" s="39" t="str">
        <f>IF(ISBLANK('Autoévaluation client'!F657),"",'Autoévaluation client'!F657)</f>
        <v/>
      </c>
      <c r="F635" s="118"/>
      <c r="G635" s="118"/>
      <c r="H635" s="118"/>
      <c r="I635" s="118"/>
      <c r="J635" s="118"/>
      <c r="K635" s="118"/>
      <c r="L635" s="112"/>
      <c r="M635" s="37">
        <v>1</v>
      </c>
      <c r="N635" s="27"/>
      <c r="O635" s="28">
        <f t="shared" si="110"/>
        <v>0</v>
      </c>
      <c r="P635" s="43">
        <f t="shared" si="111"/>
        <v>0</v>
      </c>
      <c r="Q635" s="36"/>
      <c r="R635" s="27"/>
    </row>
    <row r="636" spans="1:18" ht="26.4" x14ac:dyDescent="0.3">
      <c r="A636" s="3" t="str">
        <f>'Autoévaluation client'!A658</f>
        <v>13.4.</v>
      </c>
      <c r="B636" s="6" t="str">
        <f>'Autoévaluation client'!C658</f>
        <v>Cette personne ou les membres de ce groupe responsable disposent-ils d'une formation dans le domaine de la GSE?</v>
      </c>
      <c r="C636" s="38">
        <f>IF(ISBLANK('Autoévaluation client'!D658),0,1)</f>
        <v>0</v>
      </c>
      <c r="D636" s="165" t="str">
        <f>IF(AND('Autoévaluation client'!D658="",'Autoévaluation client'!E658=""),"*","")</f>
        <v>*</v>
      </c>
      <c r="E636" s="39" t="str">
        <f>IF(ISBLANK('Autoévaluation client'!F658),"",'Autoévaluation client'!F658)</f>
        <v/>
      </c>
      <c r="F636" s="118"/>
      <c r="G636" s="118"/>
      <c r="H636" s="118"/>
      <c r="I636" s="118"/>
      <c r="J636" s="118"/>
      <c r="K636" s="118"/>
      <c r="L636" s="112"/>
      <c r="M636" s="37">
        <v>1</v>
      </c>
      <c r="N636" s="27"/>
      <c r="O636" s="28">
        <f t="shared" si="110"/>
        <v>0</v>
      </c>
      <c r="P636" s="43">
        <f t="shared" si="111"/>
        <v>0</v>
      </c>
      <c r="Q636" s="36"/>
      <c r="R636" s="27"/>
    </row>
    <row r="637" spans="1:18" ht="66" x14ac:dyDescent="0.3">
      <c r="A637" s="3" t="str">
        <f>'Autoévaluation client'!A659</f>
        <v>13.5.</v>
      </c>
      <c r="B637" s="6" t="str">
        <f>'Autoévaluation client'!C659</f>
        <v>L'approche GSE est-elle fondée sur des points forts découlant des besoins perçus par l'entreprise ou des besoins tels qu'ils résultent d'une enquête auprès des collaborateurs, par ex. via un sondage ou des cercles de santé?</v>
      </c>
      <c r="C637" s="38">
        <f>IF(ISBLANK('Autoévaluation client'!D659),0,1)</f>
        <v>0</v>
      </c>
      <c r="D637" s="165" t="str">
        <f>IF(AND('Autoévaluation client'!D659="",'Autoévaluation client'!E659=""),"*","")</f>
        <v>*</v>
      </c>
      <c r="E637" s="39" t="str">
        <f>IF(ISBLANK('Autoévaluation client'!F659),"",'Autoévaluation client'!F659)</f>
        <v/>
      </c>
      <c r="F637" s="118"/>
      <c r="G637" s="118"/>
      <c r="H637" s="118"/>
      <c r="I637" s="118"/>
      <c r="J637" s="118"/>
      <c r="K637" s="118"/>
      <c r="L637" s="112"/>
      <c r="M637" s="37">
        <v>1</v>
      </c>
      <c r="N637" s="27"/>
      <c r="O637" s="28">
        <f t="shared" si="110"/>
        <v>0</v>
      </c>
      <c r="P637" s="43">
        <f t="shared" si="111"/>
        <v>0</v>
      </c>
      <c r="Q637" s="36"/>
      <c r="R637" s="27"/>
    </row>
    <row r="638" spans="1:18" ht="52.8" x14ac:dyDescent="0.3">
      <c r="A638" s="3" t="str">
        <f>'Autoévaluation client'!A660</f>
        <v>13.6.a</v>
      </c>
      <c r="B638" s="6" t="str">
        <f>'Autoévaluation client'!C660</f>
        <v>Les collaborateurs sont-ils incités à se former sur certains thèmes par des cours, ateliers ou offres de sensibilisation tels que:
Bouger suffisamment, faire du sport?</v>
      </c>
      <c r="C638" s="38">
        <f>IF(ISBLANK('Autoévaluation client'!D660),0,1)</f>
        <v>0</v>
      </c>
      <c r="D638" s="165" t="str">
        <f>IF(AND('Autoévaluation client'!D660="",'Autoévaluation client'!E660=""),"*","")</f>
        <v>*</v>
      </c>
      <c r="E638" s="39" t="str">
        <f>IF(ISBLANK('Autoévaluation client'!F660),"",'Autoévaluation client'!F660)</f>
        <v/>
      </c>
      <c r="F638" s="118"/>
      <c r="G638" s="118"/>
      <c r="H638" s="118"/>
      <c r="I638" s="118"/>
      <c r="J638" s="118"/>
      <c r="K638" s="118"/>
      <c r="L638" s="112"/>
      <c r="M638" s="37">
        <v>1</v>
      </c>
      <c r="N638" s="27"/>
      <c r="O638" s="28">
        <f t="shared" si="110"/>
        <v>0</v>
      </c>
      <c r="P638" s="43">
        <f t="shared" si="111"/>
        <v>0</v>
      </c>
      <c r="Q638" s="36"/>
      <c r="R638" s="27"/>
    </row>
    <row r="639" spans="1:18" x14ac:dyDescent="0.3">
      <c r="A639" s="3" t="str">
        <f>'Autoévaluation client'!A661</f>
        <v>13.6.b</v>
      </c>
      <c r="B639" s="6" t="str">
        <f>'Autoévaluation client'!C661</f>
        <v>Nutrition / gestion du poids?</v>
      </c>
      <c r="C639" s="38">
        <f>IF(ISBLANK('Autoévaluation client'!D661),0,1)</f>
        <v>0</v>
      </c>
      <c r="D639" s="165" t="str">
        <f>IF(AND('Autoévaluation client'!D661="",'Autoévaluation client'!E661=""),"*","")</f>
        <v>*</v>
      </c>
      <c r="E639" s="39" t="str">
        <f>IF(ISBLANK('Autoévaluation client'!F661),"",'Autoévaluation client'!F661)</f>
        <v/>
      </c>
      <c r="F639" s="118"/>
      <c r="G639" s="118"/>
      <c r="H639" s="118"/>
      <c r="I639" s="118"/>
      <c r="J639" s="118"/>
      <c r="K639" s="118"/>
      <c r="L639" s="112"/>
      <c r="M639" s="37">
        <v>1</v>
      </c>
      <c r="N639" s="27"/>
      <c r="O639" s="28">
        <f t="shared" si="110"/>
        <v>0</v>
      </c>
      <c r="P639" s="43">
        <f t="shared" si="111"/>
        <v>0</v>
      </c>
      <c r="Q639" s="36"/>
      <c r="R639" s="27"/>
    </row>
    <row r="640" spans="1:18" ht="39.6" x14ac:dyDescent="0.3">
      <c r="A640" s="3" t="str">
        <f>'Autoévaluation client'!A662</f>
        <v>13.6.c</v>
      </c>
      <c r="B640" s="6" t="str">
        <f>'Autoévaluation client'!C662</f>
        <v>Strategies contre le stress und le burnout (gestion du stress, méthodes de relaxation, moments de détente, gestion du temps, gestion du changement) ?</v>
      </c>
      <c r="C640" s="38">
        <f>IF(ISBLANK('Autoévaluation client'!D662),0,1)</f>
        <v>0</v>
      </c>
      <c r="D640" s="165" t="str">
        <f>IF(AND('Autoévaluation client'!D662="",'Autoévaluation client'!E662=""),"*","")</f>
        <v>*</v>
      </c>
      <c r="E640" s="39" t="str">
        <f>IF(ISBLANK('Autoévaluation client'!F662),"",'Autoévaluation client'!F662)</f>
        <v/>
      </c>
      <c r="F640" s="118"/>
      <c r="G640" s="118"/>
      <c r="H640" s="118"/>
      <c r="I640" s="118"/>
      <c r="J640" s="118"/>
      <c r="K640" s="118"/>
      <c r="L640" s="112"/>
      <c r="M640" s="37">
        <v>1</v>
      </c>
      <c r="N640" s="27"/>
      <c r="O640" s="28">
        <f t="shared" si="110"/>
        <v>0</v>
      </c>
      <c r="P640" s="43">
        <f t="shared" si="111"/>
        <v>0</v>
      </c>
      <c r="Q640" s="36"/>
      <c r="R640" s="27"/>
    </row>
    <row r="641" spans="1:18" ht="26.4" x14ac:dyDescent="0.3">
      <c r="A641" s="3" t="str">
        <f>'Autoévaluation client'!A663</f>
        <v>13.6.d</v>
      </c>
      <c r="B641" s="6" t="str">
        <f>'Autoévaluation client'!C663</f>
        <v>Gestion de contraintes organisationnelles particulières, telles que le travail en équipe ou le travail de nuit?</v>
      </c>
      <c r="C641" s="38">
        <f>IF(ISBLANK('Autoévaluation client'!D663),0,1)</f>
        <v>0</v>
      </c>
      <c r="D641" s="165" t="str">
        <f>IF(AND('Autoévaluation client'!D663="",'Autoévaluation client'!E663=""),"*","")</f>
        <v>*</v>
      </c>
      <c r="E641" s="39" t="str">
        <f>IF(ISBLANK('Autoévaluation client'!F663),"",'Autoévaluation client'!F663)</f>
        <v/>
      </c>
      <c r="F641" s="118"/>
      <c r="G641" s="118"/>
      <c r="H641" s="118"/>
      <c r="I641" s="118"/>
      <c r="J641" s="118"/>
      <c r="K641" s="118"/>
      <c r="L641" s="112"/>
      <c r="M641" s="37">
        <v>1</v>
      </c>
      <c r="N641" s="27"/>
      <c r="O641" s="28">
        <f t="shared" si="110"/>
        <v>0</v>
      </c>
      <c r="P641" s="43">
        <f t="shared" si="111"/>
        <v>0</v>
      </c>
      <c r="Q641" s="36"/>
      <c r="R641" s="27"/>
    </row>
    <row r="642" spans="1:18" x14ac:dyDescent="0.3">
      <c r="A642" s="3" t="str">
        <f>'Autoévaluation client'!A664</f>
        <v>13.6.e</v>
      </c>
      <c r="B642" s="6" t="str">
        <f>'Autoévaluation client'!C664</f>
        <v>Equilibre travail/loisir (Work-Life Balance)?</v>
      </c>
      <c r="C642" s="38">
        <f>IF(ISBLANK('Autoévaluation client'!D664),0,1)</f>
        <v>0</v>
      </c>
      <c r="D642" s="165" t="str">
        <f>IF(AND('Autoévaluation client'!D664="",'Autoévaluation client'!E664=""),"*","")</f>
        <v>*</v>
      </c>
      <c r="E642" s="39" t="str">
        <f>IF(ISBLANK('Autoévaluation client'!F664),"",'Autoévaluation client'!F664)</f>
        <v/>
      </c>
      <c r="F642" s="118"/>
      <c r="G642" s="118"/>
      <c r="H642" s="118"/>
      <c r="I642" s="118"/>
      <c r="J642" s="118"/>
      <c r="K642" s="118"/>
      <c r="L642" s="112"/>
      <c r="M642" s="37">
        <v>1</v>
      </c>
      <c r="N642" s="27"/>
      <c r="O642" s="28">
        <f t="shared" si="110"/>
        <v>0</v>
      </c>
      <c r="P642" s="43">
        <f t="shared" ref="P642" si="112">L642*M642</f>
        <v>0</v>
      </c>
      <c r="Q642" s="36"/>
      <c r="R642" s="27"/>
    </row>
    <row r="643" spans="1:18" x14ac:dyDescent="0.3">
      <c r="A643" s="3" t="str">
        <f>'Autoévaluation client'!A665</f>
        <v>13.6.f</v>
      </c>
      <c r="B643" s="6" t="str">
        <f>'Autoévaluation client'!C665</f>
        <v>Sommeil et repos?</v>
      </c>
      <c r="C643" s="38">
        <f>IF(ISBLANK('Autoévaluation client'!D665),0,1)</f>
        <v>0</v>
      </c>
      <c r="D643" s="165" t="str">
        <f>IF(AND('Autoévaluation client'!D665="",'Autoévaluation client'!E665=""),"*","")</f>
        <v>*</v>
      </c>
      <c r="E643" s="39" t="str">
        <f>IF(ISBLANK('Autoévaluation client'!F665),"",'Autoévaluation client'!F665)</f>
        <v/>
      </c>
      <c r="F643" s="118"/>
      <c r="G643" s="118"/>
      <c r="H643" s="118"/>
      <c r="I643" s="118"/>
      <c r="J643" s="118"/>
      <c r="K643" s="118"/>
      <c r="L643" s="112"/>
      <c r="M643" s="37">
        <v>1</v>
      </c>
      <c r="N643" s="27"/>
      <c r="O643" s="28">
        <f t="shared" si="110"/>
        <v>0</v>
      </c>
      <c r="P643" s="43">
        <f t="shared" si="111"/>
        <v>0</v>
      </c>
      <c r="Q643" s="36"/>
      <c r="R643" s="27"/>
    </row>
    <row r="644" spans="1:18" x14ac:dyDescent="0.3">
      <c r="A644" s="3" t="str">
        <f>'Autoévaluation client'!A666</f>
        <v>13.6.g</v>
      </c>
      <c r="B644" s="6" t="str">
        <f>'Autoévaluation client'!C666</f>
        <v>Prévention des dépendances?</v>
      </c>
      <c r="C644" s="38">
        <f>IF(ISBLANK('Autoévaluation client'!D666),0,1)</f>
        <v>0</v>
      </c>
      <c r="D644" s="165" t="str">
        <f>IF(AND('Autoévaluation client'!D666="",'Autoévaluation client'!E666=""),"*","")</f>
        <v>*</v>
      </c>
      <c r="E644" s="39" t="str">
        <f>IF(ISBLANK('Autoévaluation client'!F666),"",'Autoévaluation client'!F666)</f>
        <v/>
      </c>
      <c r="F644" s="118"/>
      <c r="G644" s="118"/>
      <c r="H644" s="118"/>
      <c r="I644" s="118"/>
      <c r="J644" s="118"/>
      <c r="K644" s="118"/>
      <c r="L644" s="112"/>
      <c r="M644" s="37">
        <v>1</v>
      </c>
      <c r="N644" s="27"/>
      <c r="O644" s="28">
        <f t="shared" si="110"/>
        <v>0</v>
      </c>
      <c r="P644" s="43">
        <f t="shared" si="111"/>
        <v>0</v>
      </c>
      <c r="Q644" s="36"/>
      <c r="R644" s="27"/>
    </row>
    <row r="645" spans="1:18" ht="66" x14ac:dyDescent="0.3">
      <c r="A645" s="3" t="str">
        <f>'Autoévaluation client'!A668</f>
        <v>13.7.a</v>
      </c>
      <c r="B645" s="6" t="str">
        <f>'Autoévaluation client'!C668</f>
        <v>La formation sur les thèmes suivants sont-ils encouragés:
formation en management (influence du management sur la GSE, culture de la reconnaissance du travail accompli, cohésion d'équipe, cas de conflits, cas de dépendance, etc.) ?</v>
      </c>
      <c r="C645" s="38">
        <f>IF(ISBLANK('Autoévaluation client'!D668),0,1)</f>
        <v>0</v>
      </c>
      <c r="D645" s="165" t="str">
        <f>IF(AND('Autoévaluation client'!D668="",'Autoévaluation client'!E668=""),"*","")</f>
        <v>*</v>
      </c>
      <c r="E645" s="39" t="str">
        <f>IF(ISBLANK('Autoévaluation client'!F668),"",'Autoévaluation client'!F668)</f>
        <v/>
      </c>
      <c r="F645" s="118"/>
      <c r="G645" s="118"/>
      <c r="H645" s="118"/>
      <c r="I645" s="118"/>
      <c r="J645" s="118"/>
      <c r="K645" s="118"/>
      <c r="L645" s="112"/>
      <c r="M645" s="37">
        <v>1</v>
      </c>
      <c r="N645" s="27"/>
      <c r="O645" s="28">
        <f t="shared" si="110"/>
        <v>0</v>
      </c>
      <c r="P645" s="43">
        <f t="shared" si="111"/>
        <v>0</v>
      </c>
      <c r="Q645" s="36"/>
      <c r="R645" s="27"/>
    </row>
    <row r="646" spans="1:18" ht="39.6" x14ac:dyDescent="0.3">
      <c r="A646" s="3" t="str">
        <f>'Autoévaluation client'!A669</f>
        <v>13.7.b</v>
      </c>
      <c r="B646" s="6" t="str">
        <f>'Autoévaluation client'!C669</f>
        <v>L'entreprise dispose-t-elle de locaux dédiés la GSE, tels que des pièces de repos, espaces de détente, douches, etc.?</v>
      </c>
      <c r="C646" s="38">
        <f>IF(ISBLANK('Autoévaluation client'!D669),0,1)</f>
        <v>0</v>
      </c>
      <c r="D646" s="165" t="str">
        <f>IF(AND('Autoévaluation client'!D669="",'Autoévaluation client'!E669=""),"*","")</f>
        <v>*</v>
      </c>
      <c r="E646" s="39" t="str">
        <f>IF(ISBLANK('Autoévaluation client'!F669),"",'Autoévaluation client'!F669)</f>
        <v/>
      </c>
      <c r="F646" s="118"/>
      <c r="G646" s="118"/>
      <c r="H646" s="118"/>
      <c r="I646" s="118"/>
      <c r="J646" s="118"/>
      <c r="K646" s="118"/>
      <c r="L646" s="112"/>
      <c r="M646" s="37">
        <v>1</v>
      </c>
      <c r="N646" s="27"/>
      <c r="O646" s="28">
        <f t="shared" si="110"/>
        <v>0</v>
      </c>
      <c r="P646" s="43">
        <f t="shared" si="111"/>
        <v>0</v>
      </c>
      <c r="Q646" s="36"/>
      <c r="R646" s="27"/>
    </row>
    <row r="647" spans="1:18" ht="26.4" x14ac:dyDescent="0.3">
      <c r="A647" s="3" t="str">
        <f>'Autoévaluation client'!A670</f>
        <v>13.7.c</v>
      </c>
      <c r="B647" s="6" t="str">
        <f>'Autoévaluation client'!C670</f>
        <v>Les places de travail sont-elles conçues selon les principes ergonomiques?</v>
      </c>
      <c r="C647" s="38">
        <f>IF(ISBLANK('Autoévaluation client'!D670),0,1)</f>
        <v>0</v>
      </c>
      <c r="D647" s="165" t="str">
        <f>IF(AND('Autoévaluation client'!D670="",'Autoévaluation client'!E670=""),"*","")</f>
        <v>*</v>
      </c>
      <c r="E647" s="39" t="str">
        <f>IF(ISBLANK('Autoévaluation client'!F670),"",'Autoévaluation client'!F670)</f>
        <v/>
      </c>
      <c r="F647" s="118"/>
      <c r="G647" s="118"/>
      <c r="H647" s="118"/>
      <c r="I647" s="118"/>
      <c r="J647" s="118"/>
      <c r="K647" s="118"/>
      <c r="L647" s="112"/>
      <c r="M647" s="37">
        <v>1</v>
      </c>
      <c r="N647" s="27"/>
      <c r="O647" s="28">
        <f t="shared" si="110"/>
        <v>0</v>
      </c>
      <c r="P647" s="43">
        <f t="shared" si="111"/>
        <v>0</v>
      </c>
      <c r="Q647" s="36"/>
      <c r="R647" s="27"/>
    </row>
    <row r="648" spans="1:18" ht="26.4" x14ac:dyDescent="0.3">
      <c r="A648" s="3" t="str">
        <f>'Autoévaluation client'!A671</f>
        <v>13.7.d</v>
      </c>
      <c r="B648" s="6" t="str">
        <f>'Autoévaluation client'!C671</f>
        <v>Les collaborateurs sont-ils instruits sur des thèmes tels que "porter juste" ou "se tenir correctement" ?</v>
      </c>
      <c r="C648" s="38">
        <f>IF(ISBLANK('Autoévaluation client'!D671),0,1)</f>
        <v>0</v>
      </c>
      <c r="D648" s="165" t="str">
        <f>IF(AND('Autoévaluation client'!D671="",'Autoévaluation client'!E671=""),"*","")</f>
        <v>*</v>
      </c>
      <c r="E648" s="39" t="str">
        <f>IF(ISBLANK('Autoévaluation client'!F671),"",'Autoévaluation client'!F671)</f>
        <v/>
      </c>
      <c r="F648" s="118"/>
      <c r="G648" s="118"/>
      <c r="H648" s="118"/>
      <c r="I648" s="118"/>
      <c r="J648" s="118"/>
      <c r="K648" s="118"/>
      <c r="L648" s="112"/>
      <c r="M648" s="37">
        <v>1</v>
      </c>
      <c r="N648" s="27"/>
      <c r="O648" s="28">
        <f t="shared" si="110"/>
        <v>0</v>
      </c>
      <c r="P648" s="43">
        <f t="shared" si="111"/>
        <v>0</v>
      </c>
      <c r="Q648" s="36"/>
      <c r="R648" s="27"/>
    </row>
    <row r="649" spans="1:18" ht="26.4" x14ac:dyDescent="0.3">
      <c r="A649" s="3" t="str">
        <f>'Autoévaluation client'!A672</f>
        <v>13.7.e</v>
      </c>
      <c r="B649" s="6" t="str">
        <f>'Autoévaluation client'!C672</f>
        <v>Les nouveaux collaborateurs/trices sont-ils sensibilisés à GSE, par ex. grâce un parrainage?</v>
      </c>
      <c r="C649" s="38">
        <f>IF(ISBLANK('Autoévaluation client'!D672),0,1)</f>
        <v>0</v>
      </c>
      <c r="D649" s="165" t="str">
        <f>IF(AND('Autoévaluation client'!D672="",'Autoévaluation client'!E672=""),"*","")</f>
        <v>*</v>
      </c>
      <c r="E649" s="39" t="str">
        <f>IF(ISBLANK('Autoévaluation client'!F672),"",'Autoévaluation client'!F672)</f>
        <v/>
      </c>
      <c r="F649" s="118"/>
      <c r="G649" s="118"/>
      <c r="H649" s="118"/>
      <c r="I649" s="118"/>
      <c r="J649" s="118"/>
      <c r="K649" s="118"/>
      <c r="L649" s="112"/>
      <c r="M649" s="37">
        <v>1</v>
      </c>
      <c r="N649" s="27"/>
      <c r="O649" s="28">
        <f t="shared" si="110"/>
        <v>0</v>
      </c>
      <c r="P649" s="43">
        <f t="shared" si="111"/>
        <v>0</v>
      </c>
      <c r="Q649" s="36"/>
      <c r="R649" s="27"/>
    </row>
    <row r="650" spans="1:18" ht="39.6" x14ac:dyDescent="0.3">
      <c r="A650" s="3" t="str">
        <f>'Autoévaluation client'!A673</f>
        <v>13.7.f</v>
      </c>
      <c r="B650" s="6" t="str">
        <f>'Autoévaluation client'!C673</f>
        <v>Les collaborateurs bénéficient-ils de formation continue orientée compétences sociales, développement personnel, etc.?</v>
      </c>
      <c r="C650" s="38">
        <f>IF(ISBLANK('Autoévaluation client'!D673),0,1)</f>
        <v>0</v>
      </c>
      <c r="D650" s="165" t="str">
        <f>IF(AND('Autoévaluation client'!D673="",'Autoévaluation client'!E673=""),"*","")</f>
        <v>*</v>
      </c>
      <c r="E650" s="39" t="str">
        <f>IF(ISBLANK('Autoévaluation client'!F673),"",'Autoévaluation client'!F673)</f>
        <v/>
      </c>
      <c r="F650" s="118"/>
      <c r="G650" s="118"/>
      <c r="H650" s="118"/>
      <c r="I650" s="118"/>
      <c r="J650" s="118"/>
      <c r="K650" s="118"/>
      <c r="L650" s="112"/>
      <c r="M650" s="37">
        <v>1</v>
      </c>
      <c r="N650" s="27"/>
      <c r="O650" s="28">
        <f t="shared" si="110"/>
        <v>0</v>
      </c>
      <c r="P650" s="43">
        <f t="shared" si="111"/>
        <v>0</v>
      </c>
      <c r="Q650" s="36"/>
      <c r="R650" s="27"/>
    </row>
    <row r="651" spans="1:18" ht="66" x14ac:dyDescent="0.3">
      <c r="A651" s="3" t="str">
        <f>'Autoévaluation client'!A674</f>
        <v>13.7.g</v>
      </c>
      <c r="B651" s="6" t="str">
        <f>'Autoévaluation client'!C674</f>
        <v>La bonne ambiance et une atmosphère de travail agréable en entreprise sont-elles favorisées par le soin dévoué à une bonne gestion des séances, au lancement de projets interdisciplinaires ou à des événements sociaux tels que des apéros ou jubilées?</v>
      </c>
      <c r="C651" s="38">
        <f>IF(ISBLANK('Autoévaluation client'!D674),0,1)</f>
        <v>0</v>
      </c>
      <c r="D651" s="165" t="str">
        <f>IF(AND('Autoévaluation client'!D674="",'Autoévaluation client'!E674=""),"*","")</f>
        <v>*</v>
      </c>
      <c r="E651" s="39" t="str">
        <f>IF(ISBLANK('Autoévaluation client'!F674),"",'Autoévaluation client'!F674)</f>
        <v/>
      </c>
      <c r="F651" s="118"/>
      <c r="G651" s="118"/>
      <c r="H651" s="118"/>
      <c r="I651" s="118"/>
      <c r="J651" s="118"/>
      <c r="K651" s="118"/>
      <c r="L651" s="112"/>
      <c r="M651" s="37">
        <v>1</v>
      </c>
      <c r="N651" s="27"/>
      <c r="O651" s="28">
        <f t="shared" si="110"/>
        <v>0</v>
      </c>
      <c r="P651" s="43">
        <f t="shared" si="111"/>
        <v>0</v>
      </c>
      <c r="Q651" s="36"/>
      <c r="R651" s="27"/>
    </row>
    <row r="652" spans="1:18" ht="39.6" x14ac:dyDescent="0.3">
      <c r="A652" s="3" t="str">
        <f>'Autoévaluation client'!A675</f>
        <v>13.7.h</v>
      </c>
      <c r="B652" s="6" t="str">
        <f>'Autoévaluation client'!C675</f>
        <v>L'entreprise favorise-t-elle la collaboration et la communication au travers des différents niveaux hiérarchiques de l'organigramme?</v>
      </c>
      <c r="C652" s="38">
        <f>IF(ISBLANK('Autoévaluation client'!D675),0,1)</f>
        <v>0</v>
      </c>
      <c r="D652" s="165" t="str">
        <f>IF(AND('Autoévaluation client'!D675="",'Autoévaluation client'!E675=""),"*","")</f>
        <v>*</v>
      </c>
      <c r="E652" s="39" t="str">
        <f>IF(ISBLANK('Autoévaluation client'!F675),"",'Autoévaluation client'!F675)</f>
        <v/>
      </c>
      <c r="F652" s="118"/>
      <c r="G652" s="118"/>
      <c r="H652" s="118"/>
      <c r="I652" s="118"/>
      <c r="J652" s="118"/>
      <c r="K652" s="118"/>
      <c r="L652" s="112"/>
      <c r="M652" s="37">
        <v>1</v>
      </c>
      <c r="N652" s="27"/>
      <c r="O652" s="28">
        <f t="shared" si="110"/>
        <v>0</v>
      </c>
      <c r="P652" s="43">
        <f t="shared" si="111"/>
        <v>0</v>
      </c>
      <c r="Q652" s="36"/>
      <c r="R652" s="27"/>
    </row>
    <row r="653" spans="1:18" x14ac:dyDescent="0.3">
      <c r="A653" s="3" t="str">
        <f>'Autoévaluation client'!A676</f>
        <v>13.7.i</v>
      </c>
      <c r="B653" s="6" t="str">
        <f>'Autoévaluation client'!C676</f>
        <v>L'entreprise propose-t-elle le job sharing?</v>
      </c>
      <c r="C653" s="38">
        <f>IF(ISBLANK('Autoévaluation client'!D676),0,1)</f>
        <v>0</v>
      </c>
      <c r="D653" s="165" t="str">
        <f>IF(AND('Autoévaluation client'!D676="",'Autoévaluation client'!E676=""),"*","")</f>
        <v>*</v>
      </c>
      <c r="E653" s="39" t="str">
        <f>IF(ISBLANK('Autoévaluation client'!F676),"",'Autoévaluation client'!F676)</f>
        <v/>
      </c>
      <c r="F653" s="118"/>
      <c r="G653" s="118"/>
      <c r="H653" s="118"/>
      <c r="I653" s="118"/>
      <c r="J653" s="118"/>
      <c r="K653" s="118"/>
      <c r="L653" s="112"/>
      <c r="M653" s="37">
        <v>1</v>
      </c>
      <c r="N653" s="27"/>
      <c r="O653" s="28">
        <f t="shared" si="110"/>
        <v>0</v>
      </c>
      <c r="P653" s="43">
        <f t="shared" si="111"/>
        <v>0</v>
      </c>
      <c r="Q653" s="36"/>
      <c r="R653" s="27"/>
    </row>
    <row r="654" spans="1:18" ht="39.6" x14ac:dyDescent="0.3">
      <c r="A654" s="3" t="str">
        <f>'Autoévaluation client'!A677</f>
        <v>13.7.j</v>
      </c>
      <c r="B654" s="6" t="str">
        <f>'Autoévaluation client'!C677</f>
        <v>L'entreprise propose-t-elle un service de médiation neutre visant à traiter les cas de conflits et les collaborateurs en difficultés personnelles?</v>
      </c>
      <c r="C654" s="38">
        <f>IF(ISBLANK('Autoévaluation client'!D677),0,1)</f>
        <v>0</v>
      </c>
      <c r="D654" s="165" t="str">
        <f>IF(AND('Autoévaluation client'!D677="",'Autoévaluation client'!E677=""),"*","")</f>
        <v>*</v>
      </c>
      <c r="E654" s="39" t="str">
        <f>IF(ISBLANK('Autoévaluation client'!F677),"",'Autoévaluation client'!F677)</f>
        <v/>
      </c>
      <c r="F654" s="118"/>
      <c r="G654" s="118"/>
      <c r="H654" s="118"/>
      <c r="I654" s="118"/>
      <c r="J654" s="118"/>
      <c r="K654" s="118"/>
      <c r="L654" s="112"/>
      <c r="M654" s="37">
        <v>1</v>
      </c>
      <c r="N654" s="27"/>
      <c r="O654" s="28">
        <f t="shared" si="110"/>
        <v>0</v>
      </c>
      <c r="P654" s="43">
        <f t="shared" ref="P654:P656" si="113">L654*M654</f>
        <v>0</v>
      </c>
      <c r="Q654" s="36"/>
      <c r="R654" s="27"/>
    </row>
    <row r="655" spans="1:18" ht="26.4" x14ac:dyDescent="0.3">
      <c r="A655" s="3" t="str">
        <f>'Autoévaluation client'!A678</f>
        <v>13.8.</v>
      </c>
      <c r="B655" s="6" t="str">
        <f>'Autoévaluation client'!C678</f>
        <v>Des projets de GSE sont-ils actuellement en cours? Si oui, depuis combien de temps et à propos de quels thèmes?</v>
      </c>
      <c r="C655" s="38">
        <f>IF(ISBLANK('Autoévaluation client'!D678),0,1)</f>
        <v>0</v>
      </c>
      <c r="D655" s="165" t="str">
        <f>IF(AND('Autoévaluation client'!D678="",'Autoévaluation client'!E678=""),"*","")</f>
        <v>*</v>
      </c>
      <c r="E655" s="39" t="str">
        <f>IF(ISBLANK('Autoévaluation client'!F678),"",'Autoévaluation client'!F678)</f>
        <v/>
      </c>
      <c r="F655" s="118"/>
      <c r="G655" s="118"/>
      <c r="H655" s="118"/>
      <c r="I655" s="118"/>
      <c r="J655" s="118"/>
      <c r="K655" s="118"/>
      <c r="L655" s="112"/>
      <c r="M655" s="37">
        <v>1</v>
      </c>
      <c r="N655" s="27"/>
      <c r="O655" s="28">
        <f t="shared" si="110"/>
        <v>0</v>
      </c>
      <c r="P655" s="43">
        <f t="shared" si="113"/>
        <v>0</v>
      </c>
      <c r="Q655" s="36"/>
      <c r="R655" s="27"/>
    </row>
    <row r="656" spans="1:18" ht="39.6" x14ac:dyDescent="0.3">
      <c r="A656" s="3" t="str">
        <f>'Autoévaluation client'!A679</f>
        <v>13.9.</v>
      </c>
      <c r="B656" s="6" t="str">
        <f>'Autoévaluation client'!C679</f>
        <v>La qualité et l'efficacité des projets GSE sont-elles évaluées de sorte à en tirer des enseignements ou des conséquences?</v>
      </c>
      <c r="C656" s="38">
        <f>IF(ISBLANK('Autoévaluation client'!D679),0,1)</f>
        <v>0</v>
      </c>
      <c r="D656" s="165" t="str">
        <f>IF(AND('Autoévaluation client'!D679="",'Autoévaluation client'!E679=""),"*","")</f>
        <v>*</v>
      </c>
      <c r="E656" s="39" t="str">
        <f>IF(ISBLANK('Autoévaluation client'!F679),"",'Autoévaluation client'!F679)</f>
        <v/>
      </c>
      <c r="F656" s="118"/>
      <c r="G656" s="118"/>
      <c r="H656" s="118"/>
      <c r="I656" s="118"/>
      <c r="J656" s="118"/>
      <c r="K656" s="118"/>
      <c r="L656" s="112"/>
      <c r="M656" s="37">
        <v>1</v>
      </c>
      <c r="N656" s="27"/>
      <c r="O656" s="28">
        <f t="shared" si="110"/>
        <v>0</v>
      </c>
      <c r="P656" s="43">
        <f t="shared" si="113"/>
        <v>0</v>
      </c>
      <c r="Q656" s="36"/>
      <c r="R656" s="27"/>
    </row>
    <row r="657" spans="1:18" x14ac:dyDescent="0.3">
      <c r="A657" s="34" t="str">
        <f>'Autoévaluation client'!A681</f>
        <v>14</v>
      </c>
      <c r="B657" s="7" t="str">
        <f>'Autoévaluation client'!B681</f>
        <v>Extension pour ISO 45001 (facultatif)</v>
      </c>
      <c r="C657" s="30">
        <f>O657/N657</f>
        <v>0</v>
      </c>
      <c r="D657" s="18"/>
      <c r="E657" s="18"/>
      <c r="F657" s="18"/>
      <c r="G657" s="18"/>
      <c r="H657" s="18"/>
      <c r="I657" s="18"/>
      <c r="J657" s="18"/>
      <c r="K657" s="18"/>
      <c r="L657" s="114">
        <f>P657/N657</f>
        <v>0</v>
      </c>
      <c r="M657" s="5"/>
      <c r="N657" s="5">
        <f>SUM(M658,M662,M664,M667,M669,M673,M675)</f>
        <v>7</v>
      </c>
      <c r="O657" s="4">
        <f>SUM(Q658:Q679)</f>
        <v>0</v>
      </c>
      <c r="P657" s="4">
        <f>SUM(R658:R679)</f>
        <v>0</v>
      </c>
      <c r="Q657" s="35"/>
      <c r="R657" s="35"/>
    </row>
    <row r="658" spans="1:18" ht="42" customHeight="1" x14ac:dyDescent="0.3">
      <c r="A658" s="20" t="str">
        <f>'Autoévaluation client'!A685</f>
        <v>14.1.</v>
      </c>
      <c r="B658" s="20" t="str">
        <f>'Autoévaluation client'!B685</f>
        <v xml:space="preserve">Comprendre les besoins et les attentes des travailleurs et des autres parties intéressées
(4,2)	</v>
      </c>
      <c r="C658" s="21">
        <f>O658/N658</f>
        <v>0</v>
      </c>
      <c r="D658" s="23"/>
      <c r="E658" s="23"/>
      <c r="F658" s="115"/>
      <c r="G658" s="115"/>
      <c r="H658" s="115"/>
      <c r="I658" s="115"/>
      <c r="J658" s="115"/>
      <c r="K658" s="115"/>
      <c r="L658" s="50">
        <f>P658/N658</f>
        <v>0</v>
      </c>
      <c r="M658" s="22">
        <v>1</v>
      </c>
      <c r="N658" s="22">
        <f>SUM(M659:M661)</f>
        <v>3</v>
      </c>
      <c r="O658" s="24">
        <f>SUM(O659:O661)</f>
        <v>0</v>
      </c>
      <c r="P658" s="24">
        <f>SUM(P659:P661)</f>
        <v>0</v>
      </c>
      <c r="Q658" s="52">
        <f>O658/$N658*$M658</f>
        <v>0</v>
      </c>
      <c r="R658" s="52">
        <f>P658/$N658*$M658</f>
        <v>0</v>
      </c>
    </row>
    <row r="659" spans="1:18" ht="79.2" x14ac:dyDescent="0.3">
      <c r="A659" s="3" t="str">
        <f>'Autoévaluation client'!A686</f>
        <v>14.1.1.</v>
      </c>
      <c r="B659" s="6" t="str">
        <f>'Autoévaluation client'!C686</f>
        <v>Les parties intéressées qui, en plus de leur collaborateurs , sont concernées par leur système de gestion de la sécurité et de la santé sont-elles identifiées?  (p. ex. autorités, fournisseurs, organisations de travailleurs, visiteurs, grand public, clients, médias, organisations non gouvernementales (ONG)</v>
      </c>
      <c r="C659" s="38">
        <f>IF(ISBLANK('Autoévaluation client'!D686),0,1)</f>
        <v>0</v>
      </c>
      <c r="D659" s="165" t="str">
        <f>IF(AND('Autoévaluation client'!D686="",'Autoévaluation client'!E686=""),"*","")</f>
        <v>*</v>
      </c>
      <c r="E659" s="39" t="str">
        <f>IF(ISBLANK('Autoévaluation client'!F686),"",'Autoévaluation client'!F686)</f>
        <v/>
      </c>
      <c r="F659" s="118"/>
      <c r="G659" s="118"/>
      <c r="H659" s="118"/>
      <c r="I659" s="118"/>
      <c r="J659" s="118"/>
      <c r="K659" s="118"/>
      <c r="L659" s="112"/>
      <c r="M659" s="37">
        <v>1</v>
      </c>
      <c r="N659" s="27"/>
      <c r="O659" s="28">
        <f>C659*M659</f>
        <v>0</v>
      </c>
      <c r="P659" s="43">
        <f t="shared" ref="P659:P661" si="114">L659*M659</f>
        <v>0</v>
      </c>
      <c r="Q659" s="36"/>
      <c r="R659" s="27"/>
    </row>
    <row r="660" spans="1:18" ht="79.2" x14ac:dyDescent="0.3">
      <c r="A660" s="3" t="str">
        <f>'Autoévaluation client'!A687</f>
        <v>14.1.2.</v>
      </c>
      <c r="B660" s="6" t="str">
        <f>'Autoévaluation client'!C687</f>
        <v>Les besoins et attentes (exigences) pertinents des travailleurs et des autres parties intéressées ont-ils été définis? (p. ex. tableau avec les travailleurs et les parties intéressées concernées en rapport avec le système S&amp;ST avec une analyse des exigences et des attentes, opportunités et risques ainsi qu’objectifs/mesures)</v>
      </c>
      <c r="C660" s="38">
        <f>IF(ISBLANK('Autoévaluation client'!D687),0,1)</f>
        <v>0</v>
      </c>
      <c r="D660" s="165" t="str">
        <f>IF(AND('Autoévaluation client'!D687="",'Autoévaluation client'!E687=""),"*","")</f>
        <v>*</v>
      </c>
      <c r="E660" s="39" t="str">
        <f>IF(ISBLANK('Autoévaluation client'!F687),"",'Autoévaluation client'!F687)</f>
        <v/>
      </c>
      <c r="F660" s="118"/>
      <c r="G660" s="118"/>
      <c r="H660" s="118"/>
      <c r="I660" s="118"/>
      <c r="J660" s="118"/>
      <c r="K660" s="118"/>
      <c r="L660" s="112"/>
      <c r="M660" s="37">
        <v>1</v>
      </c>
      <c r="N660" s="27"/>
      <c r="O660" s="28">
        <f>C660*M660</f>
        <v>0</v>
      </c>
      <c r="P660" s="43">
        <f t="shared" si="114"/>
        <v>0</v>
      </c>
      <c r="Q660" s="36"/>
      <c r="R660" s="27"/>
    </row>
    <row r="661" spans="1:18" ht="27" customHeight="1" x14ac:dyDescent="0.3">
      <c r="A661" s="3" t="str">
        <f>'Autoévaluation client'!A688</f>
        <v>14.1.3.</v>
      </c>
      <c r="B661" s="6" t="str">
        <f>'Autoévaluation client'!C688</f>
        <v>Est-ce que les besoins et attentes pertinents sont évalués et suveillé?</v>
      </c>
      <c r="C661" s="38">
        <f>IF(ISBLANK('Autoévaluation client'!D688),0,1)</f>
        <v>0</v>
      </c>
      <c r="D661" s="165" t="str">
        <f>IF(AND('Autoévaluation client'!D688="",'Autoévaluation client'!E688=""),"*","")</f>
        <v>*</v>
      </c>
      <c r="E661" s="39" t="str">
        <f>IF(ISBLANK('Autoévaluation client'!F688),"",'Autoévaluation client'!F688)</f>
        <v/>
      </c>
      <c r="F661" s="118"/>
      <c r="G661" s="118"/>
      <c r="H661" s="118"/>
      <c r="I661" s="118"/>
      <c r="J661" s="118"/>
      <c r="K661" s="118"/>
      <c r="L661" s="112"/>
      <c r="M661" s="37">
        <v>1</v>
      </c>
      <c r="N661" s="27"/>
      <c r="O661" s="28">
        <f>C661*M661</f>
        <v>0</v>
      </c>
      <c r="P661" s="43">
        <f t="shared" si="114"/>
        <v>0</v>
      </c>
      <c r="Q661" s="36"/>
      <c r="R661" s="27"/>
    </row>
    <row r="662" spans="1:18" x14ac:dyDescent="0.3">
      <c r="A662" s="20" t="str">
        <f>'Autoévaluation client'!A689</f>
        <v>14.2.</v>
      </c>
      <c r="B662" s="20" t="str">
        <f>'Autoévaluation client'!B689</f>
        <v>Système de management SST (4.4.)</v>
      </c>
      <c r="C662" s="21">
        <f>O662/N662</f>
        <v>0</v>
      </c>
      <c r="D662" s="23"/>
      <c r="E662" s="23"/>
      <c r="F662" s="23"/>
      <c r="G662" s="23"/>
      <c r="H662" s="23"/>
      <c r="I662" s="23"/>
      <c r="J662" s="23"/>
      <c r="K662" s="23"/>
      <c r="L662" s="50">
        <f>P662/N662</f>
        <v>0</v>
      </c>
      <c r="M662" s="22">
        <v>1</v>
      </c>
      <c r="N662" s="22">
        <f>SUM(M663:M663)</f>
        <v>1</v>
      </c>
      <c r="O662" s="24">
        <f>SUM(O663:O663)</f>
        <v>0</v>
      </c>
      <c r="P662" s="163">
        <f>SUM(P663:P663)</f>
        <v>0</v>
      </c>
      <c r="Q662" s="52">
        <f>O662/$N662*$M662</f>
        <v>0</v>
      </c>
      <c r="R662" s="52">
        <f>P662/$N662*$M662</f>
        <v>0</v>
      </c>
    </row>
    <row r="663" spans="1:18" ht="52.8" x14ac:dyDescent="0.3">
      <c r="A663" s="3" t="str">
        <f>'Autoévaluation client'!A690</f>
        <v>14.2.1</v>
      </c>
      <c r="B663" s="2" t="str">
        <f>'Autoévaluation client'!C690</f>
        <v>Les informations documentées sont-elles conservées afin de garantir que le processus se déroule comme prévu? (p.ex. enregistrements issus des processus, preuves des modifications, rapports, journaux, etc)</v>
      </c>
      <c r="C663" s="38">
        <f>IF(ISBLANK('Autoévaluation client'!D690),0,1)</f>
        <v>0</v>
      </c>
      <c r="D663" s="165" t="str">
        <f>IF(AND('Autoévaluation client'!D690="",'Autoévaluation client'!E690=""),"*","")</f>
        <v>*</v>
      </c>
      <c r="E663" s="39" t="str">
        <f>IF(ISBLANK('Autoévaluation client'!F690),"",'Autoévaluation client'!F690)</f>
        <v/>
      </c>
      <c r="F663" s="118"/>
      <c r="G663" s="118"/>
      <c r="H663" s="118"/>
      <c r="I663" s="118"/>
      <c r="J663" s="118"/>
      <c r="K663" s="118"/>
      <c r="L663" s="112"/>
      <c r="M663" s="37">
        <v>1</v>
      </c>
      <c r="N663" s="27"/>
      <c r="O663" s="28">
        <f>C663*M663</f>
        <v>0</v>
      </c>
      <c r="P663" s="43">
        <f t="shared" ref="P663" si="115">L663*M663</f>
        <v>0</v>
      </c>
      <c r="Q663" s="36"/>
      <c r="R663" s="27"/>
    </row>
    <row r="664" spans="1:18" ht="26.4" x14ac:dyDescent="0.3">
      <c r="A664" s="20" t="str">
        <f>'Autoévaluation client'!A691</f>
        <v>14.3.</v>
      </c>
      <c r="B664" s="20" t="str">
        <f>'Autoévaluation client'!B691</f>
        <v>Actions à mettre en oeuvre face aux risques et opportunités (6.1.)</v>
      </c>
      <c r="C664" s="21">
        <f>O664/N664</f>
        <v>0</v>
      </c>
      <c r="D664" s="23"/>
      <c r="E664" s="23"/>
      <c r="F664" s="23"/>
      <c r="G664" s="23"/>
      <c r="H664" s="23"/>
      <c r="I664" s="23"/>
      <c r="J664" s="23"/>
      <c r="K664" s="23"/>
      <c r="L664" s="50">
        <f>P664/N664</f>
        <v>0</v>
      </c>
      <c r="M664" s="22">
        <v>1</v>
      </c>
      <c r="N664" s="22">
        <f>SUM(M665:M666)</f>
        <v>2</v>
      </c>
      <c r="O664" s="24">
        <f>SUM(O665:O666)</f>
        <v>0</v>
      </c>
      <c r="P664" s="24">
        <f>SUM(P665:P666)</f>
        <v>0</v>
      </c>
      <c r="Q664" s="52">
        <f>O664/$N664*$M664</f>
        <v>0</v>
      </c>
      <c r="R664" s="52">
        <f>P664/$N664*$M664</f>
        <v>0</v>
      </c>
    </row>
    <row r="665" spans="1:18" ht="66" x14ac:dyDescent="0.3">
      <c r="A665" s="3" t="str">
        <f>'Autoévaluation client'!A692</f>
        <v>14.3.1.</v>
      </c>
      <c r="B665" s="2" t="str">
        <f>'Autoévaluation client'!C692</f>
        <v>Est-ce que pour l'organisation une procédure d'identification des risques et des opportunités est établie? (p.ex. par une analyse des risques, l'établissement d'une matrice des risques, une analyse SWOT avec plan d'action)</v>
      </c>
      <c r="C665" s="38">
        <f>IF(ISBLANK('Autoévaluation client'!D692),0,1)</f>
        <v>0</v>
      </c>
      <c r="D665" s="165" t="str">
        <f>IF(AND('Autoévaluation client'!D692="",'Autoévaluation client'!E692=""),"*","")</f>
        <v>*</v>
      </c>
      <c r="E665" s="39" t="str">
        <f>IF(ISBLANK('Autoévaluation client'!F692),"",'Autoévaluation client'!F692)</f>
        <v/>
      </c>
      <c r="F665" s="118"/>
      <c r="G665" s="118"/>
      <c r="H665" s="118"/>
      <c r="I665" s="118"/>
      <c r="J665" s="118"/>
      <c r="K665" s="118"/>
      <c r="L665" s="112"/>
      <c r="M665" s="37">
        <v>1</v>
      </c>
      <c r="N665" s="27"/>
      <c r="O665" s="28">
        <f>C665*M665</f>
        <v>0</v>
      </c>
      <c r="P665" s="43">
        <f t="shared" ref="P665" si="116">L665*M665</f>
        <v>0</v>
      </c>
      <c r="Q665" s="36"/>
      <c r="R665" s="27"/>
    </row>
    <row r="666" spans="1:18" ht="45.6" customHeight="1" x14ac:dyDescent="0.3">
      <c r="A666" s="3" t="str">
        <f>'Autoévaluation client'!A693</f>
        <v>14.3.2.</v>
      </c>
      <c r="B666" s="2" t="str">
        <f>'Autoévaluation client'!C693</f>
        <v>Est-ce que les risques et opportunités SST considérés sont des informations documentées et sont maintenues et conservées en conséquence?</v>
      </c>
      <c r="C666" s="38">
        <f>IF(ISBLANK('Autoévaluation client'!D693),0,1)</f>
        <v>0</v>
      </c>
      <c r="D666" s="165" t="str">
        <f>IF(AND('Autoévaluation client'!D693="",'Autoévaluation client'!E693=""),"*","")</f>
        <v>*</v>
      </c>
      <c r="E666" s="39" t="str">
        <f>IF(ISBLANK('Autoévaluation client'!F693),"",'Autoévaluation client'!F693)</f>
        <v/>
      </c>
      <c r="F666" s="118"/>
      <c r="G666" s="118"/>
      <c r="H666" s="118"/>
      <c r="I666" s="118"/>
      <c r="J666" s="118"/>
      <c r="K666" s="118"/>
      <c r="L666" s="112"/>
      <c r="M666" s="37">
        <v>1</v>
      </c>
      <c r="N666" s="27"/>
      <c r="O666" s="28">
        <f>C666*M666</f>
        <v>0</v>
      </c>
      <c r="P666" s="43">
        <f t="shared" ref="P666" si="117">L666*M666</f>
        <v>0</v>
      </c>
      <c r="Q666" s="36"/>
      <c r="R666" s="27"/>
    </row>
    <row r="667" spans="1:18" ht="26.4" x14ac:dyDescent="0.3">
      <c r="A667" s="20" t="str">
        <f>'Autoévaluation client'!A694</f>
        <v>14.4.</v>
      </c>
      <c r="B667" s="20" t="str">
        <f>'Autoévaluation client'!B694</f>
        <v>Détermination des exigences légales et autres exigences (6.1.3.)</v>
      </c>
      <c r="C667" s="21">
        <f>O667/N667</f>
        <v>0</v>
      </c>
      <c r="D667" s="23"/>
      <c r="E667" s="23"/>
      <c r="F667" s="23"/>
      <c r="G667" s="23"/>
      <c r="H667" s="23"/>
      <c r="I667" s="23"/>
      <c r="J667" s="23"/>
      <c r="K667" s="23"/>
      <c r="L667" s="50">
        <f>P667/N667</f>
        <v>0</v>
      </c>
      <c r="M667" s="22">
        <v>1</v>
      </c>
      <c r="N667" s="22">
        <f>SUM(M668:M668)</f>
        <v>1</v>
      </c>
      <c r="O667" s="24">
        <f>SUM(O668:O668)</f>
        <v>0</v>
      </c>
      <c r="P667" s="163">
        <f>SUM(P668:P668)</f>
        <v>0</v>
      </c>
      <c r="Q667" s="52">
        <f>O667/$N667*$M667</f>
        <v>0</v>
      </c>
      <c r="R667" s="52">
        <f>P667/$N667*$M667</f>
        <v>0</v>
      </c>
    </row>
    <row r="668" spans="1:18" ht="58.2" customHeight="1" x14ac:dyDescent="0.3">
      <c r="A668" s="3" t="str">
        <f>'Autoévaluation client'!A695</f>
        <v>14.4.1.</v>
      </c>
      <c r="B668" s="2" t="str">
        <f>'Autoévaluation client'!C695</f>
        <v>Les informations sur les modifications des obligations légales et autres exigences sont-elles présentées de manière à ce que leur divulgation puisse être documentée de manière appropriée et être ainsi vérifiée sans aucun doute?</v>
      </c>
      <c r="C668" s="38">
        <f>IF(ISBLANK('Autoévaluation client'!D695),0,1)</f>
        <v>0</v>
      </c>
      <c r="D668" s="165" t="str">
        <f>IF(AND('Autoévaluation client'!D695="",'Autoévaluation client'!E695=""),"*","")</f>
        <v>*</v>
      </c>
      <c r="E668" s="39" t="str">
        <f>IF(ISBLANK('Autoévaluation client'!F695),"",'Autoévaluation client'!F695)</f>
        <v/>
      </c>
      <c r="F668" s="118"/>
      <c r="G668" s="118"/>
      <c r="H668" s="118"/>
      <c r="I668" s="118"/>
      <c r="J668" s="118"/>
      <c r="K668" s="118"/>
      <c r="L668" s="112"/>
      <c r="M668" s="37">
        <v>1</v>
      </c>
      <c r="N668" s="27"/>
      <c r="O668" s="28">
        <f>C668*M668</f>
        <v>0</v>
      </c>
      <c r="P668" s="43">
        <f t="shared" ref="P668" si="118">L668*M668</f>
        <v>0</v>
      </c>
      <c r="Q668" s="36"/>
      <c r="R668" s="27"/>
    </row>
    <row r="669" spans="1:18" x14ac:dyDescent="0.3">
      <c r="A669" s="20" t="str">
        <f>'Autoévaluation client'!A696</f>
        <v>14.5.</v>
      </c>
      <c r="B669" s="20" t="str">
        <f>'Autoévaluation client'!B696</f>
        <v>Informations documentées (7.5.)</v>
      </c>
      <c r="C669" s="21">
        <f>O669/N669</f>
        <v>0</v>
      </c>
      <c r="D669" s="23"/>
      <c r="E669" s="23"/>
      <c r="F669" s="23"/>
      <c r="G669" s="23"/>
      <c r="H669" s="23"/>
      <c r="I669" s="23"/>
      <c r="J669" s="23"/>
      <c r="K669" s="23"/>
      <c r="L669" s="50">
        <f>P669/N669</f>
        <v>0</v>
      </c>
      <c r="M669" s="22">
        <v>1</v>
      </c>
      <c r="N669" s="22">
        <f>SUM(M670:M672)</f>
        <v>3</v>
      </c>
      <c r="O669" s="24">
        <f>SUM(O670:O672)</f>
        <v>0</v>
      </c>
      <c r="P669" s="163">
        <f>SUM(P670:P672)</f>
        <v>0</v>
      </c>
      <c r="Q669" s="52">
        <f>O669/$N669*$M669</f>
        <v>0</v>
      </c>
      <c r="R669" s="52">
        <f>P669/$N669*$M669</f>
        <v>0</v>
      </c>
    </row>
    <row r="670" spans="1:18" ht="145.19999999999999" x14ac:dyDescent="0.3">
      <c r="A670" s="3" t="str">
        <f>'Autoévaluation client'!A697</f>
        <v>14.5.1.</v>
      </c>
      <c r="B670" s="2" t="str">
        <f>'Autoévaluation client'!C697</f>
        <v>Les informations documentées requises pour le SM-SST sont-elles disponibles? (y compris des informations documentées sur
- Le domaine d'application
- La politique et les objectifs en matière de SST
- Les bases légales et autre prescription
- Les compétences
- Les risques et les opportunités SST
- Les informations crées pour le fonctionnement de l'organisation
- Les preuves des résultats obtenus?</v>
      </c>
      <c r="C670" s="38">
        <f>IF(ISBLANK('Autoévaluation client'!D697),0,1)</f>
        <v>0</v>
      </c>
      <c r="D670" s="165" t="str">
        <f>IF(AND('Autoévaluation client'!D697="",'Autoévaluation client'!E697=""),"*","")</f>
        <v>*</v>
      </c>
      <c r="E670" s="39" t="str">
        <f>IF(ISBLANK('Autoévaluation client'!F697),"",'Autoévaluation client'!F697)</f>
        <v/>
      </c>
      <c r="F670" s="118"/>
      <c r="G670" s="118"/>
      <c r="H670" s="118"/>
      <c r="I670" s="118"/>
      <c r="J670" s="118"/>
      <c r="K670" s="118"/>
      <c r="L670" s="112"/>
      <c r="M670" s="37">
        <v>1</v>
      </c>
      <c r="N670" s="27"/>
      <c r="O670" s="28">
        <f>C670*M670</f>
        <v>0</v>
      </c>
      <c r="P670" s="43">
        <f t="shared" ref="P670:P671" si="119">L670*M670</f>
        <v>0</v>
      </c>
      <c r="Q670" s="36"/>
      <c r="R670" s="27"/>
    </row>
    <row r="671" spans="1:18" ht="52.8" x14ac:dyDescent="0.3">
      <c r="A671" s="3" t="str">
        <f>'Autoévaluation client'!A698</f>
        <v>14.5.2.</v>
      </c>
      <c r="B671" s="2" t="str">
        <f>'Autoévaluation client'!C698</f>
        <v>Lors de la création et de l'actualisation des informations documentées, est-ce qu'une identification et description raisonable est assurée? (p.ex. titre, date, auteur, numéro de référence, version actuelle)</v>
      </c>
      <c r="C671" s="38">
        <f>IF(ISBLANK('Autoévaluation client'!D698),0,1)</f>
        <v>0</v>
      </c>
      <c r="D671" s="165" t="str">
        <f>IF(AND('Autoévaluation client'!D698="",'Autoévaluation client'!E698=""),"*","")</f>
        <v>*</v>
      </c>
      <c r="E671" s="39" t="str">
        <f>IF(ISBLANK('Autoévaluation client'!F698),"",'Autoévaluation client'!F698)</f>
        <v/>
      </c>
      <c r="F671" s="118"/>
      <c r="G671" s="118"/>
      <c r="H671" s="118"/>
      <c r="I671" s="118"/>
      <c r="J671" s="118"/>
      <c r="K671" s="118"/>
      <c r="L671" s="112"/>
      <c r="M671" s="37">
        <v>1</v>
      </c>
      <c r="N671" s="27"/>
      <c r="O671" s="28">
        <f>C671*M671</f>
        <v>0</v>
      </c>
      <c r="P671" s="43">
        <f t="shared" si="119"/>
        <v>0</v>
      </c>
      <c r="Q671" s="36"/>
      <c r="R671" s="27"/>
    </row>
    <row r="672" spans="1:18" ht="52.8" x14ac:dyDescent="0.3">
      <c r="A672" s="3" t="str">
        <f>'Autoévaluation client'!A699</f>
        <v>14.5.3.</v>
      </c>
      <c r="B672" s="2" t="str">
        <f>'Autoévaluation client'!C699</f>
        <v xml:space="preserve">Un processus est-il défini pour la gestion des informations documentées? (création, classement, clasification, autorisation, distribution, application, révision, retrait, dépôt, élimination)                                                                                                                                                                                                                                                                      </v>
      </c>
      <c r="C672" s="38">
        <f>IF(ISBLANK('Autoévaluation client'!D699),0,1)</f>
        <v>0</v>
      </c>
      <c r="D672" s="165" t="str">
        <f>IF(AND('Autoévaluation client'!D699="",'Autoévaluation client'!E699=""),"*","")</f>
        <v>*</v>
      </c>
      <c r="E672" s="39" t="str">
        <f>IF(ISBLANK('Autoévaluation client'!F699),"",'Autoévaluation client'!F699)</f>
        <v/>
      </c>
      <c r="F672" s="118"/>
      <c r="G672" s="118"/>
      <c r="H672" s="118"/>
      <c r="I672" s="118"/>
      <c r="J672" s="118"/>
      <c r="K672" s="118"/>
      <c r="L672" s="112"/>
      <c r="M672" s="37">
        <v>1</v>
      </c>
      <c r="N672" s="27"/>
      <c r="O672" s="28">
        <f>C672*M672</f>
        <v>0</v>
      </c>
      <c r="P672" s="43">
        <f t="shared" ref="P672" si="120">L672*M672</f>
        <v>0</v>
      </c>
      <c r="Q672" s="36"/>
      <c r="R672" s="27"/>
    </row>
    <row r="673" spans="1:18" ht="18.75" customHeight="1" x14ac:dyDescent="0.3">
      <c r="A673" s="20" t="str">
        <f>'Autoévaluation client'!A700</f>
        <v>14.6.</v>
      </c>
      <c r="B673" s="20" t="str">
        <f>'Autoévaluation client'!B700</f>
        <v>Acquisition de biens et services (8.1.4.)</v>
      </c>
      <c r="C673" s="21">
        <f>O673/N673</f>
        <v>0</v>
      </c>
      <c r="D673" s="23"/>
      <c r="E673" s="23"/>
      <c r="F673" s="23"/>
      <c r="G673" s="23"/>
      <c r="H673" s="23"/>
      <c r="I673" s="23"/>
      <c r="J673" s="23"/>
      <c r="K673" s="23"/>
      <c r="L673" s="50">
        <f>P673/N673</f>
        <v>0</v>
      </c>
      <c r="M673" s="22">
        <v>1</v>
      </c>
      <c r="N673" s="22">
        <f>SUM(M674:M674)</f>
        <v>1</v>
      </c>
      <c r="O673" s="24">
        <f>SUM(O674:O674)</f>
        <v>0</v>
      </c>
      <c r="P673" s="163">
        <f>SUM(P674:P674)</f>
        <v>0</v>
      </c>
      <c r="Q673" s="52">
        <f>O673/$N673*$M673</f>
        <v>0</v>
      </c>
      <c r="R673" s="52">
        <f>P673/$N673*$M673</f>
        <v>0</v>
      </c>
    </row>
    <row r="674" spans="1:18" ht="39.75" customHeight="1" x14ac:dyDescent="0.3">
      <c r="A674" s="3" t="str">
        <f>'Autoévaluation client'!A701</f>
        <v>14.6.1.</v>
      </c>
      <c r="B674" s="2" t="str">
        <f>'Autoévaluation client'!C701</f>
        <v>Est-ce que l'organisation garantit que les fonctions et processus externalisés qui affectent le SM-SST sont contrôlés?</v>
      </c>
      <c r="C674" s="38">
        <f>IF(ISBLANK('Autoévaluation client'!D701),0,1)</f>
        <v>0</v>
      </c>
      <c r="D674" s="165" t="str">
        <f>IF(AND('Autoévaluation client'!D701="",'Autoévaluation client'!E701=""),"*","")</f>
        <v>*</v>
      </c>
      <c r="E674" s="39" t="str">
        <f>IF(ISBLANK('Autoévaluation client'!F701),"",'Autoévaluation client'!F701)</f>
        <v/>
      </c>
      <c r="F674" s="118"/>
      <c r="G674" s="118"/>
      <c r="H674" s="118"/>
      <c r="I674" s="118"/>
      <c r="J674" s="118"/>
      <c r="K674" s="118"/>
      <c r="L674" s="112"/>
      <c r="M674" s="37">
        <v>1</v>
      </c>
      <c r="N674" s="27"/>
      <c r="O674" s="28">
        <f>C674*M674</f>
        <v>0</v>
      </c>
      <c r="P674" s="43">
        <f t="shared" ref="P674" si="121">L674*M674</f>
        <v>0</v>
      </c>
      <c r="Q674" s="36"/>
      <c r="R674" s="27"/>
    </row>
    <row r="675" spans="1:18" x14ac:dyDescent="0.3">
      <c r="A675" s="20" t="str">
        <f>'Autoévaluation client'!A702</f>
        <v>14.7.</v>
      </c>
      <c r="B675" s="20" t="str">
        <f>'Autoévaluation client'!B702</f>
        <v>Évaluation des performances (9.)</v>
      </c>
      <c r="C675" s="21">
        <f>O675/N675</f>
        <v>0</v>
      </c>
      <c r="D675" s="23"/>
      <c r="E675" s="23"/>
      <c r="F675" s="23"/>
      <c r="G675" s="23"/>
      <c r="H675" s="23"/>
      <c r="I675" s="23"/>
      <c r="J675" s="23"/>
      <c r="K675" s="23"/>
      <c r="L675" s="50">
        <f>P675/N675</f>
        <v>0</v>
      </c>
      <c r="M675" s="22">
        <v>1</v>
      </c>
      <c r="N675" s="22">
        <f>SUM(M676:M679)</f>
        <v>4</v>
      </c>
      <c r="O675" s="24">
        <f>SUM(O676:O679)</f>
        <v>0</v>
      </c>
      <c r="P675" s="24">
        <f>SUM(P676:P679)</f>
        <v>0</v>
      </c>
      <c r="Q675" s="52">
        <f>O675/$N675*$M675</f>
        <v>0</v>
      </c>
      <c r="R675" s="52">
        <f>P675/$N675*$M675</f>
        <v>0</v>
      </c>
    </row>
    <row r="676" spans="1:18" ht="42" customHeight="1" x14ac:dyDescent="0.3">
      <c r="A676" s="3" t="str">
        <f>'Autoévaluation client'!A703</f>
        <v>14.7.1.</v>
      </c>
      <c r="B676" s="2" t="str">
        <f>'Autoévaluation client'!C703</f>
        <v>Est-ce que les processus de surveillance, de mesure, d'analyse et d'évaluation des performances SST sont établits, mis en oeuvre et maintenus?</v>
      </c>
      <c r="C676" s="38">
        <f>IF(ISBLANK('Autoévaluation client'!D703),0,1)</f>
        <v>0</v>
      </c>
      <c r="D676" s="165" t="str">
        <f>IF(AND('Autoévaluation client'!D703="",'Autoévaluation client'!E703=""),"*","")</f>
        <v>*</v>
      </c>
      <c r="E676" s="39" t="str">
        <f>IF(ISBLANK('Autoévaluation client'!F703),"",'Autoévaluation client'!F703)</f>
        <v/>
      </c>
      <c r="F676" s="118"/>
      <c r="G676" s="118"/>
      <c r="H676" s="118"/>
      <c r="I676" s="118"/>
      <c r="J676" s="118"/>
      <c r="K676" s="118"/>
      <c r="L676" s="112"/>
      <c r="M676" s="37">
        <v>1</v>
      </c>
      <c r="N676" s="27"/>
      <c r="O676" s="28">
        <f>C676*M676</f>
        <v>0</v>
      </c>
      <c r="P676" s="43">
        <f t="shared" ref="P676:P678" si="122">L676*M676</f>
        <v>0</v>
      </c>
      <c r="Q676" s="36"/>
      <c r="R676" s="27"/>
    </row>
    <row r="677" spans="1:18" ht="39.6" x14ac:dyDescent="0.3">
      <c r="A677" s="3" t="str">
        <f>'Autoévaluation client'!A704</f>
        <v>14.7.2.</v>
      </c>
      <c r="B677" s="2" t="str">
        <f>'Autoévaluation client'!C704</f>
        <v>Les processus nécessaires pour l'évaluation du respect des obligations légales et des autres exigences sont-ils définis, mis en œuvre et maintenus?</v>
      </c>
      <c r="C677" s="38">
        <f>IF(ISBLANK('Autoévaluation client'!D704),0,1)</f>
        <v>0</v>
      </c>
      <c r="D677" s="165" t="str">
        <f>IF(AND('Autoévaluation client'!D704="",'Autoévaluation client'!E704=""),"*","")</f>
        <v>*</v>
      </c>
      <c r="E677" s="39" t="str">
        <f>IF(ISBLANK('Autoévaluation client'!F704),"",'Autoévaluation client'!F704)</f>
        <v/>
      </c>
      <c r="F677" s="118"/>
      <c r="G677" s="118"/>
      <c r="H677" s="118"/>
      <c r="I677" s="118"/>
      <c r="J677" s="118"/>
      <c r="K677" s="118"/>
      <c r="L677" s="112"/>
      <c r="M677" s="37">
        <v>1</v>
      </c>
      <c r="N677" s="27"/>
      <c r="O677" s="28">
        <f>C677*M677</f>
        <v>0</v>
      </c>
      <c r="P677" s="43">
        <f t="shared" si="122"/>
        <v>0</v>
      </c>
      <c r="Q677" s="36"/>
      <c r="R677" s="27"/>
    </row>
    <row r="678" spans="1:18" ht="26.4" x14ac:dyDescent="0.3">
      <c r="A678" s="3" t="str">
        <f>'Autoévaluation client'!A705</f>
        <v>14.7.3.</v>
      </c>
      <c r="B678" s="2" t="str">
        <f>'Autoévaluation client'!C705</f>
        <v>Les auditeurs sont-ils formés pour effectuer des audits de système?</v>
      </c>
      <c r="C678" s="38">
        <f>IF(ISBLANK('Autoévaluation client'!D705),0,1)</f>
        <v>0</v>
      </c>
      <c r="D678" s="165" t="str">
        <f>IF(AND('Autoévaluation client'!D705="",'Autoévaluation client'!E705=""),"*","")</f>
        <v>*</v>
      </c>
      <c r="E678" s="39" t="str">
        <f>IF(ISBLANK('Autoévaluation client'!F705),"",'Autoévaluation client'!F705)</f>
        <v/>
      </c>
      <c r="F678" s="118"/>
      <c r="G678" s="118"/>
      <c r="H678" s="118"/>
      <c r="I678" s="118"/>
      <c r="J678" s="118"/>
      <c r="K678" s="118"/>
      <c r="L678" s="112"/>
      <c r="M678" s="37">
        <v>1</v>
      </c>
      <c r="N678" s="27"/>
      <c r="O678" s="28">
        <f>C678*M678</f>
        <v>0</v>
      </c>
      <c r="P678" s="43">
        <f t="shared" si="122"/>
        <v>0</v>
      </c>
      <c r="Q678" s="36"/>
      <c r="R678" s="27"/>
    </row>
    <row r="679" spans="1:18" ht="26.4" x14ac:dyDescent="0.3">
      <c r="A679" s="3" t="str">
        <f>'Autoévaluation client'!A706</f>
        <v>14.7.4.</v>
      </c>
      <c r="B679" s="2" t="str">
        <f>'Autoévaluation client'!C706</f>
        <v>Les audits internes ont-ils établis que les exigences d'ISO 45001 sont remplies?</v>
      </c>
      <c r="C679" s="38">
        <f>IF(ISBLANK('Autoévaluation client'!D706),0,1)</f>
        <v>0</v>
      </c>
      <c r="D679" s="165" t="str">
        <f>IF(AND('Autoévaluation client'!D706="",'Autoévaluation client'!E706=""),"*","")</f>
        <v>*</v>
      </c>
      <c r="E679" s="39" t="str">
        <f>IF(ISBLANK('Autoévaluation client'!F706),"",'Autoévaluation client'!F706)</f>
        <v/>
      </c>
      <c r="F679" s="118"/>
      <c r="G679" s="118"/>
      <c r="H679" s="118"/>
      <c r="I679" s="118"/>
      <c r="J679" s="118"/>
      <c r="K679" s="118"/>
      <c r="L679" s="162"/>
      <c r="M679" s="37">
        <v>1</v>
      </c>
      <c r="N679" s="27"/>
      <c r="O679" s="28">
        <f>C679*M679</f>
        <v>0</v>
      </c>
      <c r="P679" s="43">
        <f t="shared" ref="P679" si="123">L679*M679</f>
        <v>0</v>
      </c>
      <c r="Q679" s="36"/>
      <c r="R679" s="27"/>
    </row>
    <row r="680" spans="1:18" x14ac:dyDescent="0.3">
      <c r="L680" s="122"/>
    </row>
    <row r="681" spans="1:18" x14ac:dyDescent="0.3">
      <c r="L681" s="122"/>
    </row>
    <row r="682" spans="1:18" x14ac:dyDescent="0.3">
      <c r="L682" s="122"/>
    </row>
    <row r="683" spans="1:18" x14ac:dyDescent="0.3">
      <c r="L683" s="122"/>
    </row>
    <row r="684" spans="1:18" x14ac:dyDescent="0.3">
      <c r="L684" s="122"/>
    </row>
    <row r="685" spans="1:18" x14ac:dyDescent="0.3">
      <c r="L685" s="122"/>
    </row>
    <row r="686" spans="1:18" x14ac:dyDescent="0.3">
      <c r="L686" s="122"/>
    </row>
    <row r="687" spans="1:18" x14ac:dyDescent="0.3">
      <c r="L687" s="122"/>
    </row>
    <row r="688" spans="1:18" x14ac:dyDescent="0.3">
      <c r="L688" s="122"/>
    </row>
    <row r="689" spans="12:12" x14ac:dyDescent="0.3">
      <c r="L689" s="122"/>
    </row>
    <row r="690" spans="12:12" x14ac:dyDescent="0.3">
      <c r="L690" s="122"/>
    </row>
    <row r="691" spans="12:12" x14ac:dyDescent="0.3">
      <c r="L691" s="122"/>
    </row>
    <row r="692" spans="12:12" x14ac:dyDescent="0.3">
      <c r="L692" s="122"/>
    </row>
    <row r="693" spans="12:12" x14ac:dyDescent="0.3">
      <c r="L693" s="122"/>
    </row>
    <row r="694" spans="12:12" x14ac:dyDescent="0.3">
      <c r="L694" s="122"/>
    </row>
    <row r="695" spans="12:12" x14ac:dyDescent="0.3">
      <c r="L695" s="122"/>
    </row>
    <row r="696" spans="12:12" x14ac:dyDescent="0.3">
      <c r="L696" s="122"/>
    </row>
    <row r="697" spans="12:12" x14ac:dyDescent="0.3">
      <c r="L697" s="122"/>
    </row>
    <row r="698" spans="12:12" x14ac:dyDescent="0.3">
      <c r="L698" s="122"/>
    </row>
    <row r="699" spans="12:12" x14ac:dyDescent="0.3">
      <c r="L699" s="122"/>
    </row>
    <row r="700" spans="12:12" x14ac:dyDescent="0.3">
      <c r="L700" s="122"/>
    </row>
    <row r="701" spans="12:12" x14ac:dyDescent="0.3">
      <c r="L701" s="122"/>
    </row>
    <row r="702" spans="12:12" x14ac:dyDescent="0.3">
      <c r="L702" s="122"/>
    </row>
    <row r="703" spans="12:12" x14ac:dyDescent="0.3">
      <c r="L703" s="122"/>
    </row>
    <row r="704" spans="12:12" x14ac:dyDescent="0.3">
      <c r="L704" s="122"/>
    </row>
    <row r="705" spans="12:12" x14ac:dyDescent="0.3">
      <c r="L705" s="122"/>
    </row>
    <row r="706" spans="12:12" x14ac:dyDescent="0.3">
      <c r="L706" s="122"/>
    </row>
    <row r="707" spans="12:12" x14ac:dyDescent="0.3">
      <c r="L707" s="122"/>
    </row>
    <row r="708" spans="12:12" x14ac:dyDescent="0.3">
      <c r="L708" s="122"/>
    </row>
    <row r="709" spans="12:12" x14ac:dyDescent="0.3">
      <c r="L709" s="122"/>
    </row>
    <row r="710" spans="12:12" x14ac:dyDescent="0.3">
      <c r="L710" s="122"/>
    </row>
    <row r="711" spans="12:12" x14ac:dyDescent="0.3">
      <c r="L711" s="122"/>
    </row>
    <row r="712" spans="12:12" x14ac:dyDescent="0.3">
      <c r="L712" s="122"/>
    </row>
    <row r="713" spans="12:12" x14ac:dyDescent="0.3">
      <c r="L713" s="122"/>
    </row>
    <row r="714" spans="12:12" x14ac:dyDescent="0.3">
      <c r="L714" s="122"/>
    </row>
    <row r="715" spans="12:12" x14ac:dyDescent="0.3">
      <c r="L715" s="122"/>
    </row>
    <row r="716" spans="12:12" x14ac:dyDescent="0.3">
      <c r="L716" s="122"/>
    </row>
    <row r="717" spans="12:12" x14ac:dyDescent="0.3">
      <c r="L717" s="122"/>
    </row>
    <row r="718" spans="12:12" x14ac:dyDescent="0.3">
      <c r="L718" s="122"/>
    </row>
    <row r="719" spans="12:12" x14ac:dyDescent="0.3">
      <c r="L719" s="122"/>
    </row>
    <row r="720" spans="12:12" x14ac:dyDescent="0.3">
      <c r="L720" s="122"/>
    </row>
    <row r="721" spans="12:12" x14ac:dyDescent="0.3">
      <c r="L721" s="122"/>
    </row>
    <row r="722" spans="12:12" x14ac:dyDescent="0.3">
      <c r="L722" s="122"/>
    </row>
    <row r="723" spans="12:12" x14ac:dyDescent="0.3">
      <c r="L723" s="122"/>
    </row>
    <row r="724" spans="12:12" x14ac:dyDescent="0.3">
      <c r="L724" s="122"/>
    </row>
    <row r="725" spans="12:12" x14ac:dyDescent="0.3">
      <c r="L725" s="122"/>
    </row>
    <row r="726" spans="12:12" x14ac:dyDescent="0.3">
      <c r="L726" s="122"/>
    </row>
    <row r="727" spans="12:12" x14ac:dyDescent="0.3">
      <c r="L727" s="122"/>
    </row>
    <row r="728" spans="12:12" x14ac:dyDescent="0.3">
      <c r="L728" s="122"/>
    </row>
    <row r="729" spans="12:12" x14ac:dyDescent="0.3">
      <c r="L729" s="122"/>
    </row>
    <row r="730" spans="12:12" x14ac:dyDescent="0.3">
      <c r="L730" s="122"/>
    </row>
    <row r="731" spans="12:12" x14ac:dyDescent="0.3">
      <c r="L731" s="122"/>
    </row>
    <row r="732" spans="12:12" x14ac:dyDescent="0.3">
      <c r="L732" s="122"/>
    </row>
    <row r="733" spans="12:12" x14ac:dyDescent="0.3">
      <c r="L733" s="122"/>
    </row>
    <row r="734" spans="12:12" x14ac:dyDescent="0.3">
      <c r="L734" s="122"/>
    </row>
    <row r="735" spans="12:12" x14ac:dyDescent="0.3">
      <c r="L735" s="122"/>
    </row>
    <row r="736" spans="12:12" x14ac:dyDescent="0.3">
      <c r="L736" s="122"/>
    </row>
    <row r="737" spans="12:12" x14ac:dyDescent="0.3">
      <c r="L737" s="122"/>
    </row>
    <row r="738" spans="12:12" x14ac:dyDescent="0.3">
      <c r="L738" s="122"/>
    </row>
    <row r="739" spans="12:12" x14ac:dyDescent="0.3">
      <c r="L739" s="122"/>
    </row>
    <row r="740" spans="12:12" x14ac:dyDescent="0.3">
      <c r="L740" s="122"/>
    </row>
    <row r="741" spans="12:12" x14ac:dyDescent="0.3">
      <c r="L741" s="122"/>
    </row>
    <row r="742" spans="12:12" x14ac:dyDescent="0.3">
      <c r="L742" s="122"/>
    </row>
    <row r="743" spans="12:12" x14ac:dyDescent="0.3">
      <c r="L743" s="122"/>
    </row>
    <row r="744" spans="12:12" x14ac:dyDescent="0.3">
      <c r="L744" s="122"/>
    </row>
    <row r="745" spans="12:12" x14ac:dyDescent="0.3">
      <c r="L745" s="122"/>
    </row>
    <row r="746" spans="12:12" x14ac:dyDescent="0.3">
      <c r="L746" s="122"/>
    </row>
    <row r="747" spans="12:12" x14ac:dyDescent="0.3">
      <c r="L747" s="122"/>
    </row>
    <row r="748" spans="12:12" x14ac:dyDescent="0.3">
      <c r="L748" s="122"/>
    </row>
    <row r="749" spans="12:12" x14ac:dyDescent="0.3">
      <c r="L749" s="122"/>
    </row>
    <row r="750" spans="12:12" x14ac:dyDescent="0.3">
      <c r="L750" s="122"/>
    </row>
    <row r="751" spans="12:12" x14ac:dyDescent="0.3">
      <c r="L751" s="122"/>
    </row>
    <row r="752" spans="12:12" x14ac:dyDescent="0.3">
      <c r="L752" s="122"/>
    </row>
    <row r="753" spans="12:12" x14ac:dyDescent="0.3">
      <c r="L753" s="122"/>
    </row>
    <row r="754" spans="12:12" x14ac:dyDescent="0.3">
      <c r="L754" s="122"/>
    </row>
    <row r="755" spans="12:12" x14ac:dyDescent="0.3">
      <c r="L755" s="122"/>
    </row>
    <row r="756" spans="12:12" x14ac:dyDescent="0.3">
      <c r="L756" s="122"/>
    </row>
    <row r="757" spans="12:12" x14ac:dyDescent="0.3">
      <c r="L757" s="122"/>
    </row>
    <row r="758" spans="12:12" x14ac:dyDescent="0.3">
      <c r="L758" s="122"/>
    </row>
    <row r="759" spans="12:12" x14ac:dyDescent="0.3">
      <c r="L759" s="122"/>
    </row>
    <row r="760" spans="12:12" x14ac:dyDescent="0.3">
      <c r="L760" s="122"/>
    </row>
    <row r="761" spans="12:12" x14ac:dyDescent="0.3">
      <c r="L761" s="122"/>
    </row>
    <row r="762" spans="12:12" x14ac:dyDescent="0.3">
      <c r="L762" s="122"/>
    </row>
    <row r="763" spans="12:12" x14ac:dyDescent="0.3">
      <c r="L763" s="122"/>
    </row>
    <row r="764" spans="12:12" x14ac:dyDescent="0.3">
      <c r="L764" s="122"/>
    </row>
    <row r="765" spans="12:12" x14ac:dyDescent="0.3">
      <c r="L765" s="122"/>
    </row>
    <row r="766" spans="12:12" x14ac:dyDescent="0.3">
      <c r="L766" s="122"/>
    </row>
    <row r="767" spans="12:12" x14ac:dyDescent="0.3">
      <c r="L767" s="122"/>
    </row>
    <row r="768" spans="12:12" x14ac:dyDescent="0.3">
      <c r="L768" s="122"/>
    </row>
    <row r="769" spans="12:12" x14ac:dyDescent="0.3">
      <c r="L769" s="122"/>
    </row>
    <row r="770" spans="12:12" x14ac:dyDescent="0.3">
      <c r="L770" s="122"/>
    </row>
    <row r="771" spans="12:12" x14ac:dyDescent="0.3">
      <c r="L771" s="122"/>
    </row>
    <row r="772" spans="12:12" x14ac:dyDescent="0.3">
      <c r="L772" s="122"/>
    </row>
    <row r="773" spans="12:12" x14ac:dyDescent="0.3">
      <c r="L773" s="122"/>
    </row>
    <row r="774" spans="12:12" x14ac:dyDescent="0.3">
      <c r="L774" s="122"/>
    </row>
    <row r="775" spans="12:12" x14ac:dyDescent="0.3">
      <c r="L775" s="122"/>
    </row>
    <row r="776" spans="12:12" x14ac:dyDescent="0.3">
      <c r="L776" s="122"/>
    </row>
    <row r="777" spans="12:12" x14ac:dyDescent="0.3">
      <c r="L777" s="122"/>
    </row>
    <row r="778" spans="12:12" x14ac:dyDescent="0.3">
      <c r="L778" s="122"/>
    </row>
    <row r="779" spans="12:12" x14ac:dyDescent="0.3">
      <c r="L779" s="122"/>
    </row>
    <row r="780" spans="12:12" x14ac:dyDescent="0.3">
      <c r="L780" s="122"/>
    </row>
    <row r="781" spans="12:12" x14ac:dyDescent="0.3">
      <c r="L781" s="122"/>
    </row>
    <row r="782" spans="12:12" x14ac:dyDescent="0.3">
      <c r="L782" s="122"/>
    </row>
    <row r="783" spans="12:12" x14ac:dyDescent="0.3">
      <c r="L783" s="122"/>
    </row>
    <row r="784" spans="12:12" x14ac:dyDescent="0.3">
      <c r="L784" s="122"/>
    </row>
    <row r="785" spans="12:12" x14ac:dyDescent="0.3">
      <c r="L785" s="122"/>
    </row>
    <row r="786" spans="12:12" x14ac:dyDescent="0.3">
      <c r="L786" s="122"/>
    </row>
    <row r="787" spans="12:12" x14ac:dyDescent="0.3">
      <c r="L787" s="122"/>
    </row>
    <row r="788" spans="12:12" x14ac:dyDescent="0.3">
      <c r="L788" s="122"/>
    </row>
    <row r="789" spans="12:12" x14ac:dyDescent="0.3">
      <c r="L789" s="122"/>
    </row>
    <row r="790" spans="12:12" x14ac:dyDescent="0.3">
      <c r="L790" s="122"/>
    </row>
    <row r="791" spans="12:12" x14ac:dyDescent="0.3">
      <c r="L791" s="122"/>
    </row>
    <row r="792" spans="12:12" x14ac:dyDescent="0.3">
      <c r="L792" s="122"/>
    </row>
    <row r="793" spans="12:12" x14ac:dyDescent="0.3">
      <c r="L793" s="122"/>
    </row>
    <row r="794" spans="12:12" x14ac:dyDescent="0.3">
      <c r="L794" s="122"/>
    </row>
    <row r="795" spans="12:12" x14ac:dyDescent="0.3">
      <c r="L795" s="122"/>
    </row>
    <row r="796" spans="12:12" x14ac:dyDescent="0.3">
      <c r="L796" s="122"/>
    </row>
    <row r="797" spans="12:12" x14ac:dyDescent="0.3">
      <c r="L797" s="122"/>
    </row>
    <row r="798" spans="12:12" x14ac:dyDescent="0.3">
      <c r="L798" s="122"/>
    </row>
    <row r="799" spans="12:12" x14ac:dyDescent="0.3">
      <c r="L799" s="122"/>
    </row>
    <row r="800" spans="12:12" x14ac:dyDescent="0.3">
      <c r="L800" s="122"/>
    </row>
    <row r="801" spans="12:12" x14ac:dyDescent="0.3">
      <c r="L801" s="122"/>
    </row>
    <row r="802" spans="12:12" x14ac:dyDescent="0.3">
      <c r="L802" s="122"/>
    </row>
    <row r="803" spans="12:12" x14ac:dyDescent="0.3">
      <c r="L803" s="122"/>
    </row>
    <row r="804" spans="12:12" x14ac:dyDescent="0.3">
      <c r="L804" s="122"/>
    </row>
    <row r="805" spans="12:12" x14ac:dyDescent="0.3">
      <c r="L805" s="122"/>
    </row>
    <row r="806" spans="12:12" x14ac:dyDescent="0.3">
      <c r="L806" s="122"/>
    </row>
    <row r="807" spans="12:12" x14ac:dyDescent="0.3">
      <c r="L807" s="122"/>
    </row>
    <row r="808" spans="12:12" x14ac:dyDescent="0.3">
      <c r="L808" s="122"/>
    </row>
    <row r="809" spans="12:12" x14ac:dyDescent="0.3">
      <c r="L809" s="122"/>
    </row>
    <row r="810" spans="12:12" x14ac:dyDescent="0.3">
      <c r="L810" s="122"/>
    </row>
    <row r="811" spans="12:12" x14ac:dyDescent="0.3">
      <c r="L811" s="122"/>
    </row>
    <row r="812" spans="12:12" x14ac:dyDescent="0.3">
      <c r="L812" s="122"/>
    </row>
    <row r="813" spans="12:12" x14ac:dyDescent="0.3">
      <c r="L813" s="122"/>
    </row>
    <row r="814" spans="12:12" x14ac:dyDescent="0.3">
      <c r="L814" s="122"/>
    </row>
    <row r="815" spans="12:12" x14ac:dyDescent="0.3">
      <c r="L815" s="122"/>
    </row>
    <row r="816" spans="12:12" x14ac:dyDescent="0.3">
      <c r="L816" s="122"/>
    </row>
    <row r="817" spans="12:12" x14ac:dyDescent="0.3">
      <c r="L817" s="122"/>
    </row>
    <row r="818" spans="12:12" x14ac:dyDescent="0.3">
      <c r="L818" s="122"/>
    </row>
    <row r="819" spans="12:12" x14ac:dyDescent="0.3">
      <c r="L819" s="122"/>
    </row>
    <row r="820" spans="12:12" x14ac:dyDescent="0.3">
      <c r="L820" s="122"/>
    </row>
    <row r="821" spans="12:12" x14ac:dyDescent="0.3">
      <c r="L821" s="122"/>
    </row>
    <row r="822" spans="12:12" x14ac:dyDescent="0.3">
      <c r="L822" s="122"/>
    </row>
    <row r="823" spans="12:12" x14ac:dyDescent="0.3">
      <c r="L823" s="122"/>
    </row>
    <row r="824" spans="12:12" x14ac:dyDescent="0.3">
      <c r="L824" s="122"/>
    </row>
    <row r="825" spans="12:12" x14ac:dyDescent="0.3">
      <c r="L825" s="122"/>
    </row>
    <row r="826" spans="12:12" x14ac:dyDescent="0.3">
      <c r="L826" s="122"/>
    </row>
    <row r="827" spans="12:12" x14ac:dyDescent="0.3">
      <c r="L827" s="122"/>
    </row>
    <row r="828" spans="12:12" x14ac:dyDescent="0.3">
      <c r="L828" s="122"/>
    </row>
    <row r="829" spans="12:12" x14ac:dyDescent="0.3">
      <c r="L829" s="122"/>
    </row>
    <row r="830" spans="12:12" x14ac:dyDescent="0.3">
      <c r="L830" s="122"/>
    </row>
    <row r="831" spans="12:12" x14ac:dyDescent="0.3">
      <c r="L831" s="122"/>
    </row>
    <row r="832" spans="12:12" x14ac:dyDescent="0.3">
      <c r="L832" s="122"/>
    </row>
    <row r="833" spans="12:12" x14ac:dyDescent="0.3">
      <c r="L833" s="122"/>
    </row>
    <row r="834" spans="12:12" x14ac:dyDescent="0.3">
      <c r="L834" s="122"/>
    </row>
    <row r="835" spans="12:12" x14ac:dyDescent="0.3">
      <c r="L835" s="122"/>
    </row>
    <row r="836" spans="12:12" x14ac:dyDescent="0.3">
      <c r="L836" s="122"/>
    </row>
    <row r="837" spans="12:12" x14ac:dyDescent="0.3">
      <c r="L837" s="122"/>
    </row>
    <row r="838" spans="12:12" x14ac:dyDescent="0.3">
      <c r="L838" s="122"/>
    </row>
    <row r="839" spans="12:12" x14ac:dyDescent="0.3">
      <c r="L839" s="122"/>
    </row>
    <row r="840" spans="12:12" x14ac:dyDescent="0.3">
      <c r="L840" s="122"/>
    </row>
    <row r="841" spans="12:12" x14ac:dyDescent="0.3">
      <c r="L841" s="122"/>
    </row>
    <row r="842" spans="12:12" x14ac:dyDescent="0.3">
      <c r="L842" s="122"/>
    </row>
    <row r="843" spans="12:12" x14ac:dyDescent="0.3">
      <c r="L843" s="122"/>
    </row>
    <row r="844" spans="12:12" x14ac:dyDescent="0.3">
      <c r="L844" s="122"/>
    </row>
    <row r="845" spans="12:12" x14ac:dyDescent="0.3">
      <c r="L845" s="122"/>
    </row>
    <row r="846" spans="12:12" x14ac:dyDescent="0.3">
      <c r="L846" s="122"/>
    </row>
    <row r="847" spans="12:12" x14ac:dyDescent="0.3">
      <c r="L847" s="122"/>
    </row>
    <row r="848" spans="12:12" x14ac:dyDescent="0.3">
      <c r="L848" s="122"/>
    </row>
    <row r="849" spans="12:12" x14ac:dyDescent="0.3">
      <c r="L849" s="122"/>
    </row>
    <row r="850" spans="12:12" x14ac:dyDescent="0.3">
      <c r="L850" s="122"/>
    </row>
    <row r="851" spans="12:12" x14ac:dyDescent="0.3">
      <c r="L851" s="122"/>
    </row>
    <row r="852" spans="12:12" x14ac:dyDescent="0.3">
      <c r="L852" s="122"/>
    </row>
    <row r="853" spans="12:12" x14ac:dyDescent="0.3">
      <c r="L853" s="122"/>
    </row>
    <row r="854" spans="12:12" x14ac:dyDescent="0.3">
      <c r="L854" s="122"/>
    </row>
    <row r="855" spans="12:12" x14ac:dyDescent="0.3">
      <c r="L855" s="122"/>
    </row>
    <row r="856" spans="12:12" x14ac:dyDescent="0.3">
      <c r="L856" s="122"/>
    </row>
    <row r="857" spans="12:12" x14ac:dyDescent="0.3">
      <c r="L857" s="122"/>
    </row>
    <row r="858" spans="12:12" x14ac:dyDescent="0.3">
      <c r="L858" s="122"/>
    </row>
    <row r="859" spans="12:12" x14ac:dyDescent="0.3">
      <c r="L859" s="122"/>
    </row>
    <row r="860" spans="12:12" x14ac:dyDescent="0.3">
      <c r="L860" s="122"/>
    </row>
    <row r="861" spans="12:12" x14ac:dyDescent="0.3">
      <c r="L861" s="122"/>
    </row>
    <row r="862" spans="12:12" x14ac:dyDescent="0.3">
      <c r="L862" s="122"/>
    </row>
    <row r="863" spans="12:12" x14ac:dyDescent="0.3">
      <c r="L863" s="122"/>
    </row>
    <row r="864" spans="12:12" x14ac:dyDescent="0.3">
      <c r="L864" s="122"/>
    </row>
    <row r="865" spans="12:12" x14ac:dyDescent="0.3">
      <c r="L865" s="122"/>
    </row>
    <row r="866" spans="12:12" x14ac:dyDescent="0.3">
      <c r="L866" s="122"/>
    </row>
    <row r="867" spans="12:12" x14ac:dyDescent="0.3">
      <c r="L867" s="122"/>
    </row>
    <row r="868" spans="12:12" x14ac:dyDescent="0.3">
      <c r="L868" s="122"/>
    </row>
    <row r="869" spans="12:12" x14ac:dyDescent="0.3">
      <c r="L869" s="122"/>
    </row>
    <row r="870" spans="12:12" x14ac:dyDescent="0.3">
      <c r="L870" s="122"/>
    </row>
    <row r="871" spans="12:12" x14ac:dyDescent="0.3">
      <c r="L871" s="122"/>
    </row>
    <row r="872" spans="12:12" x14ac:dyDescent="0.3">
      <c r="L872" s="122"/>
    </row>
    <row r="873" spans="12:12" x14ac:dyDescent="0.3">
      <c r="L873" s="122"/>
    </row>
    <row r="874" spans="12:12" x14ac:dyDescent="0.3">
      <c r="L874" s="122"/>
    </row>
    <row r="875" spans="12:12" x14ac:dyDescent="0.3">
      <c r="L875" s="122"/>
    </row>
    <row r="876" spans="12:12" x14ac:dyDescent="0.3">
      <c r="L876" s="122"/>
    </row>
    <row r="877" spans="12:12" x14ac:dyDescent="0.3">
      <c r="L877" s="122"/>
    </row>
    <row r="878" spans="12:12" x14ac:dyDescent="0.3">
      <c r="L878" s="122"/>
    </row>
    <row r="879" spans="12:12" x14ac:dyDescent="0.3">
      <c r="L879" s="122"/>
    </row>
    <row r="880" spans="12:12" x14ac:dyDescent="0.3">
      <c r="L880" s="122"/>
    </row>
    <row r="881" spans="12:12" x14ac:dyDescent="0.3">
      <c r="L881" s="122"/>
    </row>
    <row r="882" spans="12:12" x14ac:dyDescent="0.3">
      <c r="L882" s="122"/>
    </row>
    <row r="883" spans="12:12" x14ac:dyDescent="0.3">
      <c r="L883" s="122"/>
    </row>
    <row r="884" spans="12:12" x14ac:dyDescent="0.3">
      <c r="L884" s="122"/>
    </row>
    <row r="885" spans="12:12" x14ac:dyDescent="0.3">
      <c r="L885" s="122"/>
    </row>
    <row r="886" spans="12:12" x14ac:dyDescent="0.3">
      <c r="L886" s="122"/>
    </row>
    <row r="887" spans="12:12" x14ac:dyDescent="0.3">
      <c r="L887" s="122"/>
    </row>
    <row r="888" spans="12:12" x14ac:dyDescent="0.3">
      <c r="L888" s="122"/>
    </row>
    <row r="889" spans="12:12" x14ac:dyDescent="0.3">
      <c r="L889" s="122"/>
    </row>
    <row r="890" spans="12:12" x14ac:dyDescent="0.3">
      <c r="L890" s="122"/>
    </row>
    <row r="891" spans="12:12" x14ac:dyDescent="0.3">
      <c r="L891" s="122"/>
    </row>
    <row r="892" spans="12:12" x14ac:dyDescent="0.3">
      <c r="L892" s="122"/>
    </row>
    <row r="893" spans="12:12" x14ac:dyDescent="0.3">
      <c r="L893" s="122"/>
    </row>
    <row r="894" spans="12:12" x14ac:dyDescent="0.3">
      <c r="L894" s="122"/>
    </row>
    <row r="895" spans="12:12" x14ac:dyDescent="0.3">
      <c r="L895" s="122"/>
    </row>
    <row r="896" spans="12:12" x14ac:dyDescent="0.3">
      <c r="L896" s="122"/>
    </row>
    <row r="897" spans="12:12" x14ac:dyDescent="0.3">
      <c r="L897" s="122"/>
    </row>
    <row r="898" spans="12:12" x14ac:dyDescent="0.3">
      <c r="L898" s="122"/>
    </row>
    <row r="899" spans="12:12" x14ac:dyDescent="0.3">
      <c r="L899" s="122"/>
    </row>
    <row r="900" spans="12:12" x14ac:dyDescent="0.3">
      <c r="L900" s="122"/>
    </row>
    <row r="901" spans="12:12" x14ac:dyDescent="0.3">
      <c r="L901" s="122"/>
    </row>
    <row r="902" spans="12:12" x14ac:dyDescent="0.3">
      <c r="L902" s="122"/>
    </row>
    <row r="903" spans="12:12" x14ac:dyDescent="0.3">
      <c r="L903" s="122"/>
    </row>
    <row r="904" spans="12:12" x14ac:dyDescent="0.3">
      <c r="L904" s="122"/>
    </row>
    <row r="905" spans="12:12" x14ac:dyDescent="0.3">
      <c r="L905" s="122"/>
    </row>
    <row r="906" spans="12:12" x14ac:dyDescent="0.3">
      <c r="L906" s="122"/>
    </row>
    <row r="907" spans="12:12" x14ac:dyDescent="0.3">
      <c r="L907" s="122"/>
    </row>
    <row r="908" spans="12:12" x14ac:dyDescent="0.3">
      <c r="L908" s="122"/>
    </row>
    <row r="909" spans="12:12" x14ac:dyDescent="0.3">
      <c r="L909" s="122"/>
    </row>
    <row r="910" spans="12:12" x14ac:dyDescent="0.3">
      <c r="L910" s="122"/>
    </row>
    <row r="911" spans="12:12" x14ac:dyDescent="0.3">
      <c r="L911" s="122"/>
    </row>
    <row r="912" spans="12:12" x14ac:dyDescent="0.3">
      <c r="L912" s="122"/>
    </row>
    <row r="913" spans="12:12" x14ac:dyDescent="0.3">
      <c r="L913" s="122"/>
    </row>
    <row r="914" spans="12:12" x14ac:dyDescent="0.3">
      <c r="L914" s="122"/>
    </row>
    <row r="915" spans="12:12" x14ac:dyDescent="0.3">
      <c r="L915" s="122"/>
    </row>
    <row r="916" spans="12:12" x14ac:dyDescent="0.3">
      <c r="L916" s="122"/>
    </row>
    <row r="917" spans="12:12" x14ac:dyDescent="0.3">
      <c r="L917" s="122"/>
    </row>
    <row r="918" spans="12:12" x14ac:dyDescent="0.3">
      <c r="L918" s="122"/>
    </row>
    <row r="919" spans="12:12" x14ac:dyDescent="0.3">
      <c r="L919" s="122"/>
    </row>
    <row r="920" spans="12:12" x14ac:dyDescent="0.3">
      <c r="L920" s="122"/>
    </row>
    <row r="921" spans="12:12" x14ac:dyDescent="0.3">
      <c r="L921" s="122"/>
    </row>
    <row r="922" spans="12:12" x14ac:dyDescent="0.3">
      <c r="L922" s="122"/>
    </row>
    <row r="923" spans="12:12" x14ac:dyDescent="0.3">
      <c r="L923" s="122"/>
    </row>
    <row r="924" spans="12:12" x14ac:dyDescent="0.3">
      <c r="L924" s="122"/>
    </row>
    <row r="925" spans="12:12" x14ac:dyDescent="0.3">
      <c r="L925" s="122"/>
    </row>
    <row r="926" spans="12:12" x14ac:dyDescent="0.3">
      <c r="L926" s="122"/>
    </row>
    <row r="927" spans="12:12" x14ac:dyDescent="0.3">
      <c r="L927" s="122"/>
    </row>
    <row r="928" spans="12:12" x14ac:dyDescent="0.3">
      <c r="L928" s="122"/>
    </row>
    <row r="929" spans="12:12" x14ac:dyDescent="0.3">
      <c r="L929" s="122"/>
    </row>
    <row r="930" spans="12:12" x14ac:dyDescent="0.3">
      <c r="L930" s="122"/>
    </row>
    <row r="931" spans="12:12" x14ac:dyDescent="0.3">
      <c r="L931" s="122"/>
    </row>
    <row r="932" spans="12:12" x14ac:dyDescent="0.3">
      <c r="L932" s="122"/>
    </row>
    <row r="933" spans="12:12" x14ac:dyDescent="0.3">
      <c r="L933" s="122"/>
    </row>
    <row r="934" spans="12:12" x14ac:dyDescent="0.3">
      <c r="L934" s="122"/>
    </row>
    <row r="935" spans="12:12" x14ac:dyDescent="0.3">
      <c r="L935" s="122"/>
    </row>
    <row r="936" spans="12:12" x14ac:dyDescent="0.3">
      <c r="L936" s="122"/>
    </row>
    <row r="937" spans="12:12" x14ac:dyDescent="0.3">
      <c r="L937" s="122"/>
    </row>
    <row r="938" spans="12:12" x14ac:dyDescent="0.3">
      <c r="L938" s="122"/>
    </row>
    <row r="939" spans="12:12" x14ac:dyDescent="0.3">
      <c r="L939" s="122"/>
    </row>
    <row r="940" spans="12:12" x14ac:dyDescent="0.3">
      <c r="L940" s="122"/>
    </row>
    <row r="941" spans="12:12" x14ac:dyDescent="0.3">
      <c r="L941" s="122"/>
    </row>
    <row r="942" spans="12:12" x14ac:dyDescent="0.3">
      <c r="L942" s="122"/>
    </row>
    <row r="943" spans="12:12" x14ac:dyDescent="0.3">
      <c r="L943" s="122"/>
    </row>
    <row r="944" spans="12:12" x14ac:dyDescent="0.3">
      <c r="L944" s="122"/>
    </row>
    <row r="945" spans="12:12" x14ac:dyDescent="0.3">
      <c r="L945" s="122"/>
    </row>
    <row r="946" spans="12:12" x14ac:dyDescent="0.3">
      <c r="L946" s="122"/>
    </row>
    <row r="947" spans="12:12" x14ac:dyDescent="0.3">
      <c r="L947" s="122"/>
    </row>
    <row r="948" spans="12:12" x14ac:dyDescent="0.3">
      <c r="L948" s="122"/>
    </row>
    <row r="949" spans="12:12" x14ac:dyDescent="0.3">
      <c r="L949" s="122"/>
    </row>
    <row r="950" spans="12:12" x14ac:dyDescent="0.3">
      <c r="L950" s="122"/>
    </row>
    <row r="951" spans="12:12" x14ac:dyDescent="0.3">
      <c r="L951" s="122"/>
    </row>
    <row r="952" spans="12:12" x14ac:dyDescent="0.3">
      <c r="L952" s="122"/>
    </row>
    <row r="953" spans="12:12" x14ac:dyDescent="0.3">
      <c r="L953" s="122"/>
    </row>
    <row r="954" spans="12:12" x14ac:dyDescent="0.3">
      <c r="L954" s="122"/>
    </row>
    <row r="955" spans="12:12" x14ac:dyDescent="0.3">
      <c r="L955" s="122"/>
    </row>
    <row r="956" spans="12:12" x14ac:dyDescent="0.3">
      <c r="L956" s="122"/>
    </row>
    <row r="957" spans="12:12" x14ac:dyDescent="0.3">
      <c r="L957" s="122"/>
    </row>
    <row r="958" spans="12:12" x14ac:dyDescent="0.3">
      <c r="L958" s="122"/>
    </row>
    <row r="959" spans="12:12" x14ac:dyDescent="0.3">
      <c r="L959" s="122"/>
    </row>
    <row r="960" spans="12:12" x14ac:dyDescent="0.3">
      <c r="L960" s="122"/>
    </row>
    <row r="961" spans="12:12" x14ac:dyDescent="0.3">
      <c r="L961" s="122"/>
    </row>
    <row r="962" spans="12:12" x14ac:dyDescent="0.3">
      <c r="L962" s="122"/>
    </row>
    <row r="963" spans="12:12" x14ac:dyDescent="0.3">
      <c r="L963" s="122"/>
    </row>
    <row r="964" spans="12:12" x14ac:dyDescent="0.3">
      <c r="L964" s="122"/>
    </row>
    <row r="965" spans="12:12" x14ac:dyDescent="0.3">
      <c r="L965" s="122"/>
    </row>
    <row r="966" spans="12:12" x14ac:dyDescent="0.3">
      <c r="L966" s="122"/>
    </row>
    <row r="967" spans="12:12" x14ac:dyDescent="0.3">
      <c r="L967" s="122"/>
    </row>
    <row r="968" spans="12:12" x14ac:dyDescent="0.3">
      <c r="L968" s="122"/>
    </row>
    <row r="969" spans="12:12" x14ac:dyDescent="0.3">
      <c r="L969" s="122"/>
    </row>
    <row r="970" spans="12:12" x14ac:dyDescent="0.3">
      <c r="L970" s="122"/>
    </row>
    <row r="971" spans="12:12" x14ac:dyDescent="0.3">
      <c r="L971" s="122"/>
    </row>
    <row r="972" spans="12:12" x14ac:dyDescent="0.3">
      <c r="L972" s="122"/>
    </row>
    <row r="973" spans="12:12" x14ac:dyDescent="0.3">
      <c r="L973" s="122"/>
    </row>
    <row r="974" spans="12:12" x14ac:dyDescent="0.3">
      <c r="L974" s="122"/>
    </row>
    <row r="975" spans="12:12" x14ac:dyDescent="0.3">
      <c r="L975" s="122"/>
    </row>
    <row r="976" spans="12:12" x14ac:dyDescent="0.3">
      <c r="L976" s="122"/>
    </row>
    <row r="977" spans="12:12" x14ac:dyDescent="0.3">
      <c r="L977" s="122"/>
    </row>
    <row r="978" spans="12:12" x14ac:dyDescent="0.3">
      <c r="L978" s="122"/>
    </row>
    <row r="979" spans="12:12" x14ac:dyDescent="0.3">
      <c r="L979" s="122"/>
    </row>
    <row r="980" spans="12:12" x14ac:dyDescent="0.3">
      <c r="L980" s="122"/>
    </row>
    <row r="981" spans="12:12" x14ac:dyDescent="0.3">
      <c r="L981" s="122"/>
    </row>
    <row r="982" spans="12:12" x14ac:dyDescent="0.3">
      <c r="L982" s="122"/>
    </row>
    <row r="983" spans="12:12" x14ac:dyDescent="0.3">
      <c r="L983" s="122"/>
    </row>
    <row r="984" spans="12:12" x14ac:dyDescent="0.3">
      <c r="L984" s="122"/>
    </row>
    <row r="985" spans="12:12" x14ac:dyDescent="0.3">
      <c r="L985" s="122"/>
    </row>
    <row r="986" spans="12:12" x14ac:dyDescent="0.3">
      <c r="L986" s="122"/>
    </row>
    <row r="987" spans="12:12" x14ac:dyDescent="0.3">
      <c r="L987" s="122"/>
    </row>
    <row r="988" spans="12:12" x14ac:dyDescent="0.3">
      <c r="L988" s="122"/>
    </row>
    <row r="989" spans="12:12" x14ac:dyDescent="0.3">
      <c r="L989" s="122"/>
    </row>
    <row r="990" spans="12:12" x14ac:dyDescent="0.3">
      <c r="L990" s="122"/>
    </row>
    <row r="991" spans="12:12" x14ac:dyDescent="0.3">
      <c r="L991" s="122"/>
    </row>
    <row r="992" spans="12:12" x14ac:dyDescent="0.3">
      <c r="L992" s="122"/>
    </row>
    <row r="993" spans="12:12" x14ac:dyDescent="0.3">
      <c r="L993" s="122"/>
    </row>
    <row r="994" spans="12:12" x14ac:dyDescent="0.3">
      <c r="L994" s="122"/>
    </row>
    <row r="995" spans="12:12" x14ac:dyDescent="0.3">
      <c r="L995" s="122"/>
    </row>
    <row r="996" spans="12:12" x14ac:dyDescent="0.3">
      <c r="L996" s="122"/>
    </row>
    <row r="997" spans="12:12" x14ac:dyDescent="0.3">
      <c r="L997" s="122"/>
    </row>
    <row r="998" spans="12:12" x14ac:dyDescent="0.3">
      <c r="L998" s="122"/>
    </row>
    <row r="999" spans="12:12" x14ac:dyDescent="0.3">
      <c r="L999" s="122"/>
    </row>
    <row r="1000" spans="12:12" x14ac:dyDescent="0.3">
      <c r="L1000" s="122"/>
    </row>
    <row r="1001" spans="12:12" x14ac:dyDescent="0.3">
      <c r="L1001" s="122"/>
    </row>
    <row r="1002" spans="12:12" x14ac:dyDescent="0.3">
      <c r="L1002" s="122"/>
    </row>
    <row r="1003" spans="12:12" x14ac:dyDescent="0.3">
      <c r="L1003" s="122"/>
    </row>
    <row r="1004" spans="12:12" x14ac:dyDescent="0.3">
      <c r="L1004" s="122"/>
    </row>
    <row r="1005" spans="12:12" x14ac:dyDescent="0.3">
      <c r="L1005" s="122"/>
    </row>
    <row r="1006" spans="12:12" x14ac:dyDescent="0.3">
      <c r="L1006" s="122"/>
    </row>
    <row r="1007" spans="12:12" x14ac:dyDescent="0.3">
      <c r="L1007" s="122"/>
    </row>
    <row r="1008" spans="12:12" x14ac:dyDescent="0.3">
      <c r="L1008" s="122"/>
    </row>
    <row r="1009" spans="12:12" x14ac:dyDescent="0.3">
      <c r="L1009" s="122"/>
    </row>
    <row r="1010" spans="12:12" x14ac:dyDescent="0.3">
      <c r="L1010" s="122"/>
    </row>
    <row r="1011" spans="12:12" x14ac:dyDescent="0.3">
      <c r="L1011" s="122"/>
    </row>
    <row r="1012" spans="12:12" x14ac:dyDescent="0.3">
      <c r="L1012" s="122"/>
    </row>
    <row r="1013" spans="12:12" x14ac:dyDescent="0.3">
      <c r="L1013" s="122"/>
    </row>
    <row r="1014" spans="12:12" x14ac:dyDescent="0.3">
      <c r="L1014" s="122"/>
    </row>
    <row r="1015" spans="12:12" x14ac:dyDescent="0.3">
      <c r="L1015" s="122"/>
    </row>
    <row r="1016" spans="12:12" x14ac:dyDescent="0.3">
      <c r="L1016" s="122"/>
    </row>
    <row r="1017" spans="12:12" x14ac:dyDescent="0.3">
      <c r="L1017" s="122"/>
    </row>
    <row r="1018" spans="12:12" x14ac:dyDescent="0.3">
      <c r="L1018" s="122"/>
    </row>
    <row r="1019" spans="12:12" x14ac:dyDescent="0.3">
      <c r="L1019" s="122"/>
    </row>
    <row r="1020" spans="12:12" x14ac:dyDescent="0.3">
      <c r="L1020" s="122"/>
    </row>
    <row r="1021" spans="12:12" x14ac:dyDescent="0.3">
      <c r="L1021" s="122"/>
    </row>
    <row r="1022" spans="12:12" x14ac:dyDescent="0.3">
      <c r="L1022" s="122"/>
    </row>
    <row r="1023" spans="12:12" x14ac:dyDescent="0.3">
      <c r="L1023" s="122"/>
    </row>
    <row r="1024" spans="12:12" x14ac:dyDescent="0.3">
      <c r="L1024" s="122"/>
    </row>
    <row r="1025" spans="12:12" x14ac:dyDescent="0.3">
      <c r="L1025" s="122"/>
    </row>
    <row r="1026" spans="12:12" x14ac:dyDescent="0.3">
      <c r="L1026" s="122"/>
    </row>
    <row r="1027" spans="12:12" x14ac:dyDescent="0.3">
      <c r="L1027" s="122"/>
    </row>
    <row r="1028" spans="12:12" x14ac:dyDescent="0.3">
      <c r="L1028" s="122"/>
    </row>
    <row r="1029" spans="12:12" x14ac:dyDescent="0.3">
      <c r="L1029" s="122"/>
    </row>
    <row r="1030" spans="12:12" x14ac:dyDescent="0.3">
      <c r="L1030" s="122"/>
    </row>
    <row r="1031" spans="12:12" x14ac:dyDescent="0.3">
      <c r="L1031" s="122"/>
    </row>
    <row r="1032" spans="12:12" x14ac:dyDescent="0.3">
      <c r="L1032" s="122"/>
    </row>
    <row r="1033" spans="12:12" x14ac:dyDescent="0.3">
      <c r="L1033" s="122"/>
    </row>
    <row r="1034" spans="12:12" x14ac:dyDescent="0.3">
      <c r="L1034" s="122"/>
    </row>
    <row r="1035" spans="12:12" x14ac:dyDescent="0.3">
      <c r="L1035" s="122"/>
    </row>
    <row r="1036" spans="12:12" x14ac:dyDescent="0.3">
      <c r="L1036" s="122"/>
    </row>
    <row r="1037" spans="12:12" x14ac:dyDescent="0.3">
      <c r="L1037" s="122"/>
    </row>
    <row r="1038" spans="12:12" x14ac:dyDescent="0.3">
      <c r="L1038" s="122"/>
    </row>
    <row r="1039" spans="12:12" x14ac:dyDescent="0.3">
      <c r="L1039" s="122"/>
    </row>
    <row r="1040" spans="12:12" x14ac:dyDescent="0.3">
      <c r="L1040" s="122"/>
    </row>
    <row r="1041" spans="12:12" x14ac:dyDescent="0.3">
      <c r="L1041" s="122"/>
    </row>
    <row r="1042" spans="12:12" x14ac:dyDescent="0.3">
      <c r="L1042" s="122"/>
    </row>
    <row r="1043" spans="12:12" x14ac:dyDescent="0.3">
      <c r="L1043" s="122"/>
    </row>
    <row r="1044" spans="12:12" x14ac:dyDescent="0.3">
      <c r="L1044" s="122"/>
    </row>
    <row r="1045" spans="12:12" x14ac:dyDescent="0.3">
      <c r="L1045" s="122"/>
    </row>
    <row r="1046" spans="12:12" x14ac:dyDescent="0.3">
      <c r="L1046" s="122"/>
    </row>
    <row r="1047" spans="12:12" x14ac:dyDescent="0.3">
      <c r="L1047" s="122"/>
    </row>
    <row r="1048" spans="12:12" x14ac:dyDescent="0.3">
      <c r="L1048" s="122"/>
    </row>
    <row r="1049" spans="12:12" x14ac:dyDescent="0.3">
      <c r="L1049" s="122"/>
    </row>
    <row r="1050" spans="12:12" x14ac:dyDescent="0.3">
      <c r="L1050" s="122"/>
    </row>
    <row r="1051" spans="12:12" x14ac:dyDescent="0.3">
      <c r="L1051" s="122"/>
    </row>
    <row r="1052" spans="12:12" x14ac:dyDescent="0.3">
      <c r="L1052" s="122"/>
    </row>
    <row r="1053" spans="12:12" x14ac:dyDescent="0.3">
      <c r="L1053" s="122"/>
    </row>
    <row r="1054" spans="12:12" x14ac:dyDescent="0.3">
      <c r="L1054" s="122"/>
    </row>
    <row r="1055" spans="12:12" x14ac:dyDescent="0.3">
      <c r="L1055" s="122"/>
    </row>
    <row r="1056" spans="12:12" x14ac:dyDescent="0.3">
      <c r="L1056" s="122"/>
    </row>
    <row r="1057" spans="12:12" x14ac:dyDescent="0.3">
      <c r="L1057" s="122"/>
    </row>
    <row r="1058" spans="12:12" x14ac:dyDescent="0.3">
      <c r="L1058" s="122"/>
    </row>
    <row r="1059" spans="12:12" x14ac:dyDescent="0.3">
      <c r="L1059" s="122"/>
    </row>
    <row r="1060" spans="12:12" x14ac:dyDescent="0.3">
      <c r="L1060" s="122"/>
    </row>
    <row r="1061" spans="12:12" x14ac:dyDescent="0.3">
      <c r="L1061" s="122"/>
    </row>
    <row r="1062" spans="12:12" x14ac:dyDescent="0.3">
      <c r="L1062" s="122"/>
    </row>
    <row r="1063" spans="12:12" x14ac:dyDescent="0.3">
      <c r="L1063" s="122"/>
    </row>
    <row r="1064" spans="12:12" x14ac:dyDescent="0.3">
      <c r="L1064" s="122"/>
    </row>
    <row r="1065" spans="12:12" x14ac:dyDescent="0.3">
      <c r="L1065" s="122"/>
    </row>
    <row r="1066" spans="12:12" x14ac:dyDescent="0.3">
      <c r="L1066" s="122"/>
    </row>
    <row r="1067" spans="12:12" x14ac:dyDescent="0.3">
      <c r="L1067" s="122"/>
    </row>
    <row r="1068" spans="12:12" x14ac:dyDescent="0.3">
      <c r="L1068" s="122"/>
    </row>
    <row r="1069" spans="12:12" x14ac:dyDescent="0.3">
      <c r="L1069" s="122"/>
    </row>
    <row r="1070" spans="12:12" x14ac:dyDescent="0.3">
      <c r="L1070" s="122"/>
    </row>
    <row r="1071" spans="12:12" x14ac:dyDescent="0.3">
      <c r="L1071" s="122"/>
    </row>
    <row r="1072" spans="12:12" x14ac:dyDescent="0.3">
      <c r="L1072" s="122"/>
    </row>
    <row r="1073" spans="12:12" x14ac:dyDescent="0.3">
      <c r="L1073" s="122"/>
    </row>
    <row r="1074" spans="12:12" x14ac:dyDescent="0.3">
      <c r="L1074" s="122"/>
    </row>
    <row r="1075" spans="12:12" x14ac:dyDescent="0.3">
      <c r="L1075" s="122"/>
    </row>
    <row r="1076" spans="12:12" x14ac:dyDescent="0.3">
      <c r="L1076" s="122"/>
    </row>
    <row r="1077" spans="12:12" x14ac:dyDescent="0.3">
      <c r="L1077" s="122"/>
    </row>
    <row r="1078" spans="12:12" x14ac:dyDescent="0.3">
      <c r="L1078" s="122"/>
    </row>
    <row r="1079" spans="12:12" x14ac:dyDescent="0.3">
      <c r="L1079" s="122"/>
    </row>
    <row r="1080" spans="12:12" x14ac:dyDescent="0.3">
      <c r="L1080" s="122"/>
    </row>
    <row r="1081" spans="12:12" x14ac:dyDescent="0.3">
      <c r="L1081" s="122"/>
    </row>
    <row r="1082" spans="12:12" x14ac:dyDescent="0.3">
      <c r="L1082" s="122"/>
    </row>
    <row r="1083" spans="12:12" x14ac:dyDescent="0.3">
      <c r="L1083" s="122"/>
    </row>
    <row r="1084" spans="12:12" x14ac:dyDescent="0.3">
      <c r="L1084" s="122"/>
    </row>
    <row r="1085" spans="12:12" x14ac:dyDescent="0.3">
      <c r="L1085" s="122"/>
    </row>
    <row r="1086" spans="12:12" x14ac:dyDescent="0.3">
      <c r="L1086" s="122"/>
    </row>
    <row r="1087" spans="12:12" x14ac:dyDescent="0.3">
      <c r="L1087" s="122"/>
    </row>
    <row r="1088" spans="12:12" x14ac:dyDescent="0.3">
      <c r="L1088" s="122"/>
    </row>
    <row r="1089" spans="12:12" x14ac:dyDescent="0.3">
      <c r="L1089" s="122"/>
    </row>
    <row r="1090" spans="12:12" x14ac:dyDescent="0.3">
      <c r="L1090" s="122"/>
    </row>
    <row r="1091" spans="12:12" x14ac:dyDescent="0.3">
      <c r="L1091" s="122"/>
    </row>
    <row r="1092" spans="12:12" x14ac:dyDescent="0.3">
      <c r="L1092" s="122"/>
    </row>
    <row r="1093" spans="12:12" x14ac:dyDescent="0.3">
      <c r="L1093" s="122"/>
    </row>
    <row r="1094" spans="12:12" x14ac:dyDescent="0.3">
      <c r="L1094" s="122"/>
    </row>
    <row r="1095" spans="12:12" x14ac:dyDescent="0.3">
      <c r="L1095" s="122"/>
    </row>
    <row r="1096" spans="12:12" x14ac:dyDescent="0.3">
      <c r="L1096" s="122"/>
    </row>
    <row r="1097" spans="12:12" x14ac:dyDescent="0.3">
      <c r="L1097" s="122"/>
    </row>
    <row r="1098" spans="12:12" x14ac:dyDescent="0.3">
      <c r="L1098" s="122"/>
    </row>
    <row r="1099" spans="12:12" x14ac:dyDescent="0.3">
      <c r="L1099" s="122"/>
    </row>
    <row r="1100" spans="12:12" x14ac:dyDescent="0.3">
      <c r="L1100" s="122"/>
    </row>
    <row r="1101" spans="12:12" x14ac:dyDescent="0.3">
      <c r="L1101" s="122"/>
    </row>
    <row r="1102" spans="12:12" x14ac:dyDescent="0.3">
      <c r="L1102" s="122"/>
    </row>
    <row r="1103" spans="12:12" x14ac:dyDescent="0.3">
      <c r="L1103" s="122"/>
    </row>
    <row r="1104" spans="12:12" x14ac:dyDescent="0.3">
      <c r="L1104" s="122"/>
    </row>
    <row r="1105" spans="12:12" x14ac:dyDescent="0.3">
      <c r="L1105" s="122"/>
    </row>
    <row r="1106" spans="12:12" x14ac:dyDescent="0.3">
      <c r="L1106" s="122"/>
    </row>
    <row r="1107" spans="12:12" x14ac:dyDescent="0.3">
      <c r="L1107" s="122"/>
    </row>
    <row r="1108" spans="12:12" x14ac:dyDescent="0.3">
      <c r="L1108" s="122"/>
    </row>
    <row r="1109" spans="12:12" x14ac:dyDescent="0.3">
      <c r="L1109" s="122"/>
    </row>
    <row r="1110" spans="12:12" x14ac:dyDescent="0.3">
      <c r="L1110" s="122"/>
    </row>
    <row r="1111" spans="12:12" x14ac:dyDescent="0.3">
      <c r="L1111" s="122"/>
    </row>
    <row r="1112" spans="12:12" x14ac:dyDescent="0.3">
      <c r="L1112" s="122"/>
    </row>
    <row r="1113" spans="12:12" x14ac:dyDescent="0.3">
      <c r="L1113" s="122"/>
    </row>
    <row r="1114" spans="12:12" x14ac:dyDescent="0.3">
      <c r="L1114" s="122"/>
    </row>
    <row r="1115" spans="12:12" x14ac:dyDescent="0.3">
      <c r="L1115" s="122"/>
    </row>
    <row r="1116" spans="12:12" x14ac:dyDescent="0.3">
      <c r="L1116" s="122"/>
    </row>
    <row r="1117" spans="12:12" x14ac:dyDescent="0.3">
      <c r="L1117" s="122"/>
    </row>
    <row r="1118" spans="12:12" x14ac:dyDescent="0.3">
      <c r="L1118" s="122"/>
    </row>
    <row r="1119" spans="12:12" x14ac:dyDescent="0.3">
      <c r="L1119" s="122"/>
    </row>
    <row r="1120" spans="12:12" x14ac:dyDescent="0.3">
      <c r="L1120" s="122"/>
    </row>
    <row r="1121" spans="12:12" x14ac:dyDescent="0.3">
      <c r="L1121" s="122"/>
    </row>
    <row r="1122" spans="12:12" x14ac:dyDescent="0.3">
      <c r="L1122" s="122"/>
    </row>
    <row r="1123" spans="12:12" x14ac:dyDescent="0.3">
      <c r="L1123" s="122"/>
    </row>
    <row r="1124" spans="12:12" x14ac:dyDescent="0.3">
      <c r="L1124" s="122"/>
    </row>
    <row r="1125" spans="12:12" x14ac:dyDescent="0.3">
      <c r="L1125" s="122"/>
    </row>
    <row r="1126" spans="12:12" x14ac:dyDescent="0.3">
      <c r="L1126" s="122"/>
    </row>
    <row r="1127" spans="12:12" x14ac:dyDescent="0.3">
      <c r="L1127" s="122"/>
    </row>
    <row r="1128" spans="12:12" x14ac:dyDescent="0.3">
      <c r="L1128" s="122"/>
    </row>
    <row r="1129" spans="12:12" x14ac:dyDescent="0.3">
      <c r="L1129" s="122"/>
    </row>
    <row r="1130" spans="12:12" x14ac:dyDescent="0.3">
      <c r="L1130" s="122"/>
    </row>
    <row r="1131" spans="12:12" x14ac:dyDescent="0.3">
      <c r="L1131" s="122"/>
    </row>
    <row r="1132" spans="12:12" x14ac:dyDescent="0.3">
      <c r="L1132" s="122"/>
    </row>
    <row r="1133" spans="12:12" x14ac:dyDescent="0.3">
      <c r="L1133" s="122"/>
    </row>
    <row r="1134" spans="12:12" x14ac:dyDescent="0.3">
      <c r="L1134" s="122"/>
    </row>
    <row r="1135" spans="12:12" x14ac:dyDescent="0.3">
      <c r="L1135" s="122"/>
    </row>
    <row r="1136" spans="12:12" x14ac:dyDescent="0.3">
      <c r="L1136" s="122"/>
    </row>
    <row r="1137" spans="12:12" x14ac:dyDescent="0.3">
      <c r="L1137" s="122"/>
    </row>
    <row r="1138" spans="12:12" x14ac:dyDescent="0.3">
      <c r="L1138" s="122"/>
    </row>
    <row r="1139" spans="12:12" x14ac:dyDescent="0.3">
      <c r="L1139" s="122"/>
    </row>
    <row r="1140" spans="12:12" x14ac:dyDescent="0.3">
      <c r="L1140" s="122"/>
    </row>
    <row r="1141" spans="12:12" x14ac:dyDescent="0.3">
      <c r="L1141" s="122"/>
    </row>
    <row r="1142" spans="12:12" x14ac:dyDescent="0.3">
      <c r="L1142" s="122"/>
    </row>
    <row r="1143" spans="12:12" x14ac:dyDescent="0.3">
      <c r="L1143" s="122"/>
    </row>
    <row r="1144" spans="12:12" x14ac:dyDescent="0.3">
      <c r="L1144" s="122"/>
    </row>
    <row r="1145" spans="12:12" x14ac:dyDescent="0.3">
      <c r="L1145" s="122"/>
    </row>
    <row r="1146" spans="12:12" x14ac:dyDescent="0.3">
      <c r="L1146" s="122"/>
    </row>
    <row r="1147" spans="12:12" x14ac:dyDescent="0.3">
      <c r="L1147" s="122"/>
    </row>
    <row r="1148" spans="12:12" x14ac:dyDescent="0.3">
      <c r="L1148" s="122"/>
    </row>
    <row r="1149" spans="12:12" x14ac:dyDescent="0.3">
      <c r="L1149" s="122"/>
    </row>
    <row r="1150" spans="12:12" x14ac:dyDescent="0.3">
      <c r="L1150" s="122"/>
    </row>
    <row r="1151" spans="12:12" x14ac:dyDescent="0.3">
      <c r="L1151" s="122"/>
    </row>
    <row r="1152" spans="12:12" x14ac:dyDescent="0.3">
      <c r="L1152" s="122"/>
    </row>
    <row r="1153" spans="12:12" x14ac:dyDescent="0.3">
      <c r="L1153" s="122"/>
    </row>
    <row r="1154" spans="12:12" x14ac:dyDescent="0.3">
      <c r="L1154" s="122"/>
    </row>
    <row r="1155" spans="12:12" x14ac:dyDescent="0.3">
      <c r="L1155" s="122"/>
    </row>
    <row r="1156" spans="12:12" x14ac:dyDescent="0.3">
      <c r="L1156" s="122"/>
    </row>
    <row r="1157" spans="12:12" x14ac:dyDescent="0.3">
      <c r="L1157" s="122"/>
    </row>
    <row r="1158" spans="12:12" x14ac:dyDescent="0.3">
      <c r="L1158" s="122"/>
    </row>
    <row r="1159" spans="12:12" x14ac:dyDescent="0.3">
      <c r="L1159" s="122"/>
    </row>
    <row r="1160" spans="12:12" x14ac:dyDescent="0.3">
      <c r="L1160" s="122"/>
    </row>
    <row r="1161" spans="12:12" x14ac:dyDescent="0.3">
      <c r="L1161" s="122"/>
    </row>
    <row r="1162" spans="12:12" x14ac:dyDescent="0.3">
      <c r="L1162" s="122"/>
    </row>
    <row r="1163" spans="12:12" x14ac:dyDescent="0.3">
      <c r="L1163" s="122"/>
    </row>
    <row r="1164" spans="12:12" x14ac:dyDescent="0.3">
      <c r="L1164" s="122"/>
    </row>
    <row r="1165" spans="12:12" x14ac:dyDescent="0.3">
      <c r="L1165" s="122"/>
    </row>
    <row r="1166" spans="12:12" x14ac:dyDescent="0.3">
      <c r="L1166" s="122"/>
    </row>
    <row r="1167" spans="12:12" x14ac:dyDescent="0.3">
      <c r="L1167" s="122"/>
    </row>
    <row r="1168" spans="12:12" x14ac:dyDescent="0.3">
      <c r="L1168" s="122"/>
    </row>
    <row r="1169" spans="12:12" x14ac:dyDescent="0.3">
      <c r="L1169" s="122"/>
    </row>
    <row r="1170" spans="12:12" x14ac:dyDescent="0.3">
      <c r="L1170" s="122"/>
    </row>
    <row r="1171" spans="12:12" x14ac:dyDescent="0.3">
      <c r="L1171" s="122"/>
    </row>
    <row r="1172" spans="12:12" x14ac:dyDescent="0.3">
      <c r="L1172" s="122"/>
    </row>
    <row r="1173" spans="12:12" x14ac:dyDescent="0.3">
      <c r="L1173" s="122"/>
    </row>
    <row r="1174" spans="12:12" x14ac:dyDescent="0.3">
      <c r="L1174" s="122"/>
    </row>
    <row r="1175" spans="12:12" x14ac:dyDescent="0.3">
      <c r="L1175" s="122"/>
    </row>
    <row r="1176" spans="12:12" x14ac:dyDescent="0.3">
      <c r="L1176" s="122"/>
    </row>
    <row r="1177" spans="12:12" x14ac:dyDescent="0.3">
      <c r="L1177" s="122"/>
    </row>
    <row r="1178" spans="12:12" x14ac:dyDescent="0.3">
      <c r="L1178" s="122"/>
    </row>
    <row r="1179" spans="12:12" x14ac:dyDescent="0.3">
      <c r="L1179" s="122"/>
    </row>
    <row r="1180" spans="12:12" x14ac:dyDescent="0.3">
      <c r="L1180" s="122"/>
    </row>
    <row r="1181" spans="12:12" x14ac:dyDescent="0.3">
      <c r="L1181" s="122"/>
    </row>
    <row r="1182" spans="12:12" x14ac:dyDescent="0.3">
      <c r="L1182" s="122"/>
    </row>
    <row r="1183" spans="12:12" x14ac:dyDescent="0.3">
      <c r="L1183" s="122"/>
    </row>
    <row r="1184" spans="12:12" x14ac:dyDescent="0.3">
      <c r="L1184" s="122"/>
    </row>
    <row r="1185" spans="12:12" x14ac:dyDescent="0.3">
      <c r="L1185" s="122"/>
    </row>
    <row r="1186" spans="12:12" x14ac:dyDescent="0.3">
      <c r="L1186" s="122"/>
    </row>
    <row r="1187" spans="12:12" x14ac:dyDescent="0.3">
      <c r="L1187" s="122"/>
    </row>
    <row r="1188" spans="12:12" x14ac:dyDescent="0.3">
      <c r="L1188" s="122"/>
    </row>
    <row r="1189" spans="12:12" x14ac:dyDescent="0.3">
      <c r="L1189" s="122"/>
    </row>
    <row r="1190" spans="12:12" x14ac:dyDescent="0.3">
      <c r="L1190" s="122"/>
    </row>
    <row r="1191" spans="12:12" x14ac:dyDescent="0.3">
      <c r="L1191" s="122"/>
    </row>
    <row r="1192" spans="12:12" x14ac:dyDescent="0.3">
      <c r="L1192" s="122"/>
    </row>
    <row r="1193" spans="12:12" x14ac:dyDescent="0.3">
      <c r="L1193" s="122"/>
    </row>
    <row r="1194" spans="12:12" x14ac:dyDescent="0.3">
      <c r="L1194" s="122"/>
    </row>
    <row r="1195" spans="12:12" x14ac:dyDescent="0.3">
      <c r="L1195" s="122"/>
    </row>
    <row r="1196" spans="12:12" x14ac:dyDescent="0.3">
      <c r="L1196" s="122"/>
    </row>
    <row r="1197" spans="12:12" x14ac:dyDescent="0.3">
      <c r="L1197" s="122"/>
    </row>
    <row r="1198" spans="12:12" x14ac:dyDescent="0.3">
      <c r="L1198" s="122"/>
    </row>
    <row r="1199" spans="12:12" x14ac:dyDescent="0.3">
      <c r="L1199" s="122"/>
    </row>
    <row r="1200" spans="12:12" x14ac:dyDescent="0.3">
      <c r="L1200" s="122"/>
    </row>
    <row r="1201" spans="12:12" x14ac:dyDescent="0.3">
      <c r="L1201" s="122"/>
    </row>
    <row r="1202" spans="12:12" x14ac:dyDescent="0.3">
      <c r="L1202" s="122"/>
    </row>
    <row r="1203" spans="12:12" x14ac:dyDescent="0.3">
      <c r="L1203" s="122"/>
    </row>
    <row r="1204" spans="12:12" x14ac:dyDescent="0.3">
      <c r="L1204" s="122"/>
    </row>
    <row r="1205" spans="12:12" x14ac:dyDescent="0.3">
      <c r="L1205" s="122"/>
    </row>
    <row r="1206" spans="12:12" x14ac:dyDescent="0.3">
      <c r="L1206" s="122"/>
    </row>
    <row r="1207" spans="12:12" x14ac:dyDescent="0.3">
      <c r="L1207" s="122"/>
    </row>
    <row r="1208" spans="12:12" x14ac:dyDescent="0.3">
      <c r="L1208" s="122"/>
    </row>
    <row r="1209" spans="12:12" x14ac:dyDescent="0.3">
      <c r="L1209" s="122"/>
    </row>
    <row r="1210" spans="12:12" x14ac:dyDescent="0.3">
      <c r="L1210" s="122"/>
    </row>
    <row r="1211" spans="12:12" x14ac:dyDescent="0.3">
      <c r="L1211" s="122"/>
    </row>
    <row r="1212" spans="12:12" x14ac:dyDescent="0.3">
      <c r="L1212" s="122"/>
    </row>
    <row r="1213" spans="12:12" x14ac:dyDescent="0.3">
      <c r="L1213" s="122"/>
    </row>
    <row r="1214" spans="12:12" x14ac:dyDescent="0.3">
      <c r="L1214" s="122"/>
    </row>
    <row r="1215" spans="12:12" x14ac:dyDescent="0.3">
      <c r="L1215" s="122"/>
    </row>
    <row r="1216" spans="12:12" x14ac:dyDescent="0.3">
      <c r="L1216" s="122"/>
    </row>
    <row r="1217" spans="12:12" x14ac:dyDescent="0.3">
      <c r="L1217" s="122"/>
    </row>
    <row r="1218" spans="12:12" x14ac:dyDescent="0.3">
      <c r="L1218" s="122"/>
    </row>
    <row r="1219" spans="12:12" x14ac:dyDescent="0.3">
      <c r="L1219" s="122"/>
    </row>
    <row r="1220" spans="12:12" x14ac:dyDescent="0.3">
      <c r="L1220" s="122"/>
    </row>
    <row r="1221" spans="12:12" x14ac:dyDescent="0.3">
      <c r="L1221" s="122"/>
    </row>
    <row r="1222" spans="12:12" x14ac:dyDescent="0.3">
      <c r="L1222" s="122"/>
    </row>
    <row r="1223" spans="12:12" x14ac:dyDescent="0.3">
      <c r="L1223" s="122"/>
    </row>
    <row r="1224" spans="12:12" x14ac:dyDescent="0.3">
      <c r="L1224" s="122"/>
    </row>
    <row r="1225" spans="12:12" x14ac:dyDescent="0.3">
      <c r="L1225" s="122"/>
    </row>
    <row r="1226" spans="12:12" x14ac:dyDescent="0.3">
      <c r="L1226" s="122"/>
    </row>
    <row r="1227" spans="12:12" x14ac:dyDescent="0.3">
      <c r="L1227" s="122"/>
    </row>
    <row r="1228" spans="12:12" x14ac:dyDescent="0.3">
      <c r="L1228" s="122"/>
    </row>
    <row r="1229" spans="12:12" x14ac:dyDescent="0.3">
      <c r="L1229" s="122"/>
    </row>
    <row r="1230" spans="12:12" x14ac:dyDescent="0.3">
      <c r="L1230" s="122"/>
    </row>
    <row r="1231" spans="12:12" x14ac:dyDescent="0.3">
      <c r="L1231" s="122"/>
    </row>
    <row r="1232" spans="12:12" x14ac:dyDescent="0.3">
      <c r="L1232" s="122"/>
    </row>
    <row r="1233" spans="12:12" x14ac:dyDescent="0.3">
      <c r="L1233" s="122"/>
    </row>
    <row r="1234" spans="12:12" x14ac:dyDescent="0.3">
      <c r="L1234" s="122"/>
    </row>
    <row r="1235" spans="12:12" x14ac:dyDescent="0.3">
      <c r="L1235" s="122"/>
    </row>
    <row r="1236" spans="12:12" x14ac:dyDescent="0.3">
      <c r="L1236" s="122"/>
    </row>
    <row r="1237" spans="12:12" x14ac:dyDescent="0.3">
      <c r="L1237" s="122"/>
    </row>
    <row r="1238" spans="12:12" x14ac:dyDescent="0.3">
      <c r="L1238" s="122"/>
    </row>
    <row r="1239" spans="12:12" x14ac:dyDescent="0.3">
      <c r="L1239" s="122"/>
    </row>
    <row r="1240" spans="12:12" x14ac:dyDescent="0.3">
      <c r="L1240" s="122"/>
    </row>
    <row r="1241" spans="12:12" x14ac:dyDescent="0.3">
      <c r="L1241" s="122"/>
    </row>
    <row r="1242" spans="12:12" x14ac:dyDescent="0.3">
      <c r="L1242" s="122"/>
    </row>
    <row r="1243" spans="12:12" x14ac:dyDescent="0.3">
      <c r="L1243" s="122"/>
    </row>
    <row r="1244" spans="12:12" x14ac:dyDescent="0.3">
      <c r="L1244" s="122"/>
    </row>
    <row r="1245" spans="12:12" x14ac:dyDescent="0.3">
      <c r="L1245" s="122"/>
    </row>
    <row r="1246" spans="12:12" x14ac:dyDescent="0.3">
      <c r="L1246" s="122"/>
    </row>
    <row r="1247" spans="12:12" x14ac:dyDescent="0.3">
      <c r="L1247" s="122"/>
    </row>
    <row r="1248" spans="12:12" x14ac:dyDescent="0.3">
      <c r="L1248" s="122"/>
    </row>
    <row r="1249" spans="12:12" x14ac:dyDescent="0.3">
      <c r="L1249" s="122"/>
    </row>
    <row r="1250" spans="12:12" x14ac:dyDescent="0.3">
      <c r="L1250" s="122"/>
    </row>
    <row r="1251" spans="12:12" x14ac:dyDescent="0.3">
      <c r="L1251" s="122"/>
    </row>
    <row r="1252" spans="12:12" x14ac:dyDescent="0.3">
      <c r="L1252" s="122"/>
    </row>
    <row r="1253" spans="12:12" x14ac:dyDescent="0.3">
      <c r="L1253" s="122"/>
    </row>
    <row r="1254" spans="12:12" x14ac:dyDescent="0.3">
      <c r="L1254" s="122"/>
    </row>
    <row r="1255" spans="12:12" x14ac:dyDescent="0.3">
      <c r="L1255" s="122"/>
    </row>
    <row r="1256" spans="12:12" x14ac:dyDescent="0.3">
      <c r="L1256" s="122"/>
    </row>
    <row r="1257" spans="12:12" x14ac:dyDescent="0.3">
      <c r="L1257" s="122"/>
    </row>
    <row r="1258" spans="12:12" x14ac:dyDescent="0.3">
      <c r="L1258" s="122"/>
    </row>
    <row r="1259" spans="12:12" x14ac:dyDescent="0.3">
      <c r="L1259" s="122"/>
    </row>
    <row r="1260" spans="12:12" x14ac:dyDescent="0.3">
      <c r="L1260" s="122"/>
    </row>
    <row r="1261" spans="12:12" x14ac:dyDescent="0.3">
      <c r="L1261" s="122"/>
    </row>
    <row r="1262" spans="12:12" x14ac:dyDescent="0.3">
      <c r="L1262" s="122"/>
    </row>
    <row r="1263" spans="12:12" x14ac:dyDescent="0.3">
      <c r="L1263" s="122"/>
    </row>
    <row r="1264" spans="12:12" x14ac:dyDescent="0.3">
      <c r="L1264" s="122"/>
    </row>
    <row r="1265" spans="12:12" x14ac:dyDescent="0.3">
      <c r="L1265" s="122"/>
    </row>
    <row r="1266" spans="12:12" x14ac:dyDescent="0.3">
      <c r="L1266" s="122"/>
    </row>
    <row r="1267" spans="12:12" x14ac:dyDescent="0.3">
      <c r="L1267" s="122"/>
    </row>
    <row r="1268" spans="12:12" x14ac:dyDescent="0.3">
      <c r="L1268" s="122"/>
    </row>
    <row r="1269" spans="12:12" x14ac:dyDescent="0.3">
      <c r="L1269" s="122"/>
    </row>
    <row r="1270" spans="12:12" x14ac:dyDescent="0.3">
      <c r="L1270" s="122"/>
    </row>
    <row r="1271" spans="12:12" x14ac:dyDescent="0.3">
      <c r="L1271" s="122"/>
    </row>
    <row r="1272" spans="12:12" x14ac:dyDescent="0.3">
      <c r="L1272" s="122"/>
    </row>
    <row r="1273" spans="12:12" x14ac:dyDescent="0.3">
      <c r="L1273" s="122"/>
    </row>
    <row r="1274" spans="12:12" x14ac:dyDescent="0.3">
      <c r="L1274" s="122"/>
    </row>
    <row r="1275" spans="12:12" x14ac:dyDescent="0.3">
      <c r="L1275" s="122"/>
    </row>
    <row r="1276" spans="12:12" x14ac:dyDescent="0.3">
      <c r="L1276" s="122"/>
    </row>
    <row r="1277" spans="12:12" x14ac:dyDescent="0.3">
      <c r="L1277" s="122"/>
    </row>
    <row r="1278" spans="12:12" x14ac:dyDescent="0.3">
      <c r="L1278" s="122"/>
    </row>
    <row r="1279" spans="12:12" x14ac:dyDescent="0.3">
      <c r="L1279" s="122"/>
    </row>
    <row r="1280" spans="12:12" x14ac:dyDescent="0.3">
      <c r="L1280" s="122"/>
    </row>
    <row r="1281" spans="12:12" x14ac:dyDescent="0.3">
      <c r="L1281" s="122"/>
    </row>
    <row r="1282" spans="12:12" x14ac:dyDescent="0.3">
      <c r="L1282" s="122"/>
    </row>
    <row r="1283" spans="12:12" x14ac:dyDescent="0.3">
      <c r="L1283" s="122"/>
    </row>
    <row r="1284" spans="12:12" x14ac:dyDescent="0.3">
      <c r="L1284" s="122"/>
    </row>
    <row r="1285" spans="12:12" x14ac:dyDescent="0.3">
      <c r="L1285" s="122"/>
    </row>
    <row r="1286" spans="12:12" x14ac:dyDescent="0.3">
      <c r="L1286" s="122"/>
    </row>
    <row r="1287" spans="12:12" x14ac:dyDescent="0.3">
      <c r="L1287" s="122"/>
    </row>
    <row r="1288" spans="12:12" x14ac:dyDescent="0.3">
      <c r="L1288" s="122"/>
    </row>
    <row r="1289" spans="12:12" x14ac:dyDescent="0.3">
      <c r="L1289" s="122"/>
    </row>
    <row r="1290" spans="12:12" x14ac:dyDescent="0.3">
      <c r="L1290" s="122"/>
    </row>
    <row r="1291" spans="12:12" x14ac:dyDescent="0.3">
      <c r="L1291" s="122"/>
    </row>
    <row r="1292" spans="12:12" x14ac:dyDescent="0.3">
      <c r="L1292" s="122"/>
    </row>
    <row r="1293" spans="12:12" x14ac:dyDescent="0.3">
      <c r="L1293" s="122"/>
    </row>
    <row r="1294" spans="12:12" x14ac:dyDescent="0.3">
      <c r="L1294" s="122"/>
    </row>
    <row r="1295" spans="12:12" x14ac:dyDescent="0.3">
      <c r="L1295" s="122"/>
    </row>
    <row r="1296" spans="12:12" x14ac:dyDescent="0.3">
      <c r="L1296" s="122"/>
    </row>
    <row r="1297" spans="12:12" x14ac:dyDescent="0.3">
      <c r="L1297" s="122"/>
    </row>
    <row r="1298" spans="12:12" x14ac:dyDescent="0.3">
      <c r="L1298" s="122"/>
    </row>
    <row r="1299" spans="12:12" x14ac:dyDescent="0.3">
      <c r="L1299" s="122"/>
    </row>
    <row r="1300" spans="12:12" x14ac:dyDescent="0.3">
      <c r="L1300" s="122"/>
    </row>
    <row r="1301" spans="12:12" x14ac:dyDescent="0.3">
      <c r="L1301" s="122"/>
    </row>
    <row r="1302" spans="12:12" x14ac:dyDescent="0.3">
      <c r="L1302" s="122"/>
    </row>
    <row r="1303" spans="12:12" x14ac:dyDescent="0.3">
      <c r="L1303" s="122"/>
    </row>
    <row r="1304" spans="12:12" x14ac:dyDescent="0.3">
      <c r="L1304" s="122"/>
    </row>
    <row r="1305" spans="12:12" x14ac:dyDescent="0.3">
      <c r="L1305" s="122"/>
    </row>
    <row r="1306" spans="12:12" x14ac:dyDescent="0.3">
      <c r="L1306" s="122"/>
    </row>
    <row r="1307" spans="12:12" x14ac:dyDescent="0.3">
      <c r="L1307" s="122"/>
    </row>
    <row r="1308" spans="12:12" x14ac:dyDescent="0.3">
      <c r="L1308" s="122"/>
    </row>
    <row r="1309" spans="12:12" x14ac:dyDescent="0.3">
      <c r="L1309" s="122"/>
    </row>
    <row r="1310" spans="12:12" x14ac:dyDescent="0.3">
      <c r="L1310" s="122"/>
    </row>
    <row r="1311" spans="12:12" x14ac:dyDescent="0.3">
      <c r="L1311" s="122"/>
    </row>
    <row r="1312" spans="12:12" x14ac:dyDescent="0.3">
      <c r="L1312" s="122"/>
    </row>
    <row r="1313" spans="12:12" x14ac:dyDescent="0.3">
      <c r="L1313" s="122"/>
    </row>
    <row r="1314" spans="12:12" x14ac:dyDescent="0.3">
      <c r="L1314" s="122"/>
    </row>
    <row r="1315" spans="12:12" x14ac:dyDescent="0.3">
      <c r="L1315" s="122"/>
    </row>
    <row r="1316" spans="12:12" x14ac:dyDescent="0.3">
      <c r="L1316" s="122"/>
    </row>
    <row r="1317" spans="12:12" x14ac:dyDescent="0.3">
      <c r="L1317" s="122"/>
    </row>
    <row r="1318" spans="12:12" x14ac:dyDescent="0.3">
      <c r="L1318" s="122"/>
    </row>
    <row r="1319" spans="12:12" x14ac:dyDescent="0.3">
      <c r="L1319" s="122"/>
    </row>
    <row r="1320" spans="12:12" x14ac:dyDescent="0.3">
      <c r="L1320" s="122"/>
    </row>
    <row r="1321" spans="12:12" x14ac:dyDescent="0.3">
      <c r="L1321" s="122"/>
    </row>
    <row r="1322" spans="12:12" x14ac:dyDescent="0.3">
      <c r="L1322" s="122"/>
    </row>
    <row r="1323" spans="12:12" x14ac:dyDescent="0.3">
      <c r="L1323" s="122"/>
    </row>
    <row r="1324" spans="12:12" x14ac:dyDescent="0.3">
      <c r="L1324" s="122"/>
    </row>
    <row r="1325" spans="12:12" x14ac:dyDescent="0.3">
      <c r="L1325" s="122"/>
    </row>
    <row r="1326" spans="12:12" x14ac:dyDescent="0.3">
      <c r="L1326" s="122"/>
    </row>
    <row r="1327" spans="12:12" x14ac:dyDescent="0.3">
      <c r="L1327" s="122"/>
    </row>
    <row r="1328" spans="12:12" x14ac:dyDescent="0.3">
      <c r="L1328" s="122"/>
    </row>
    <row r="1329" spans="12:12" x14ac:dyDescent="0.3">
      <c r="L1329" s="122"/>
    </row>
    <row r="1330" spans="12:12" x14ac:dyDescent="0.3">
      <c r="L1330" s="122"/>
    </row>
    <row r="1331" spans="12:12" x14ac:dyDescent="0.3">
      <c r="L1331" s="122"/>
    </row>
    <row r="1332" spans="12:12" x14ac:dyDescent="0.3">
      <c r="L1332" s="122"/>
    </row>
    <row r="1333" spans="12:12" x14ac:dyDescent="0.3">
      <c r="L1333" s="122"/>
    </row>
    <row r="1334" spans="12:12" x14ac:dyDescent="0.3">
      <c r="L1334" s="122"/>
    </row>
    <row r="1335" spans="12:12" x14ac:dyDescent="0.3">
      <c r="L1335" s="122"/>
    </row>
    <row r="1336" spans="12:12" x14ac:dyDescent="0.3">
      <c r="L1336" s="122"/>
    </row>
    <row r="1337" spans="12:12" x14ac:dyDescent="0.3">
      <c r="L1337" s="122"/>
    </row>
    <row r="1338" spans="12:12" x14ac:dyDescent="0.3">
      <c r="L1338" s="122"/>
    </row>
    <row r="1339" spans="12:12" x14ac:dyDescent="0.3">
      <c r="L1339" s="122"/>
    </row>
    <row r="1340" spans="12:12" x14ac:dyDescent="0.3">
      <c r="L1340" s="122"/>
    </row>
    <row r="1341" spans="12:12" x14ac:dyDescent="0.3">
      <c r="L1341" s="122"/>
    </row>
    <row r="1342" spans="12:12" x14ac:dyDescent="0.3">
      <c r="L1342" s="122"/>
    </row>
    <row r="1343" spans="12:12" x14ac:dyDescent="0.3">
      <c r="L1343" s="122"/>
    </row>
    <row r="1344" spans="12:12" x14ac:dyDescent="0.3">
      <c r="L1344" s="122"/>
    </row>
    <row r="1345" spans="12:12" x14ac:dyDescent="0.3">
      <c r="L1345" s="122"/>
    </row>
    <row r="1346" spans="12:12" x14ac:dyDescent="0.3">
      <c r="L1346" s="122"/>
    </row>
    <row r="1347" spans="12:12" x14ac:dyDescent="0.3">
      <c r="L1347" s="122"/>
    </row>
    <row r="1348" spans="12:12" x14ac:dyDescent="0.3">
      <c r="L1348" s="122"/>
    </row>
    <row r="1349" spans="12:12" x14ac:dyDescent="0.3">
      <c r="L1349" s="122"/>
    </row>
    <row r="1350" spans="12:12" x14ac:dyDescent="0.3">
      <c r="L1350" s="122"/>
    </row>
    <row r="1351" spans="12:12" x14ac:dyDescent="0.3">
      <c r="L1351" s="122"/>
    </row>
    <row r="1352" spans="12:12" x14ac:dyDescent="0.3">
      <c r="L1352" s="122"/>
    </row>
    <row r="1353" spans="12:12" x14ac:dyDescent="0.3">
      <c r="L1353" s="122"/>
    </row>
    <row r="1354" spans="12:12" x14ac:dyDescent="0.3">
      <c r="L1354" s="122"/>
    </row>
    <row r="1355" spans="12:12" x14ac:dyDescent="0.3">
      <c r="L1355" s="122"/>
    </row>
    <row r="1356" spans="12:12" x14ac:dyDescent="0.3">
      <c r="L1356" s="122"/>
    </row>
    <row r="1357" spans="12:12" x14ac:dyDescent="0.3">
      <c r="L1357" s="122"/>
    </row>
    <row r="1358" spans="12:12" x14ac:dyDescent="0.3">
      <c r="L1358" s="122"/>
    </row>
    <row r="1359" spans="12:12" x14ac:dyDescent="0.3">
      <c r="L1359" s="122"/>
    </row>
    <row r="1360" spans="12:12" x14ac:dyDescent="0.3">
      <c r="L1360" s="122"/>
    </row>
    <row r="1361" spans="12:12" x14ac:dyDescent="0.3">
      <c r="L1361" s="122"/>
    </row>
    <row r="1362" spans="12:12" x14ac:dyDescent="0.3">
      <c r="L1362" s="122"/>
    </row>
    <row r="1363" spans="12:12" x14ac:dyDescent="0.3">
      <c r="L1363" s="122"/>
    </row>
    <row r="1364" spans="12:12" x14ac:dyDescent="0.3">
      <c r="L1364" s="122"/>
    </row>
    <row r="1365" spans="12:12" x14ac:dyDescent="0.3">
      <c r="L1365" s="122"/>
    </row>
    <row r="1366" spans="12:12" x14ac:dyDescent="0.3">
      <c r="L1366" s="122"/>
    </row>
    <row r="1367" spans="12:12" x14ac:dyDescent="0.3">
      <c r="L1367" s="122"/>
    </row>
    <row r="1368" spans="12:12" x14ac:dyDescent="0.3">
      <c r="L1368" s="122"/>
    </row>
    <row r="1369" spans="12:12" x14ac:dyDescent="0.3">
      <c r="L1369" s="122"/>
    </row>
    <row r="1370" spans="12:12" x14ac:dyDescent="0.3">
      <c r="L1370" s="122"/>
    </row>
    <row r="1371" spans="12:12" x14ac:dyDescent="0.3">
      <c r="L1371" s="122"/>
    </row>
    <row r="1372" spans="12:12" x14ac:dyDescent="0.3">
      <c r="L1372" s="122"/>
    </row>
    <row r="1373" spans="12:12" x14ac:dyDescent="0.3">
      <c r="L1373" s="122"/>
    </row>
    <row r="1374" spans="12:12" x14ac:dyDescent="0.3">
      <c r="L1374" s="122"/>
    </row>
    <row r="1375" spans="12:12" x14ac:dyDescent="0.3">
      <c r="L1375" s="122"/>
    </row>
    <row r="1376" spans="12:12" x14ac:dyDescent="0.3">
      <c r="L1376" s="122"/>
    </row>
    <row r="1377" spans="12:12" x14ac:dyDescent="0.3">
      <c r="L1377" s="122"/>
    </row>
    <row r="1378" spans="12:12" x14ac:dyDescent="0.3">
      <c r="L1378" s="122"/>
    </row>
    <row r="1379" spans="12:12" x14ac:dyDescent="0.3">
      <c r="L1379" s="122"/>
    </row>
    <row r="1380" spans="12:12" x14ac:dyDescent="0.3">
      <c r="L1380" s="122"/>
    </row>
    <row r="1381" spans="12:12" x14ac:dyDescent="0.3">
      <c r="L1381" s="122"/>
    </row>
    <row r="1382" spans="12:12" x14ac:dyDescent="0.3">
      <c r="L1382" s="122"/>
    </row>
    <row r="1383" spans="12:12" x14ac:dyDescent="0.3">
      <c r="L1383" s="122"/>
    </row>
    <row r="1384" spans="12:12" x14ac:dyDescent="0.3">
      <c r="L1384" s="122"/>
    </row>
    <row r="1385" spans="12:12" x14ac:dyDescent="0.3">
      <c r="L1385" s="122"/>
    </row>
    <row r="1386" spans="12:12" x14ac:dyDescent="0.3">
      <c r="L1386" s="122"/>
    </row>
    <row r="1387" spans="12:12" x14ac:dyDescent="0.3">
      <c r="L1387" s="122"/>
    </row>
    <row r="1388" spans="12:12" x14ac:dyDescent="0.3">
      <c r="L1388" s="122"/>
    </row>
    <row r="1389" spans="12:12" x14ac:dyDescent="0.3">
      <c r="L1389" s="122"/>
    </row>
    <row r="1390" spans="12:12" x14ac:dyDescent="0.3">
      <c r="L1390" s="122"/>
    </row>
    <row r="1391" spans="12:12" x14ac:dyDescent="0.3">
      <c r="L1391" s="122"/>
    </row>
    <row r="1392" spans="12:12" x14ac:dyDescent="0.3">
      <c r="L1392" s="122"/>
    </row>
    <row r="1393" spans="12:12" x14ac:dyDescent="0.3">
      <c r="L1393" s="122"/>
    </row>
    <row r="1394" spans="12:12" x14ac:dyDescent="0.3">
      <c r="L1394" s="122"/>
    </row>
    <row r="1395" spans="12:12" x14ac:dyDescent="0.3">
      <c r="L1395" s="122"/>
    </row>
    <row r="1396" spans="12:12" x14ac:dyDescent="0.3">
      <c r="L1396" s="122"/>
    </row>
    <row r="1397" spans="12:12" x14ac:dyDescent="0.3">
      <c r="L1397" s="122"/>
    </row>
    <row r="1398" spans="12:12" x14ac:dyDescent="0.3">
      <c r="L1398" s="122"/>
    </row>
    <row r="1399" spans="12:12" x14ac:dyDescent="0.3">
      <c r="L1399" s="122"/>
    </row>
    <row r="1400" spans="12:12" x14ac:dyDescent="0.3">
      <c r="L1400" s="122"/>
    </row>
    <row r="1401" spans="12:12" x14ac:dyDescent="0.3">
      <c r="L1401" s="122"/>
    </row>
    <row r="1402" spans="12:12" x14ac:dyDescent="0.3">
      <c r="L1402" s="122"/>
    </row>
    <row r="1403" spans="12:12" x14ac:dyDescent="0.3">
      <c r="L1403" s="122"/>
    </row>
    <row r="1404" spans="12:12" x14ac:dyDescent="0.3">
      <c r="L1404" s="122"/>
    </row>
    <row r="1405" spans="12:12" x14ac:dyDescent="0.3">
      <c r="L1405" s="122"/>
    </row>
    <row r="1406" spans="12:12" x14ac:dyDescent="0.3">
      <c r="L1406" s="122"/>
    </row>
    <row r="1407" spans="12:12" x14ac:dyDescent="0.3">
      <c r="L1407" s="122"/>
    </row>
    <row r="1408" spans="12:12" x14ac:dyDescent="0.3">
      <c r="L1408" s="122"/>
    </row>
    <row r="1409" spans="12:12" x14ac:dyDescent="0.3">
      <c r="L1409" s="122"/>
    </row>
    <row r="1410" spans="12:12" x14ac:dyDescent="0.3">
      <c r="L1410" s="122"/>
    </row>
    <row r="1411" spans="12:12" x14ac:dyDescent="0.3">
      <c r="L1411" s="122"/>
    </row>
    <row r="1412" spans="12:12" x14ac:dyDescent="0.3">
      <c r="L1412" s="122"/>
    </row>
    <row r="1413" spans="12:12" x14ac:dyDescent="0.3">
      <c r="L1413" s="122"/>
    </row>
    <row r="1414" spans="12:12" x14ac:dyDescent="0.3">
      <c r="L1414" s="122"/>
    </row>
    <row r="1415" spans="12:12" x14ac:dyDescent="0.3">
      <c r="L1415" s="122"/>
    </row>
    <row r="1416" spans="12:12" x14ac:dyDescent="0.3">
      <c r="L1416" s="122"/>
    </row>
    <row r="1417" spans="12:12" x14ac:dyDescent="0.3">
      <c r="L1417" s="122"/>
    </row>
    <row r="1418" spans="12:12" x14ac:dyDescent="0.3">
      <c r="L1418" s="122"/>
    </row>
    <row r="1419" spans="12:12" x14ac:dyDescent="0.3">
      <c r="L1419" s="122"/>
    </row>
    <row r="1420" spans="12:12" x14ac:dyDescent="0.3">
      <c r="L1420" s="122"/>
    </row>
    <row r="1421" spans="12:12" x14ac:dyDescent="0.3">
      <c r="L1421" s="122"/>
    </row>
    <row r="1422" spans="12:12" x14ac:dyDescent="0.3">
      <c r="L1422" s="122"/>
    </row>
    <row r="1423" spans="12:12" x14ac:dyDescent="0.3">
      <c r="L1423" s="122"/>
    </row>
    <row r="1424" spans="12:12" x14ac:dyDescent="0.3">
      <c r="L1424" s="122"/>
    </row>
    <row r="1425" spans="12:12" x14ac:dyDescent="0.3">
      <c r="L1425" s="122"/>
    </row>
    <row r="1426" spans="12:12" x14ac:dyDescent="0.3">
      <c r="L1426" s="122"/>
    </row>
    <row r="1427" spans="12:12" x14ac:dyDescent="0.3">
      <c r="L1427" s="122"/>
    </row>
    <row r="1428" spans="12:12" x14ac:dyDescent="0.3">
      <c r="L1428" s="122"/>
    </row>
    <row r="1429" spans="12:12" x14ac:dyDescent="0.3">
      <c r="L1429" s="122"/>
    </row>
    <row r="1430" spans="12:12" x14ac:dyDescent="0.3">
      <c r="L1430" s="122"/>
    </row>
    <row r="1431" spans="12:12" x14ac:dyDescent="0.3">
      <c r="L1431" s="122"/>
    </row>
    <row r="1432" spans="12:12" x14ac:dyDescent="0.3">
      <c r="L1432" s="122"/>
    </row>
    <row r="1433" spans="12:12" x14ac:dyDescent="0.3">
      <c r="L1433" s="122"/>
    </row>
    <row r="1434" spans="12:12" x14ac:dyDescent="0.3">
      <c r="L1434" s="122"/>
    </row>
    <row r="1435" spans="12:12" x14ac:dyDescent="0.3">
      <c r="L1435" s="122"/>
    </row>
    <row r="1436" spans="12:12" x14ac:dyDescent="0.3">
      <c r="L1436" s="122"/>
    </row>
    <row r="1437" spans="12:12" x14ac:dyDescent="0.3">
      <c r="L1437" s="122"/>
    </row>
    <row r="1438" spans="12:12" x14ac:dyDescent="0.3">
      <c r="L1438" s="122"/>
    </row>
    <row r="1439" spans="12:12" x14ac:dyDescent="0.3">
      <c r="L1439" s="122"/>
    </row>
    <row r="1440" spans="12:12" x14ac:dyDescent="0.3">
      <c r="L1440" s="122"/>
    </row>
    <row r="1441" spans="12:12" x14ac:dyDescent="0.3">
      <c r="L1441" s="122"/>
    </row>
    <row r="1442" spans="12:12" x14ac:dyDescent="0.3">
      <c r="L1442" s="122"/>
    </row>
    <row r="1443" spans="12:12" x14ac:dyDescent="0.3">
      <c r="L1443" s="122"/>
    </row>
    <row r="1444" spans="12:12" x14ac:dyDescent="0.3">
      <c r="L1444" s="122"/>
    </row>
    <row r="1445" spans="12:12" x14ac:dyDescent="0.3">
      <c r="L1445" s="122"/>
    </row>
    <row r="1446" spans="12:12" x14ac:dyDescent="0.3">
      <c r="L1446" s="122"/>
    </row>
    <row r="1447" spans="12:12" x14ac:dyDescent="0.3">
      <c r="L1447" s="122"/>
    </row>
    <row r="1448" spans="12:12" x14ac:dyDescent="0.3">
      <c r="L1448" s="122"/>
    </row>
    <row r="1449" spans="12:12" x14ac:dyDescent="0.3">
      <c r="L1449" s="122"/>
    </row>
    <row r="1450" spans="12:12" x14ac:dyDescent="0.3">
      <c r="L1450" s="122"/>
    </row>
    <row r="1451" spans="12:12" x14ac:dyDescent="0.3">
      <c r="L1451" s="122"/>
    </row>
    <row r="1452" spans="12:12" x14ac:dyDescent="0.3">
      <c r="L1452" s="122"/>
    </row>
    <row r="1453" spans="12:12" x14ac:dyDescent="0.3">
      <c r="L1453" s="122"/>
    </row>
    <row r="1454" spans="12:12" x14ac:dyDescent="0.3">
      <c r="L1454" s="122"/>
    </row>
    <row r="1455" spans="12:12" x14ac:dyDescent="0.3">
      <c r="L1455" s="122"/>
    </row>
    <row r="1456" spans="12:12" x14ac:dyDescent="0.3">
      <c r="L1456" s="122"/>
    </row>
    <row r="1457" spans="12:12" x14ac:dyDescent="0.3">
      <c r="L1457" s="122"/>
    </row>
    <row r="1458" spans="12:12" x14ac:dyDescent="0.3">
      <c r="L1458" s="122"/>
    </row>
    <row r="1459" spans="12:12" x14ac:dyDescent="0.3">
      <c r="L1459" s="122"/>
    </row>
    <row r="1460" spans="12:12" x14ac:dyDescent="0.3">
      <c r="L1460" s="122"/>
    </row>
    <row r="1461" spans="12:12" x14ac:dyDescent="0.3">
      <c r="L1461" s="122"/>
    </row>
    <row r="1462" spans="12:12" x14ac:dyDescent="0.3">
      <c r="L1462" s="122"/>
    </row>
    <row r="1463" spans="12:12" x14ac:dyDescent="0.3">
      <c r="L1463" s="122"/>
    </row>
    <row r="1464" spans="12:12" x14ac:dyDescent="0.3">
      <c r="L1464" s="122"/>
    </row>
    <row r="1465" spans="12:12" x14ac:dyDescent="0.3">
      <c r="L1465" s="122"/>
    </row>
    <row r="1466" spans="12:12" x14ac:dyDescent="0.3">
      <c r="L1466" s="122"/>
    </row>
    <row r="1467" spans="12:12" x14ac:dyDescent="0.3">
      <c r="L1467" s="122"/>
    </row>
    <row r="1468" spans="12:12" x14ac:dyDescent="0.3">
      <c r="L1468" s="122"/>
    </row>
    <row r="1469" spans="12:12" x14ac:dyDescent="0.3">
      <c r="L1469" s="122"/>
    </row>
    <row r="1470" spans="12:12" x14ac:dyDescent="0.3">
      <c r="L1470" s="122"/>
    </row>
    <row r="1471" spans="12:12" x14ac:dyDescent="0.3">
      <c r="L1471" s="122"/>
    </row>
    <row r="1472" spans="12:12" x14ac:dyDescent="0.3">
      <c r="L1472" s="122"/>
    </row>
    <row r="1473" spans="12:12" x14ac:dyDescent="0.3">
      <c r="L1473" s="122"/>
    </row>
    <row r="1474" spans="12:12" x14ac:dyDescent="0.3">
      <c r="L1474" s="122"/>
    </row>
    <row r="1475" spans="12:12" x14ac:dyDescent="0.3">
      <c r="L1475" s="122"/>
    </row>
    <row r="1476" spans="12:12" x14ac:dyDescent="0.3">
      <c r="L1476" s="122"/>
    </row>
    <row r="1477" spans="12:12" x14ac:dyDescent="0.3">
      <c r="L1477" s="122"/>
    </row>
    <row r="1478" spans="12:12" x14ac:dyDescent="0.3">
      <c r="L1478" s="122"/>
    </row>
    <row r="1479" spans="12:12" x14ac:dyDescent="0.3">
      <c r="L1479" s="122"/>
    </row>
    <row r="1480" spans="12:12" x14ac:dyDescent="0.3">
      <c r="L1480" s="122"/>
    </row>
    <row r="1481" spans="12:12" x14ac:dyDescent="0.3">
      <c r="L1481" s="122"/>
    </row>
    <row r="1482" spans="12:12" x14ac:dyDescent="0.3">
      <c r="L1482" s="122"/>
    </row>
    <row r="1483" spans="12:12" x14ac:dyDescent="0.3">
      <c r="L1483" s="122"/>
    </row>
    <row r="1484" spans="12:12" x14ac:dyDescent="0.3">
      <c r="L1484" s="122"/>
    </row>
    <row r="1485" spans="12:12" x14ac:dyDescent="0.3">
      <c r="L1485" s="122"/>
    </row>
    <row r="1486" spans="12:12" x14ac:dyDescent="0.3">
      <c r="L1486" s="122"/>
    </row>
    <row r="1487" spans="12:12" x14ac:dyDescent="0.3">
      <c r="L1487" s="122"/>
    </row>
    <row r="1488" spans="12:12" x14ac:dyDescent="0.3">
      <c r="L1488" s="122"/>
    </row>
    <row r="1489" spans="12:12" x14ac:dyDescent="0.3">
      <c r="L1489" s="122"/>
    </row>
    <row r="1490" spans="12:12" x14ac:dyDescent="0.3">
      <c r="L1490" s="122"/>
    </row>
    <row r="1491" spans="12:12" x14ac:dyDescent="0.3">
      <c r="L1491" s="122"/>
    </row>
    <row r="1492" spans="12:12" x14ac:dyDescent="0.3">
      <c r="L1492" s="122"/>
    </row>
    <row r="1493" spans="12:12" x14ac:dyDescent="0.3">
      <c r="L1493" s="122"/>
    </row>
    <row r="1494" spans="12:12" x14ac:dyDescent="0.3">
      <c r="L1494" s="122"/>
    </row>
    <row r="1495" spans="12:12" x14ac:dyDescent="0.3">
      <c r="L1495" s="122"/>
    </row>
    <row r="1496" spans="12:12" x14ac:dyDescent="0.3">
      <c r="L1496" s="122"/>
    </row>
    <row r="1497" spans="12:12" x14ac:dyDescent="0.3">
      <c r="L1497" s="122"/>
    </row>
    <row r="1498" spans="12:12" x14ac:dyDescent="0.3">
      <c r="L1498" s="122"/>
    </row>
    <row r="1499" spans="12:12" x14ac:dyDescent="0.3">
      <c r="L1499" s="122"/>
    </row>
    <row r="1500" spans="12:12" x14ac:dyDescent="0.3">
      <c r="L1500" s="122"/>
    </row>
    <row r="1501" spans="12:12" x14ac:dyDescent="0.3">
      <c r="L1501" s="122"/>
    </row>
    <row r="1502" spans="12:12" x14ac:dyDescent="0.3">
      <c r="L1502" s="122"/>
    </row>
    <row r="1503" spans="12:12" x14ac:dyDescent="0.3">
      <c r="L1503" s="122"/>
    </row>
    <row r="1504" spans="12:12" x14ac:dyDescent="0.3">
      <c r="L1504" s="122"/>
    </row>
    <row r="1505" spans="12:12" x14ac:dyDescent="0.3">
      <c r="L1505" s="122"/>
    </row>
    <row r="1506" spans="12:12" x14ac:dyDescent="0.3">
      <c r="L1506" s="122"/>
    </row>
    <row r="1507" spans="12:12" x14ac:dyDescent="0.3">
      <c r="L1507" s="122"/>
    </row>
    <row r="1508" spans="12:12" x14ac:dyDescent="0.3">
      <c r="L1508" s="122"/>
    </row>
    <row r="1509" spans="12:12" x14ac:dyDescent="0.3">
      <c r="L1509" s="122"/>
    </row>
    <row r="1510" spans="12:12" x14ac:dyDescent="0.3">
      <c r="L1510" s="122"/>
    </row>
    <row r="1511" spans="12:12" x14ac:dyDescent="0.3">
      <c r="L1511" s="122"/>
    </row>
    <row r="1512" spans="12:12" x14ac:dyDescent="0.3">
      <c r="L1512" s="122"/>
    </row>
    <row r="1513" spans="12:12" x14ac:dyDescent="0.3">
      <c r="L1513" s="122"/>
    </row>
    <row r="1514" spans="12:12" x14ac:dyDescent="0.3">
      <c r="L1514" s="122"/>
    </row>
    <row r="1515" spans="12:12" x14ac:dyDescent="0.3">
      <c r="L1515" s="122"/>
    </row>
    <row r="1516" spans="12:12" x14ac:dyDescent="0.3">
      <c r="L1516" s="122"/>
    </row>
    <row r="1517" spans="12:12" x14ac:dyDescent="0.3">
      <c r="L1517" s="122"/>
    </row>
    <row r="1518" spans="12:12" x14ac:dyDescent="0.3">
      <c r="L1518" s="122"/>
    </row>
    <row r="1519" spans="12:12" x14ac:dyDescent="0.3">
      <c r="L1519" s="122"/>
    </row>
    <row r="1520" spans="12:12" x14ac:dyDescent="0.3">
      <c r="L1520" s="122"/>
    </row>
    <row r="1521" spans="12:12" x14ac:dyDescent="0.3">
      <c r="L1521" s="122"/>
    </row>
    <row r="1522" spans="12:12" x14ac:dyDescent="0.3">
      <c r="L1522" s="122"/>
    </row>
    <row r="1523" spans="12:12" x14ac:dyDescent="0.3">
      <c r="L1523" s="122"/>
    </row>
    <row r="1524" spans="12:12" x14ac:dyDescent="0.3">
      <c r="L1524" s="122"/>
    </row>
    <row r="1525" spans="12:12" x14ac:dyDescent="0.3">
      <c r="L1525" s="122"/>
    </row>
    <row r="1526" spans="12:12" x14ac:dyDescent="0.3">
      <c r="L1526" s="122"/>
    </row>
    <row r="1527" spans="12:12" x14ac:dyDescent="0.3">
      <c r="L1527" s="122"/>
    </row>
    <row r="1528" spans="12:12" x14ac:dyDescent="0.3">
      <c r="L1528" s="122"/>
    </row>
    <row r="1529" spans="12:12" x14ac:dyDescent="0.3">
      <c r="L1529" s="122"/>
    </row>
    <row r="1530" spans="12:12" x14ac:dyDescent="0.3">
      <c r="L1530" s="122"/>
    </row>
    <row r="1531" spans="12:12" x14ac:dyDescent="0.3">
      <c r="L1531" s="122"/>
    </row>
    <row r="1532" spans="12:12" x14ac:dyDescent="0.3">
      <c r="L1532" s="122"/>
    </row>
    <row r="1533" spans="12:12" x14ac:dyDescent="0.3">
      <c r="L1533" s="122"/>
    </row>
    <row r="1534" spans="12:12" x14ac:dyDescent="0.3">
      <c r="L1534" s="122"/>
    </row>
    <row r="1535" spans="12:12" x14ac:dyDescent="0.3">
      <c r="L1535" s="122"/>
    </row>
    <row r="1536" spans="12:12" x14ac:dyDescent="0.3">
      <c r="L1536" s="122"/>
    </row>
    <row r="1537" spans="12:12" x14ac:dyDescent="0.3">
      <c r="L1537" s="122"/>
    </row>
    <row r="1538" spans="12:12" x14ac:dyDescent="0.3">
      <c r="L1538" s="122"/>
    </row>
    <row r="1539" spans="12:12" x14ac:dyDescent="0.3">
      <c r="L1539" s="122"/>
    </row>
    <row r="1540" spans="12:12" x14ac:dyDescent="0.3">
      <c r="L1540" s="122"/>
    </row>
    <row r="1541" spans="12:12" x14ac:dyDescent="0.3">
      <c r="L1541" s="122"/>
    </row>
    <row r="1542" spans="12:12" x14ac:dyDescent="0.3">
      <c r="L1542" s="122"/>
    </row>
    <row r="1543" spans="12:12" x14ac:dyDescent="0.3">
      <c r="L1543" s="122"/>
    </row>
    <row r="1544" spans="12:12" x14ac:dyDescent="0.3">
      <c r="L1544" s="122"/>
    </row>
    <row r="1545" spans="12:12" x14ac:dyDescent="0.3">
      <c r="L1545" s="122"/>
    </row>
    <row r="1546" spans="12:12" x14ac:dyDescent="0.3">
      <c r="L1546" s="122"/>
    </row>
    <row r="1547" spans="12:12" x14ac:dyDescent="0.3">
      <c r="L1547" s="122"/>
    </row>
    <row r="1548" spans="12:12" x14ac:dyDescent="0.3">
      <c r="L1548" s="122"/>
    </row>
    <row r="1549" spans="12:12" x14ac:dyDescent="0.3">
      <c r="L1549" s="122"/>
    </row>
    <row r="1550" spans="12:12" x14ac:dyDescent="0.3">
      <c r="L1550" s="122"/>
    </row>
    <row r="1551" spans="12:12" x14ac:dyDescent="0.3">
      <c r="L1551" s="122"/>
    </row>
    <row r="1552" spans="12:12" x14ac:dyDescent="0.3">
      <c r="L1552" s="122"/>
    </row>
    <row r="1553" spans="12:12" x14ac:dyDescent="0.3">
      <c r="L1553" s="122"/>
    </row>
    <row r="1554" spans="12:12" x14ac:dyDescent="0.3">
      <c r="L1554" s="122"/>
    </row>
    <row r="1555" spans="12:12" x14ac:dyDescent="0.3">
      <c r="L1555" s="122"/>
    </row>
    <row r="1556" spans="12:12" x14ac:dyDescent="0.3">
      <c r="L1556" s="122"/>
    </row>
    <row r="1557" spans="12:12" x14ac:dyDescent="0.3">
      <c r="L1557" s="122"/>
    </row>
    <row r="1558" spans="12:12" x14ac:dyDescent="0.3">
      <c r="L1558" s="122"/>
    </row>
    <row r="1559" spans="12:12" x14ac:dyDescent="0.3">
      <c r="L1559" s="122"/>
    </row>
    <row r="1560" spans="12:12" x14ac:dyDescent="0.3">
      <c r="L1560" s="122"/>
    </row>
    <row r="1561" spans="12:12" x14ac:dyDescent="0.3">
      <c r="L1561" s="122"/>
    </row>
    <row r="1562" spans="12:12" x14ac:dyDescent="0.3">
      <c r="L1562" s="122"/>
    </row>
    <row r="1563" spans="12:12" x14ac:dyDescent="0.3">
      <c r="L1563" s="122"/>
    </row>
    <row r="1564" spans="12:12" x14ac:dyDescent="0.3">
      <c r="L1564" s="122"/>
    </row>
    <row r="1565" spans="12:12" x14ac:dyDescent="0.3">
      <c r="L1565" s="122"/>
    </row>
    <row r="1566" spans="12:12" x14ac:dyDescent="0.3">
      <c r="L1566" s="122"/>
    </row>
    <row r="1567" spans="12:12" x14ac:dyDescent="0.3">
      <c r="L1567" s="122"/>
    </row>
    <row r="1568" spans="12:12" x14ac:dyDescent="0.3">
      <c r="L1568" s="122"/>
    </row>
    <row r="1569" spans="12:12" x14ac:dyDescent="0.3">
      <c r="L1569" s="122"/>
    </row>
    <row r="1570" spans="12:12" x14ac:dyDescent="0.3">
      <c r="L1570" s="122"/>
    </row>
    <row r="1571" spans="12:12" x14ac:dyDescent="0.3">
      <c r="L1571" s="122"/>
    </row>
    <row r="1572" spans="12:12" x14ac:dyDescent="0.3">
      <c r="L1572" s="122"/>
    </row>
    <row r="1573" spans="12:12" x14ac:dyDescent="0.3">
      <c r="L1573" s="122"/>
    </row>
    <row r="1574" spans="12:12" x14ac:dyDescent="0.3">
      <c r="L1574" s="122"/>
    </row>
    <row r="1575" spans="12:12" x14ac:dyDescent="0.3">
      <c r="L1575" s="122"/>
    </row>
    <row r="1576" spans="12:12" x14ac:dyDescent="0.3">
      <c r="L1576" s="122"/>
    </row>
    <row r="1577" spans="12:12" x14ac:dyDescent="0.3">
      <c r="L1577" s="122"/>
    </row>
    <row r="1578" spans="12:12" x14ac:dyDescent="0.3">
      <c r="L1578" s="122"/>
    </row>
    <row r="1579" spans="12:12" x14ac:dyDescent="0.3">
      <c r="L1579" s="122"/>
    </row>
    <row r="1580" spans="12:12" x14ac:dyDescent="0.3">
      <c r="L1580" s="122"/>
    </row>
    <row r="1581" spans="12:12" x14ac:dyDescent="0.3">
      <c r="L1581" s="122"/>
    </row>
    <row r="1582" spans="12:12" x14ac:dyDescent="0.3">
      <c r="L1582" s="122"/>
    </row>
    <row r="1583" spans="12:12" x14ac:dyDescent="0.3">
      <c r="L1583" s="122"/>
    </row>
    <row r="1584" spans="12:12" x14ac:dyDescent="0.3">
      <c r="L1584" s="122"/>
    </row>
    <row r="1585" spans="12:12" x14ac:dyDescent="0.3">
      <c r="L1585" s="122"/>
    </row>
    <row r="1586" spans="12:12" x14ac:dyDescent="0.3">
      <c r="L1586" s="122"/>
    </row>
    <row r="1587" spans="12:12" x14ac:dyDescent="0.3">
      <c r="L1587" s="122"/>
    </row>
    <row r="1588" spans="12:12" x14ac:dyDescent="0.3">
      <c r="L1588" s="122"/>
    </row>
    <row r="1589" spans="12:12" x14ac:dyDescent="0.3">
      <c r="L1589" s="122"/>
    </row>
    <row r="1590" spans="12:12" x14ac:dyDescent="0.3">
      <c r="L1590" s="122"/>
    </row>
    <row r="1591" spans="12:12" x14ac:dyDescent="0.3">
      <c r="L1591" s="122"/>
    </row>
    <row r="1592" spans="12:12" x14ac:dyDescent="0.3">
      <c r="L1592" s="122"/>
    </row>
    <row r="1593" spans="12:12" x14ac:dyDescent="0.3">
      <c r="L1593" s="122"/>
    </row>
    <row r="1594" spans="12:12" x14ac:dyDescent="0.3">
      <c r="L1594" s="122"/>
    </row>
    <row r="1595" spans="12:12" x14ac:dyDescent="0.3">
      <c r="L1595" s="122"/>
    </row>
    <row r="1596" spans="12:12" x14ac:dyDescent="0.3">
      <c r="L1596" s="122"/>
    </row>
    <row r="1597" spans="12:12" x14ac:dyDescent="0.3">
      <c r="L1597" s="122"/>
    </row>
    <row r="1598" spans="12:12" x14ac:dyDescent="0.3">
      <c r="L1598" s="122"/>
    </row>
    <row r="1599" spans="12:12" x14ac:dyDescent="0.3">
      <c r="L1599" s="122"/>
    </row>
    <row r="1600" spans="12:12" x14ac:dyDescent="0.3">
      <c r="L1600" s="122"/>
    </row>
    <row r="1601" spans="12:12" x14ac:dyDescent="0.3">
      <c r="L1601" s="122"/>
    </row>
    <row r="1602" spans="12:12" x14ac:dyDescent="0.3">
      <c r="L1602" s="122"/>
    </row>
    <row r="1603" spans="12:12" x14ac:dyDescent="0.3">
      <c r="L1603" s="122"/>
    </row>
    <row r="1604" spans="12:12" x14ac:dyDescent="0.3">
      <c r="L1604" s="122"/>
    </row>
    <row r="1605" spans="12:12" x14ac:dyDescent="0.3">
      <c r="L1605" s="122"/>
    </row>
    <row r="1606" spans="12:12" x14ac:dyDescent="0.3">
      <c r="L1606" s="122"/>
    </row>
    <row r="1607" spans="12:12" x14ac:dyDescent="0.3">
      <c r="L1607" s="122"/>
    </row>
    <row r="1608" spans="12:12" x14ac:dyDescent="0.3">
      <c r="L1608" s="122"/>
    </row>
    <row r="1609" spans="12:12" x14ac:dyDescent="0.3">
      <c r="L1609" s="122"/>
    </row>
    <row r="1610" spans="12:12" x14ac:dyDescent="0.3">
      <c r="L1610" s="122"/>
    </row>
    <row r="1611" spans="12:12" x14ac:dyDescent="0.3">
      <c r="L1611" s="122"/>
    </row>
    <row r="1612" spans="12:12" x14ac:dyDescent="0.3">
      <c r="L1612" s="122"/>
    </row>
    <row r="1613" spans="12:12" x14ac:dyDescent="0.3">
      <c r="L1613" s="122"/>
    </row>
    <row r="1614" spans="12:12" x14ac:dyDescent="0.3">
      <c r="L1614" s="122"/>
    </row>
    <row r="1615" spans="12:12" x14ac:dyDescent="0.3">
      <c r="L1615" s="122"/>
    </row>
    <row r="1616" spans="12:12" x14ac:dyDescent="0.3">
      <c r="L1616" s="122"/>
    </row>
    <row r="1617" spans="12:12" x14ac:dyDescent="0.3">
      <c r="L1617" s="122"/>
    </row>
    <row r="1618" spans="12:12" x14ac:dyDescent="0.3">
      <c r="L1618" s="122"/>
    </row>
    <row r="1619" spans="12:12" x14ac:dyDescent="0.3">
      <c r="L1619" s="122"/>
    </row>
    <row r="1620" spans="12:12" x14ac:dyDescent="0.3">
      <c r="L1620" s="122"/>
    </row>
    <row r="1621" spans="12:12" x14ac:dyDescent="0.3">
      <c r="L1621" s="122"/>
    </row>
    <row r="1622" spans="12:12" x14ac:dyDescent="0.3">
      <c r="L1622" s="122"/>
    </row>
    <row r="1623" spans="12:12" x14ac:dyDescent="0.3">
      <c r="L1623" s="122"/>
    </row>
    <row r="1624" spans="12:12" x14ac:dyDescent="0.3">
      <c r="L1624" s="122"/>
    </row>
    <row r="1625" spans="12:12" x14ac:dyDescent="0.3">
      <c r="L1625" s="122"/>
    </row>
    <row r="1626" spans="12:12" x14ac:dyDescent="0.3">
      <c r="L1626" s="122"/>
    </row>
    <row r="1627" spans="12:12" x14ac:dyDescent="0.3">
      <c r="L1627" s="122"/>
    </row>
    <row r="1628" spans="12:12" x14ac:dyDescent="0.3">
      <c r="L1628" s="122"/>
    </row>
    <row r="1629" spans="12:12" x14ac:dyDescent="0.3">
      <c r="L1629" s="122"/>
    </row>
    <row r="1630" spans="12:12" x14ac:dyDescent="0.3">
      <c r="L1630" s="122"/>
    </row>
    <row r="1631" spans="12:12" x14ac:dyDescent="0.3">
      <c r="L1631" s="122"/>
    </row>
    <row r="1632" spans="12:12" x14ac:dyDescent="0.3">
      <c r="L1632" s="122"/>
    </row>
    <row r="1633" spans="12:12" x14ac:dyDescent="0.3">
      <c r="L1633" s="122"/>
    </row>
    <row r="1634" spans="12:12" x14ac:dyDescent="0.3">
      <c r="L1634" s="122"/>
    </row>
    <row r="1635" spans="12:12" x14ac:dyDescent="0.3">
      <c r="L1635" s="122"/>
    </row>
    <row r="1636" spans="12:12" x14ac:dyDescent="0.3">
      <c r="L1636" s="122"/>
    </row>
    <row r="1637" spans="12:12" x14ac:dyDescent="0.3">
      <c r="L1637" s="122"/>
    </row>
    <row r="1638" spans="12:12" x14ac:dyDescent="0.3">
      <c r="L1638" s="122"/>
    </row>
    <row r="1639" spans="12:12" x14ac:dyDescent="0.3">
      <c r="L1639" s="122"/>
    </row>
    <row r="1640" spans="12:12" x14ac:dyDescent="0.3">
      <c r="L1640" s="122"/>
    </row>
    <row r="1641" spans="12:12" x14ac:dyDescent="0.3">
      <c r="L1641" s="122"/>
    </row>
    <row r="1642" spans="12:12" x14ac:dyDescent="0.3">
      <c r="L1642" s="122"/>
    </row>
    <row r="1643" spans="12:12" x14ac:dyDescent="0.3">
      <c r="L1643" s="122"/>
    </row>
    <row r="1644" spans="12:12" x14ac:dyDescent="0.3">
      <c r="L1644" s="122"/>
    </row>
    <row r="1645" spans="12:12" x14ac:dyDescent="0.3">
      <c r="L1645" s="122"/>
    </row>
    <row r="1646" spans="12:12" x14ac:dyDescent="0.3">
      <c r="L1646" s="122"/>
    </row>
    <row r="1647" spans="12:12" x14ac:dyDescent="0.3">
      <c r="L1647" s="122"/>
    </row>
    <row r="1648" spans="12:12" x14ac:dyDescent="0.3">
      <c r="L1648" s="122"/>
    </row>
    <row r="1649" spans="12:12" x14ac:dyDescent="0.3">
      <c r="L1649" s="122"/>
    </row>
    <row r="1650" spans="12:12" x14ac:dyDescent="0.3">
      <c r="L1650" s="122"/>
    </row>
    <row r="1651" spans="12:12" x14ac:dyDescent="0.3">
      <c r="L1651" s="122"/>
    </row>
    <row r="1652" spans="12:12" x14ac:dyDescent="0.3">
      <c r="L1652" s="122"/>
    </row>
    <row r="1653" spans="12:12" x14ac:dyDescent="0.3">
      <c r="L1653" s="122"/>
    </row>
    <row r="1654" spans="12:12" x14ac:dyDescent="0.3">
      <c r="L1654" s="122"/>
    </row>
    <row r="1655" spans="12:12" x14ac:dyDescent="0.3">
      <c r="L1655" s="122"/>
    </row>
    <row r="1656" spans="12:12" x14ac:dyDescent="0.3">
      <c r="L1656" s="122"/>
    </row>
    <row r="1657" spans="12:12" x14ac:dyDescent="0.3">
      <c r="L1657" s="122"/>
    </row>
    <row r="1658" spans="12:12" x14ac:dyDescent="0.3">
      <c r="L1658" s="122"/>
    </row>
    <row r="1659" spans="12:12" x14ac:dyDescent="0.3">
      <c r="L1659" s="122"/>
    </row>
    <row r="1660" spans="12:12" x14ac:dyDescent="0.3">
      <c r="L1660" s="122"/>
    </row>
    <row r="1661" spans="12:12" x14ac:dyDescent="0.3">
      <c r="L1661" s="122"/>
    </row>
    <row r="1662" spans="12:12" x14ac:dyDescent="0.3">
      <c r="L1662" s="122"/>
    </row>
    <row r="1663" spans="12:12" x14ac:dyDescent="0.3">
      <c r="L1663" s="122"/>
    </row>
    <row r="1664" spans="12:12" x14ac:dyDescent="0.3">
      <c r="L1664" s="122"/>
    </row>
    <row r="1665" spans="12:12" x14ac:dyDescent="0.3">
      <c r="L1665" s="122"/>
    </row>
    <row r="1666" spans="12:12" x14ac:dyDescent="0.3">
      <c r="L1666" s="122"/>
    </row>
    <row r="1667" spans="12:12" x14ac:dyDescent="0.3">
      <c r="L1667" s="122"/>
    </row>
    <row r="1668" spans="12:12" x14ac:dyDescent="0.3">
      <c r="L1668" s="122"/>
    </row>
    <row r="1669" spans="12:12" x14ac:dyDescent="0.3">
      <c r="L1669" s="122"/>
    </row>
    <row r="1670" spans="12:12" x14ac:dyDescent="0.3">
      <c r="L1670" s="122"/>
    </row>
    <row r="1671" spans="12:12" x14ac:dyDescent="0.3">
      <c r="L1671" s="122"/>
    </row>
    <row r="1672" spans="12:12" x14ac:dyDescent="0.3">
      <c r="L1672" s="122"/>
    </row>
    <row r="1673" spans="12:12" x14ac:dyDescent="0.3">
      <c r="L1673" s="122"/>
    </row>
    <row r="1674" spans="12:12" x14ac:dyDescent="0.3">
      <c r="L1674" s="122"/>
    </row>
    <row r="1675" spans="12:12" x14ac:dyDescent="0.3">
      <c r="L1675" s="122"/>
    </row>
    <row r="1676" spans="12:12" x14ac:dyDescent="0.3">
      <c r="L1676" s="122"/>
    </row>
    <row r="1677" spans="12:12" x14ac:dyDescent="0.3">
      <c r="L1677" s="122"/>
    </row>
    <row r="1678" spans="12:12" x14ac:dyDescent="0.3">
      <c r="L1678" s="122"/>
    </row>
    <row r="1679" spans="12:12" x14ac:dyDescent="0.3">
      <c r="L1679" s="122"/>
    </row>
    <row r="1680" spans="12:12" x14ac:dyDescent="0.3">
      <c r="L1680" s="122"/>
    </row>
    <row r="1681" spans="12:12" x14ac:dyDescent="0.3">
      <c r="L1681" s="122"/>
    </row>
    <row r="1682" spans="12:12" x14ac:dyDescent="0.3">
      <c r="L1682" s="122"/>
    </row>
    <row r="1683" spans="12:12" x14ac:dyDescent="0.3">
      <c r="L1683" s="122"/>
    </row>
    <row r="1684" spans="12:12" x14ac:dyDescent="0.3">
      <c r="L1684" s="122"/>
    </row>
    <row r="1685" spans="12:12" x14ac:dyDescent="0.3">
      <c r="L1685" s="122"/>
    </row>
    <row r="1686" spans="12:12" x14ac:dyDescent="0.3">
      <c r="L1686" s="122"/>
    </row>
    <row r="1687" spans="12:12" x14ac:dyDescent="0.3">
      <c r="L1687" s="122"/>
    </row>
    <row r="1688" spans="12:12" x14ac:dyDescent="0.3">
      <c r="L1688" s="122"/>
    </row>
    <row r="1689" spans="12:12" x14ac:dyDescent="0.3">
      <c r="L1689" s="122"/>
    </row>
    <row r="1690" spans="12:12" x14ac:dyDescent="0.3">
      <c r="L1690" s="122"/>
    </row>
    <row r="1691" spans="12:12" x14ac:dyDescent="0.3">
      <c r="L1691" s="122"/>
    </row>
    <row r="1692" spans="12:12" x14ac:dyDescent="0.3">
      <c r="L1692" s="122"/>
    </row>
    <row r="1693" spans="12:12" x14ac:dyDescent="0.3">
      <c r="L1693" s="122"/>
    </row>
    <row r="1694" spans="12:12" x14ac:dyDescent="0.3">
      <c r="L1694" s="122"/>
    </row>
    <row r="1695" spans="12:12" x14ac:dyDescent="0.3">
      <c r="L1695" s="122"/>
    </row>
    <row r="1696" spans="12:12" x14ac:dyDescent="0.3">
      <c r="L1696" s="122"/>
    </row>
    <row r="1697" spans="12:12" x14ac:dyDescent="0.3">
      <c r="L1697" s="122"/>
    </row>
    <row r="1698" spans="12:12" x14ac:dyDescent="0.3">
      <c r="L1698" s="122"/>
    </row>
    <row r="1699" spans="12:12" x14ac:dyDescent="0.3">
      <c r="L1699" s="122"/>
    </row>
    <row r="1700" spans="12:12" x14ac:dyDescent="0.3">
      <c r="L1700" s="122"/>
    </row>
    <row r="1701" spans="12:12" x14ac:dyDescent="0.3">
      <c r="L1701" s="122"/>
    </row>
    <row r="1702" spans="12:12" x14ac:dyDescent="0.3">
      <c r="L1702" s="122"/>
    </row>
    <row r="1703" spans="12:12" x14ac:dyDescent="0.3">
      <c r="L1703" s="122"/>
    </row>
    <row r="1704" spans="12:12" x14ac:dyDescent="0.3">
      <c r="L1704" s="122"/>
    </row>
    <row r="1705" spans="12:12" x14ac:dyDescent="0.3">
      <c r="L1705" s="122"/>
    </row>
    <row r="1706" spans="12:12" x14ac:dyDescent="0.3">
      <c r="L1706" s="122"/>
    </row>
    <row r="1707" spans="12:12" x14ac:dyDescent="0.3">
      <c r="L1707" s="122"/>
    </row>
    <row r="1708" spans="12:12" x14ac:dyDescent="0.3">
      <c r="L1708" s="122"/>
    </row>
    <row r="1709" spans="12:12" x14ac:dyDescent="0.3">
      <c r="L1709" s="122"/>
    </row>
    <row r="1710" spans="12:12" x14ac:dyDescent="0.3">
      <c r="L1710" s="122"/>
    </row>
    <row r="1711" spans="12:12" x14ac:dyDescent="0.3">
      <c r="L1711" s="122"/>
    </row>
    <row r="1712" spans="12:12" x14ac:dyDescent="0.3">
      <c r="L1712" s="122"/>
    </row>
    <row r="1713" spans="12:12" x14ac:dyDescent="0.3">
      <c r="L1713" s="122"/>
    </row>
    <row r="1714" spans="12:12" x14ac:dyDescent="0.3">
      <c r="L1714" s="122"/>
    </row>
    <row r="1715" spans="12:12" x14ac:dyDescent="0.3">
      <c r="L1715" s="122"/>
    </row>
    <row r="1716" spans="12:12" x14ac:dyDescent="0.3">
      <c r="L1716" s="122"/>
    </row>
    <row r="1717" spans="12:12" x14ac:dyDescent="0.3">
      <c r="L1717" s="122"/>
    </row>
    <row r="1718" spans="12:12" x14ac:dyDescent="0.3">
      <c r="L1718" s="122"/>
    </row>
    <row r="1719" spans="12:12" x14ac:dyDescent="0.3">
      <c r="L1719" s="122"/>
    </row>
    <row r="1720" spans="12:12" x14ac:dyDescent="0.3">
      <c r="L1720" s="122"/>
    </row>
    <row r="1721" spans="12:12" x14ac:dyDescent="0.3">
      <c r="L1721" s="122"/>
    </row>
    <row r="1722" spans="12:12" x14ac:dyDescent="0.3">
      <c r="L1722" s="122"/>
    </row>
    <row r="1723" spans="12:12" x14ac:dyDescent="0.3">
      <c r="L1723" s="122"/>
    </row>
    <row r="1724" spans="12:12" x14ac:dyDescent="0.3">
      <c r="L1724" s="122"/>
    </row>
    <row r="1725" spans="12:12" x14ac:dyDescent="0.3">
      <c r="L1725" s="122"/>
    </row>
    <row r="1726" spans="12:12" x14ac:dyDescent="0.3">
      <c r="L1726" s="122"/>
    </row>
    <row r="1727" spans="12:12" x14ac:dyDescent="0.3">
      <c r="L1727" s="122"/>
    </row>
    <row r="1728" spans="12:12" x14ac:dyDescent="0.3">
      <c r="L1728" s="122"/>
    </row>
    <row r="1729" spans="12:12" x14ac:dyDescent="0.3">
      <c r="L1729" s="122"/>
    </row>
    <row r="1730" spans="12:12" x14ac:dyDescent="0.3">
      <c r="L1730" s="122"/>
    </row>
    <row r="1731" spans="12:12" x14ac:dyDescent="0.3">
      <c r="L1731" s="122"/>
    </row>
    <row r="1732" spans="12:12" x14ac:dyDescent="0.3">
      <c r="L1732" s="122"/>
    </row>
    <row r="1733" spans="12:12" x14ac:dyDescent="0.3">
      <c r="L1733" s="122"/>
    </row>
    <row r="1734" spans="12:12" x14ac:dyDescent="0.3">
      <c r="L1734" s="122"/>
    </row>
    <row r="1735" spans="12:12" x14ac:dyDescent="0.3">
      <c r="L1735" s="122"/>
    </row>
    <row r="1736" spans="12:12" x14ac:dyDescent="0.3">
      <c r="L1736" s="122"/>
    </row>
    <row r="1737" spans="12:12" x14ac:dyDescent="0.3">
      <c r="L1737" s="122"/>
    </row>
    <row r="1738" spans="12:12" x14ac:dyDescent="0.3">
      <c r="L1738" s="122"/>
    </row>
    <row r="1739" spans="12:12" x14ac:dyDescent="0.3">
      <c r="L1739" s="122"/>
    </row>
    <row r="1740" spans="12:12" x14ac:dyDescent="0.3">
      <c r="L1740" s="122"/>
    </row>
    <row r="1741" spans="12:12" x14ac:dyDescent="0.3">
      <c r="L1741" s="122"/>
    </row>
    <row r="1742" spans="12:12" x14ac:dyDescent="0.3">
      <c r="L1742" s="122"/>
    </row>
    <row r="1743" spans="12:12" x14ac:dyDescent="0.3">
      <c r="L1743" s="122"/>
    </row>
    <row r="1744" spans="12:12" x14ac:dyDescent="0.3">
      <c r="L1744" s="122"/>
    </row>
    <row r="1745" spans="12:12" x14ac:dyDescent="0.3">
      <c r="L1745" s="122"/>
    </row>
    <row r="1746" spans="12:12" x14ac:dyDescent="0.3">
      <c r="L1746" s="122"/>
    </row>
    <row r="1747" spans="12:12" x14ac:dyDescent="0.3">
      <c r="L1747" s="122"/>
    </row>
    <row r="1748" spans="12:12" x14ac:dyDescent="0.3">
      <c r="L1748" s="122"/>
    </row>
    <row r="1749" spans="12:12" x14ac:dyDescent="0.3">
      <c r="L1749" s="122"/>
    </row>
    <row r="1750" spans="12:12" x14ac:dyDescent="0.3">
      <c r="L1750" s="122"/>
    </row>
    <row r="1751" spans="12:12" x14ac:dyDescent="0.3">
      <c r="L1751" s="122"/>
    </row>
    <row r="1752" spans="12:12" x14ac:dyDescent="0.3">
      <c r="L1752" s="122"/>
    </row>
    <row r="1753" spans="12:12" x14ac:dyDescent="0.3">
      <c r="L1753" s="122"/>
    </row>
    <row r="1754" spans="12:12" x14ac:dyDescent="0.3">
      <c r="L1754" s="122"/>
    </row>
    <row r="1755" spans="12:12" x14ac:dyDescent="0.3">
      <c r="L1755" s="122"/>
    </row>
    <row r="1756" spans="12:12" x14ac:dyDescent="0.3">
      <c r="L1756" s="122"/>
    </row>
    <row r="1757" spans="12:12" x14ac:dyDescent="0.3">
      <c r="L1757" s="122"/>
    </row>
    <row r="1758" spans="12:12" x14ac:dyDescent="0.3">
      <c r="L1758" s="122"/>
    </row>
    <row r="1759" spans="12:12" x14ac:dyDescent="0.3">
      <c r="L1759" s="122"/>
    </row>
    <row r="1760" spans="12:12" x14ac:dyDescent="0.3">
      <c r="L1760" s="122"/>
    </row>
    <row r="1761" spans="12:12" x14ac:dyDescent="0.3">
      <c r="L1761" s="122"/>
    </row>
    <row r="1762" spans="12:12" x14ac:dyDescent="0.3">
      <c r="L1762" s="122"/>
    </row>
    <row r="1763" spans="12:12" x14ac:dyDescent="0.3">
      <c r="L1763" s="122"/>
    </row>
    <row r="1764" spans="12:12" x14ac:dyDescent="0.3">
      <c r="L1764" s="122"/>
    </row>
    <row r="1765" spans="12:12" x14ac:dyDescent="0.3">
      <c r="L1765" s="122"/>
    </row>
    <row r="1766" spans="12:12" x14ac:dyDescent="0.3">
      <c r="L1766" s="122"/>
    </row>
    <row r="1767" spans="12:12" x14ac:dyDescent="0.3">
      <c r="L1767" s="122"/>
    </row>
    <row r="1768" spans="12:12" x14ac:dyDescent="0.3">
      <c r="L1768" s="122"/>
    </row>
    <row r="1769" spans="12:12" x14ac:dyDescent="0.3">
      <c r="L1769" s="122"/>
    </row>
    <row r="1770" spans="12:12" x14ac:dyDescent="0.3">
      <c r="L1770" s="122"/>
    </row>
    <row r="1771" spans="12:12" x14ac:dyDescent="0.3">
      <c r="L1771" s="122"/>
    </row>
    <row r="1772" spans="12:12" x14ac:dyDescent="0.3">
      <c r="L1772" s="122"/>
    </row>
    <row r="1773" spans="12:12" x14ac:dyDescent="0.3">
      <c r="L1773" s="122"/>
    </row>
    <row r="1774" spans="12:12" x14ac:dyDescent="0.3">
      <c r="L1774" s="122"/>
    </row>
    <row r="1775" spans="12:12" x14ac:dyDescent="0.3">
      <c r="L1775" s="122"/>
    </row>
    <row r="1776" spans="12:12" x14ac:dyDescent="0.3">
      <c r="L1776" s="122"/>
    </row>
    <row r="1777" spans="12:12" x14ac:dyDescent="0.3">
      <c r="L1777" s="122"/>
    </row>
    <row r="1778" spans="12:12" x14ac:dyDescent="0.3">
      <c r="L1778" s="122"/>
    </row>
    <row r="1779" spans="12:12" x14ac:dyDescent="0.3">
      <c r="L1779" s="122"/>
    </row>
    <row r="1780" spans="12:12" x14ac:dyDescent="0.3">
      <c r="L1780" s="122"/>
    </row>
    <row r="1781" spans="12:12" x14ac:dyDescent="0.3">
      <c r="L1781" s="122"/>
    </row>
    <row r="1782" spans="12:12" x14ac:dyDescent="0.3">
      <c r="L1782" s="122"/>
    </row>
    <row r="1783" spans="12:12" x14ac:dyDescent="0.3">
      <c r="L1783" s="122"/>
    </row>
    <row r="1784" spans="12:12" x14ac:dyDescent="0.3">
      <c r="L1784" s="122"/>
    </row>
    <row r="1785" spans="12:12" x14ac:dyDescent="0.3">
      <c r="L1785" s="122"/>
    </row>
    <row r="1786" spans="12:12" x14ac:dyDescent="0.3">
      <c r="L1786" s="122"/>
    </row>
    <row r="1787" spans="12:12" x14ac:dyDescent="0.3">
      <c r="L1787" s="122"/>
    </row>
    <row r="1788" spans="12:12" x14ac:dyDescent="0.3">
      <c r="L1788" s="122"/>
    </row>
    <row r="1789" spans="12:12" x14ac:dyDescent="0.3">
      <c r="L1789" s="122"/>
    </row>
    <row r="1790" spans="12:12" x14ac:dyDescent="0.3">
      <c r="L1790" s="122"/>
    </row>
    <row r="1791" spans="12:12" x14ac:dyDescent="0.3">
      <c r="L1791" s="122"/>
    </row>
    <row r="1792" spans="12:12" x14ac:dyDescent="0.3">
      <c r="L1792" s="122"/>
    </row>
    <row r="1793" spans="12:12" x14ac:dyDescent="0.3">
      <c r="L1793" s="122"/>
    </row>
    <row r="1794" spans="12:12" x14ac:dyDescent="0.3">
      <c r="L1794" s="122"/>
    </row>
    <row r="1795" spans="12:12" x14ac:dyDescent="0.3">
      <c r="L1795" s="122"/>
    </row>
    <row r="1796" spans="12:12" x14ac:dyDescent="0.3">
      <c r="L1796" s="122"/>
    </row>
    <row r="1797" spans="12:12" x14ac:dyDescent="0.3">
      <c r="L1797" s="122"/>
    </row>
    <row r="1798" spans="12:12" x14ac:dyDescent="0.3">
      <c r="L1798" s="122"/>
    </row>
    <row r="1799" spans="12:12" x14ac:dyDescent="0.3">
      <c r="L1799" s="122"/>
    </row>
    <row r="1800" spans="12:12" x14ac:dyDescent="0.3">
      <c r="L1800" s="122"/>
    </row>
    <row r="1801" spans="12:12" x14ac:dyDescent="0.3">
      <c r="L1801" s="122"/>
    </row>
    <row r="1802" spans="12:12" x14ac:dyDescent="0.3">
      <c r="L1802" s="122"/>
    </row>
    <row r="1803" spans="12:12" x14ac:dyDescent="0.3">
      <c r="L1803" s="122"/>
    </row>
    <row r="1804" spans="12:12" x14ac:dyDescent="0.3">
      <c r="L1804" s="122"/>
    </row>
    <row r="1805" spans="12:12" x14ac:dyDescent="0.3">
      <c r="L1805" s="122"/>
    </row>
    <row r="1806" spans="12:12" x14ac:dyDescent="0.3">
      <c r="L1806" s="122"/>
    </row>
    <row r="1807" spans="12:12" x14ac:dyDescent="0.3">
      <c r="L1807" s="122"/>
    </row>
    <row r="1808" spans="12:12" x14ac:dyDescent="0.3">
      <c r="L1808" s="122"/>
    </row>
    <row r="1809" spans="12:12" x14ac:dyDescent="0.3">
      <c r="L1809" s="122"/>
    </row>
    <row r="1810" spans="12:12" x14ac:dyDescent="0.3">
      <c r="L1810" s="122"/>
    </row>
    <row r="1811" spans="12:12" x14ac:dyDescent="0.3">
      <c r="L1811" s="122"/>
    </row>
    <row r="1812" spans="12:12" x14ac:dyDescent="0.3">
      <c r="L1812" s="122"/>
    </row>
    <row r="1813" spans="12:12" x14ac:dyDescent="0.3">
      <c r="L1813" s="122"/>
    </row>
    <row r="1814" spans="12:12" x14ac:dyDescent="0.3">
      <c r="L1814" s="122"/>
    </row>
    <row r="1815" spans="12:12" x14ac:dyDescent="0.3">
      <c r="L1815" s="122"/>
    </row>
    <row r="1816" spans="12:12" x14ac:dyDescent="0.3">
      <c r="L1816" s="122"/>
    </row>
    <row r="1817" spans="12:12" x14ac:dyDescent="0.3">
      <c r="L1817" s="122"/>
    </row>
    <row r="1818" spans="12:12" x14ac:dyDescent="0.3">
      <c r="L1818" s="122"/>
    </row>
    <row r="1819" spans="12:12" x14ac:dyDescent="0.3">
      <c r="L1819" s="122"/>
    </row>
    <row r="1820" spans="12:12" x14ac:dyDescent="0.3">
      <c r="L1820" s="122"/>
    </row>
    <row r="1821" spans="12:12" x14ac:dyDescent="0.3">
      <c r="L1821" s="122"/>
    </row>
    <row r="1822" spans="12:12" x14ac:dyDescent="0.3">
      <c r="L1822" s="122"/>
    </row>
    <row r="1823" spans="12:12" x14ac:dyDescent="0.3">
      <c r="L1823" s="122"/>
    </row>
    <row r="1824" spans="12:12" x14ac:dyDescent="0.3">
      <c r="L1824" s="122"/>
    </row>
    <row r="1825" spans="12:12" x14ac:dyDescent="0.3">
      <c r="L1825" s="122"/>
    </row>
    <row r="1826" spans="12:12" x14ac:dyDescent="0.3">
      <c r="L1826" s="122"/>
    </row>
    <row r="1827" spans="12:12" x14ac:dyDescent="0.3">
      <c r="L1827" s="122"/>
    </row>
    <row r="1828" spans="12:12" x14ac:dyDescent="0.3">
      <c r="L1828" s="122"/>
    </row>
    <row r="1829" spans="12:12" x14ac:dyDescent="0.3">
      <c r="L1829" s="122"/>
    </row>
    <row r="1830" spans="12:12" x14ac:dyDescent="0.3">
      <c r="L1830" s="122"/>
    </row>
    <row r="1831" spans="12:12" x14ac:dyDescent="0.3">
      <c r="L1831" s="122"/>
    </row>
    <row r="1832" spans="12:12" x14ac:dyDescent="0.3">
      <c r="L1832" s="122"/>
    </row>
    <row r="1833" spans="12:12" x14ac:dyDescent="0.3">
      <c r="L1833" s="122"/>
    </row>
    <row r="1834" spans="12:12" x14ac:dyDescent="0.3">
      <c r="L1834" s="122"/>
    </row>
    <row r="1835" spans="12:12" x14ac:dyDescent="0.3">
      <c r="L1835" s="122"/>
    </row>
    <row r="1836" spans="12:12" x14ac:dyDescent="0.3">
      <c r="L1836" s="122"/>
    </row>
    <row r="1837" spans="12:12" x14ac:dyDescent="0.3">
      <c r="L1837" s="122"/>
    </row>
    <row r="1838" spans="12:12" x14ac:dyDescent="0.3">
      <c r="L1838" s="122"/>
    </row>
    <row r="1839" spans="12:12" x14ac:dyDescent="0.3">
      <c r="L1839" s="122"/>
    </row>
    <row r="1840" spans="12:12" x14ac:dyDescent="0.3">
      <c r="L1840" s="122"/>
    </row>
    <row r="1841" spans="12:12" x14ac:dyDescent="0.3">
      <c r="L1841" s="122"/>
    </row>
    <row r="1842" spans="12:12" x14ac:dyDescent="0.3">
      <c r="L1842" s="122"/>
    </row>
    <row r="1843" spans="12:12" x14ac:dyDescent="0.3">
      <c r="L1843" s="122"/>
    </row>
    <row r="1844" spans="12:12" x14ac:dyDescent="0.3">
      <c r="L1844" s="122"/>
    </row>
    <row r="1845" spans="12:12" x14ac:dyDescent="0.3">
      <c r="L1845" s="122"/>
    </row>
    <row r="1846" spans="12:12" x14ac:dyDescent="0.3">
      <c r="L1846" s="122"/>
    </row>
    <row r="1847" spans="12:12" x14ac:dyDescent="0.3">
      <c r="L1847" s="122"/>
    </row>
    <row r="1848" spans="12:12" x14ac:dyDescent="0.3">
      <c r="L1848" s="122"/>
    </row>
    <row r="1849" spans="12:12" x14ac:dyDescent="0.3">
      <c r="L1849" s="122"/>
    </row>
    <row r="1850" spans="12:12" x14ac:dyDescent="0.3">
      <c r="L1850" s="122"/>
    </row>
    <row r="1851" spans="12:12" x14ac:dyDescent="0.3">
      <c r="L1851" s="122"/>
    </row>
    <row r="1852" spans="12:12" x14ac:dyDescent="0.3">
      <c r="L1852" s="122"/>
    </row>
    <row r="1853" spans="12:12" x14ac:dyDescent="0.3">
      <c r="L1853" s="122"/>
    </row>
    <row r="1854" spans="12:12" x14ac:dyDescent="0.3">
      <c r="L1854" s="122"/>
    </row>
    <row r="1855" spans="12:12" x14ac:dyDescent="0.3">
      <c r="L1855" s="122"/>
    </row>
    <row r="1856" spans="12:12" x14ac:dyDescent="0.3">
      <c r="L1856" s="122"/>
    </row>
    <row r="1857" spans="12:12" x14ac:dyDescent="0.3">
      <c r="L1857" s="122"/>
    </row>
    <row r="1858" spans="12:12" x14ac:dyDescent="0.3">
      <c r="L1858" s="122"/>
    </row>
    <row r="1859" spans="12:12" x14ac:dyDescent="0.3">
      <c r="L1859" s="122"/>
    </row>
    <row r="1860" spans="12:12" x14ac:dyDescent="0.3">
      <c r="L1860" s="122"/>
    </row>
    <row r="1861" spans="12:12" x14ac:dyDescent="0.3">
      <c r="L1861" s="122"/>
    </row>
    <row r="1862" spans="12:12" x14ac:dyDescent="0.3">
      <c r="L1862" s="122"/>
    </row>
    <row r="1863" spans="12:12" x14ac:dyDescent="0.3">
      <c r="L1863" s="122"/>
    </row>
    <row r="1864" spans="12:12" x14ac:dyDescent="0.3">
      <c r="L1864" s="122"/>
    </row>
    <row r="1865" spans="12:12" x14ac:dyDescent="0.3">
      <c r="L1865" s="122"/>
    </row>
    <row r="1866" spans="12:12" x14ac:dyDescent="0.3">
      <c r="L1866" s="122"/>
    </row>
    <row r="1867" spans="12:12" x14ac:dyDescent="0.3">
      <c r="L1867" s="122"/>
    </row>
    <row r="1868" spans="12:12" x14ac:dyDescent="0.3">
      <c r="L1868" s="122"/>
    </row>
    <row r="1869" spans="12:12" x14ac:dyDescent="0.3">
      <c r="L1869" s="122"/>
    </row>
    <row r="1870" spans="12:12" x14ac:dyDescent="0.3">
      <c r="L1870" s="122"/>
    </row>
    <row r="1871" spans="12:12" x14ac:dyDescent="0.3">
      <c r="L1871" s="122"/>
    </row>
    <row r="1872" spans="12:12" x14ac:dyDescent="0.3">
      <c r="L1872" s="122"/>
    </row>
    <row r="1873" spans="12:12" x14ac:dyDescent="0.3">
      <c r="L1873" s="122"/>
    </row>
    <row r="1874" spans="12:12" x14ac:dyDescent="0.3">
      <c r="L1874" s="122"/>
    </row>
    <row r="1875" spans="12:12" x14ac:dyDescent="0.3">
      <c r="L1875" s="122"/>
    </row>
    <row r="1876" spans="12:12" x14ac:dyDescent="0.3">
      <c r="L1876" s="122"/>
    </row>
    <row r="1877" spans="12:12" x14ac:dyDescent="0.3">
      <c r="L1877" s="122"/>
    </row>
    <row r="1878" spans="12:12" x14ac:dyDescent="0.3">
      <c r="L1878" s="122"/>
    </row>
    <row r="1879" spans="12:12" x14ac:dyDescent="0.3">
      <c r="L1879" s="122"/>
    </row>
    <row r="1880" spans="12:12" x14ac:dyDescent="0.3">
      <c r="L1880" s="122"/>
    </row>
    <row r="1881" spans="12:12" x14ac:dyDescent="0.3">
      <c r="L1881" s="122"/>
    </row>
    <row r="1882" spans="12:12" x14ac:dyDescent="0.3">
      <c r="L1882" s="122"/>
    </row>
    <row r="1883" spans="12:12" x14ac:dyDescent="0.3">
      <c r="L1883" s="122"/>
    </row>
    <row r="1884" spans="12:12" x14ac:dyDescent="0.3">
      <c r="L1884" s="122"/>
    </row>
    <row r="1885" spans="12:12" x14ac:dyDescent="0.3">
      <c r="L1885" s="122"/>
    </row>
    <row r="1886" spans="12:12" x14ac:dyDescent="0.3">
      <c r="L1886" s="122"/>
    </row>
    <row r="1887" spans="12:12" x14ac:dyDescent="0.3">
      <c r="L1887" s="122"/>
    </row>
    <row r="1888" spans="12:12" x14ac:dyDescent="0.3">
      <c r="L1888" s="122"/>
    </row>
    <row r="1889" spans="12:12" x14ac:dyDescent="0.3">
      <c r="L1889" s="122"/>
    </row>
    <row r="1890" spans="12:12" x14ac:dyDescent="0.3">
      <c r="L1890" s="122"/>
    </row>
    <row r="1891" spans="12:12" x14ac:dyDescent="0.3">
      <c r="L1891" s="122"/>
    </row>
    <row r="1892" spans="12:12" x14ac:dyDescent="0.3">
      <c r="L1892" s="122"/>
    </row>
    <row r="1893" spans="12:12" x14ac:dyDescent="0.3">
      <c r="L1893" s="122"/>
    </row>
    <row r="1894" spans="12:12" x14ac:dyDescent="0.3">
      <c r="L1894" s="122"/>
    </row>
    <row r="1895" spans="12:12" x14ac:dyDescent="0.3">
      <c r="L1895" s="122"/>
    </row>
    <row r="1896" spans="12:12" x14ac:dyDescent="0.3">
      <c r="L1896" s="122"/>
    </row>
    <row r="1897" spans="12:12" x14ac:dyDescent="0.3">
      <c r="L1897" s="122"/>
    </row>
    <row r="1898" spans="12:12" x14ac:dyDescent="0.3">
      <c r="L1898" s="122"/>
    </row>
    <row r="1899" spans="12:12" x14ac:dyDescent="0.3">
      <c r="L1899" s="122"/>
    </row>
    <row r="1900" spans="12:12" x14ac:dyDescent="0.3">
      <c r="L1900" s="122"/>
    </row>
    <row r="1901" spans="12:12" x14ac:dyDescent="0.3">
      <c r="L1901" s="122"/>
    </row>
    <row r="1902" spans="12:12" x14ac:dyDescent="0.3">
      <c r="L1902" s="122"/>
    </row>
    <row r="1903" spans="12:12" x14ac:dyDescent="0.3">
      <c r="L1903" s="122"/>
    </row>
    <row r="1904" spans="12:12" x14ac:dyDescent="0.3">
      <c r="L1904" s="122"/>
    </row>
    <row r="1905" spans="12:12" x14ac:dyDescent="0.3">
      <c r="L1905" s="122"/>
    </row>
    <row r="1906" spans="12:12" x14ac:dyDescent="0.3">
      <c r="L1906" s="122"/>
    </row>
    <row r="1907" spans="12:12" x14ac:dyDescent="0.3">
      <c r="L1907" s="122"/>
    </row>
    <row r="1908" spans="12:12" x14ac:dyDescent="0.3">
      <c r="L1908" s="122"/>
    </row>
    <row r="1909" spans="12:12" x14ac:dyDescent="0.3">
      <c r="L1909" s="122"/>
    </row>
    <row r="1910" spans="12:12" x14ac:dyDescent="0.3">
      <c r="L1910" s="122"/>
    </row>
    <row r="1911" spans="12:12" x14ac:dyDescent="0.3">
      <c r="L1911" s="122"/>
    </row>
    <row r="1912" spans="12:12" x14ac:dyDescent="0.3">
      <c r="L1912" s="122"/>
    </row>
    <row r="1913" spans="12:12" x14ac:dyDescent="0.3">
      <c r="L1913" s="122"/>
    </row>
    <row r="1914" spans="12:12" x14ac:dyDescent="0.3">
      <c r="L1914" s="122"/>
    </row>
    <row r="1915" spans="12:12" x14ac:dyDescent="0.3">
      <c r="L1915" s="122"/>
    </row>
    <row r="1916" spans="12:12" x14ac:dyDescent="0.3">
      <c r="L1916" s="122"/>
    </row>
    <row r="1917" spans="12:12" x14ac:dyDescent="0.3">
      <c r="L1917" s="122"/>
    </row>
    <row r="1918" spans="12:12" x14ac:dyDescent="0.3">
      <c r="L1918" s="122"/>
    </row>
    <row r="1919" spans="12:12" x14ac:dyDescent="0.3">
      <c r="L1919" s="122"/>
    </row>
    <row r="1920" spans="12:12" x14ac:dyDescent="0.3">
      <c r="L1920" s="122"/>
    </row>
    <row r="1921" spans="12:12" x14ac:dyDescent="0.3">
      <c r="L1921" s="122"/>
    </row>
    <row r="1922" spans="12:12" x14ac:dyDescent="0.3">
      <c r="L1922" s="122"/>
    </row>
    <row r="1923" spans="12:12" x14ac:dyDescent="0.3">
      <c r="L1923" s="122"/>
    </row>
    <row r="1924" spans="12:12" x14ac:dyDescent="0.3">
      <c r="L1924" s="122"/>
    </row>
    <row r="1925" spans="12:12" x14ac:dyDescent="0.3">
      <c r="L1925" s="122"/>
    </row>
    <row r="1926" spans="12:12" x14ac:dyDescent="0.3">
      <c r="L1926" s="122"/>
    </row>
    <row r="1927" spans="12:12" x14ac:dyDescent="0.3">
      <c r="L1927" s="122"/>
    </row>
    <row r="1928" spans="12:12" x14ac:dyDescent="0.3">
      <c r="L1928" s="122"/>
    </row>
    <row r="1929" spans="12:12" x14ac:dyDescent="0.3">
      <c r="L1929" s="122"/>
    </row>
    <row r="1930" spans="12:12" x14ac:dyDescent="0.3">
      <c r="L1930" s="122"/>
    </row>
    <row r="1931" spans="12:12" x14ac:dyDescent="0.3">
      <c r="L1931" s="122"/>
    </row>
    <row r="1932" spans="12:12" x14ac:dyDescent="0.3">
      <c r="L1932" s="122"/>
    </row>
    <row r="1933" spans="12:12" x14ac:dyDescent="0.3">
      <c r="L1933" s="122"/>
    </row>
    <row r="1934" spans="12:12" x14ac:dyDescent="0.3">
      <c r="L1934" s="122"/>
    </row>
    <row r="1935" spans="12:12" x14ac:dyDescent="0.3">
      <c r="L1935" s="122"/>
    </row>
    <row r="1936" spans="12:12" x14ac:dyDescent="0.3">
      <c r="L1936" s="122"/>
    </row>
    <row r="1937" spans="12:12" x14ac:dyDescent="0.3">
      <c r="L1937" s="122"/>
    </row>
    <row r="1938" spans="12:12" x14ac:dyDescent="0.3">
      <c r="L1938" s="122"/>
    </row>
    <row r="1939" spans="12:12" x14ac:dyDescent="0.3">
      <c r="L1939" s="122"/>
    </row>
    <row r="1940" spans="12:12" x14ac:dyDescent="0.3">
      <c r="L1940" s="122"/>
    </row>
    <row r="1941" spans="12:12" x14ac:dyDescent="0.3">
      <c r="L1941" s="122"/>
    </row>
    <row r="1942" spans="12:12" x14ac:dyDescent="0.3">
      <c r="L1942" s="122"/>
    </row>
    <row r="1943" spans="12:12" x14ac:dyDescent="0.3">
      <c r="L1943" s="122"/>
    </row>
    <row r="1944" spans="12:12" x14ac:dyDescent="0.3">
      <c r="L1944" s="122"/>
    </row>
    <row r="1945" spans="12:12" x14ac:dyDescent="0.3">
      <c r="L1945" s="122"/>
    </row>
    <row r="1946" spans="12:12" x14ac:dyDescent="0.3">
      <c r="L1946" s="122"/>
    </row>
    <row r="1947" spans="12:12" x14ac:dyDescent="0.3">
      <c r="L1947" s="122"/>
    </row>
    <row r="1948" spans="12:12" x14ac:dyDescent="0.3">
      <c r="L1948" s="122"/>
    </row>
    <row r="1949" spans="12:12" x14ac:dyDescent="0.3">
      <c r="L1949" s="122"/>
    </row>
    <row r="1950" spans="12:12" x14ac:dyDescent="0.3">
      <c r="L1950" s="122"/>
    </row>
    <row r="1951" spans="12:12" x14ac:dyDescent="0.3">
      <c r="L1951" s="122"/>
    </row>
    <row r="1952" spans="12:12" x14ac:dyDescent="0.3">
      <c r="L1952" s="122"/>
    </row>
    <row r="1953" spans="12:12" x14ac:dyDescent="0.3">
      <c r="L1953" s="122"/>
    </row>
    <row r="1954" spans="12:12" x14ac:dyDescent="0.3">
      <c r="L1954" s="122"/>
    </row>
    <row r="1955" spans="12:12" x14ac:dyDescent="0.3">
      <c r="L1955" s="122"/>
    </row>
    <row r="1956" spans="12:12" x14ac:dyDescent="0.3">
      <c r="L1956" s="122"/>
    </row>
    <row r="1957" spans="12:12" x14ac:dyDescent="0.3">
      <c r="L1957" s="122"/>
    </row>
    <row r="1958" spans="12:12" x14ac:dyDescent="0.3">
      <c r="L1958" s="122"/>
    </row>
    <row r="1959" spans="12:12" x14ac:dyDescent="0.3">
      <c r="L1959" s="122"/>
    </row>
    <row r="1960" spans="12:12" x14ac:dyDescent="0.3">
      <c r="L1960" s="122"/>
    </row>
    <row r="1961" spans="12:12" x14ac:dyDescent="0.3">
      <c r="L1961" s="122"/>
    </row>
    <row r="1962" spans="12:12" x14ac:dyDescent="0.3">
      <c r="L1962" s="122"/>
    </row>
    <row r="1963" spans="12:12" x14ac:dyDescent="0.3">
      <c r="L1963" s="122"/>
    </row>
    <row r="1964" spans="12:12" x14ac:dyDescent="0.3">
      <c r="L1964" s="122"/>
    </row>
    <row r="1965" spans="12:12" x14ac:dyDescent="0.3">
      <c r="L1965" s="122"/>
    </row>
    <row r="1966" spans="12:12" x14ac:dyDescent="0.3">
      <c r="L1966" s="122"/>
    </row>
    <row r="1967" spans="12:12" x14ac:dyDescent="0.3">
      <c r="L1967" s="122"/>
    </row>
    <row r="1968" spans="12:12" x14ac:dyDescent="0.3">
      <c r="L1968" s="122"/>
    </row>
    <row r="1969" spans="12:12" x14ac:dyDescent="0.3">
      <c r="L1969" s="122"/>
    </row>
    <row r="1970" spans="12:12" x14ac:dyDescent="0.3">
      <c r="L1970" s="122"/>
    </row>
    <row r="1971" spans="12:12" x14ac:dyDescent="0.3">
      <c r="L1971" s="122"/>
    </row>
    <row r="1972" spans="12:12" x14ac:dyDescent="0.3">
      <c r="L1972" s="122"/>
    </row>
    <row r="1973" spans="12:12" x14ac:dyDescent="0.3">
      <c r="L1973" s="122"/>
    </row>
    <row r="1974" spans="12:12" x14ac:dyDescent="0.3">
      <c r="L1974" s="122"/>
    </row>
    <row r="1975" spans="12:12" x14ac:dyDescent="0.3">
      <c r="L1975" s="122"/>
    </row>
    <row r="1976" spans="12:12" x14ac:dyDescent="0.3">
      <c r="L1976" s="122"/>
    </row>
    <row r="1977" spans="12:12" x14ac:dyDescent="0.3">
      <c r="L1977" s="122"/>
    </row>
    <row r="1978" spans="12:12" x14ac:dyDescent="0.3">
      <c r="L1978" s="122"/>
    </row>
    <row r="1979" spans="12:12" x14ac:dyDescent="0.3">
      <c r="L1979" s="122"/>
    </row>
    <row r="1980" spans="12:12" x14ac:dyDescent="0.3">
      <c r="L1980" s="122"/>
    </row>
    <row r="1981" spans="12:12" x14ac:dyDescent="0.3">
      <c r="L1981" s="122"/>
    </row>
    <row r="1982" spans="12:12" x14ac:dyDescent="0.3">
      <c r="L1982" s="122"/>
    </row>
    <row r="1983" spans="12:12" x14ac:dyDescent="0.3">
      <c r="L1983" s="122"/>
    </row>
    <row r="1984" spans="12:12" x14ac:dyDescent="0.3">
      <c r="L1984" s="122"/>
    </row>
    <row r="1985" spans="12:12" x14ac:dyDescent="0.3">
      <c r="L1985" s="122"/>
    </row>
    <row r="1986" spans="12:12" x14ac:dyDescent="0.3">
      <c r="L1986" s="122"/>
    </row>
    <row r="1987" spans="12:12" x14ac:dyDescent="0.3">
      <c r="L1987" s="122"/>
    </row>
    <row r="1988" spans="12:12" x14ac:dyDescent="0.3">
      <c r="L1988" s="122"/>
    </row>
    <row r="1989" spans="12:12" x14ac:dyDescent="0.3">
      <c r="L1989" s="122"/>
    </row>
    <row r="1990" spans="12:12" x14ac:dyDescent="0.3">
      <c r="L1990" s="122"/>
    </row>
    <row r="1991" spans="12:12" x14ac:dyDescent="0.3">
      <c r="L1991" s="122"/>
    </row>
    <row r="1992" spans="12:12" x14ac:dyDescent="0.3">
      <c r="L1992" s="122"/>
    </row>
    <row r="1993" spans="12:12" x14ac:dyDescent="0.3">
      <c r="L1993" s="122"/>
    </row>
    <row r="1994" spans="12:12" x14ac:dyDescent="0.3">
      <c r="L1994" s="122"/>
    </row>
    <row r="1995" spans="12:12" x14ac:dyDescent="0.3">
      <c r="L1995" s="122"/>
    </row>
    <row r="1996" spans="12:12" x14ac:dyDescent="0.3">
      <c r="L1996" s="122"/>
    </row>
    <row r="1997" spans="12:12" x14ac:dyDescent="0.3">
      <c r="L1997" s="122"/>
    </row>
    <row r="1998" spans="12:12" x14ac:dyDescent="0.3">
      <c r="L1998" s="122"/>
    </row>
    <row r="1999" spans="12:12" x14ac:dyDescent="0.3">
      <c r="L1999" s="122"/>
    </row>
    <row r="2000" spans="12:12" x14ac:dyDescent="0.3">
      <c r="L2000" s="122"/>
    </row>
    <row r="2001" spans="12:12" x14ac:dyDescent="0.3">
      <c r="L2001" s="122"/>
    </row>
    <row r="2002" spans="12:12" x14ac:dyDescent="0.3">
      <c r="L2002" s="122"/>
    </row>
    <row r="2003" spans="12:12" x14ac:dyDescent="0.3">
      <c r="L2003" s="122"/>
    </row>
    <row r="2004" spans="12:12" x14ac:dyDescent="0.3">
      <c r="L2004" s="122"/>
    </row>
    <row r="2005" spans="12:12" x14ac:dyDescent="0.3">
      <c r="L2005" s="122"/>
    </row>
    <row r="2006" spans="12:12" x14ac:dyDescent="0.3">
      <c r="L2006" s="122"/>
    </row>
    <row r="2007" spans="12:12" x14ac:dyDescent="0.3">
      <c r="L2007" s="122"/>
    </row>
    <row r="2008" spans="12:12" x14ac:dyDescent="0.3">
      <c r="L2008" s="122"/>
    </row>
    <row r="2009" spans="12:12" x14ac:dyDescent="0.3">
      <c r="L2009" s="122"/>
    </row>
    <row r="2010" spans="12:12" x14ac:dyDescent="0.3">
      <c r="L2010" s="122"/>
    </row>
    <row r="2011" spans="12:12" x14ac:dyDescent="0.3">
      <c r="L2011" s="122"/>
    </row>
    <row r="2012" spans="12:12" x14ac:dyDescent="0.3">
      <c r="L2012" s="122"/>
    </row>
    <row r="2013" spans="12:12" x14ac:dyDescent="0.3">
      <c r="L2013" s="122"/>
    </row>
    <row r="2014" spans="12:12" x14ac:dyDescent="0.3">
      <c r="L2014" s="122"/>
    </row>
    <row r="2015" spans="12:12" x14ac:dyDescent="0.3">
      <c r="L2015" s="122"/>
    </row>
    <row r="2016" spans="12:12" x14ac:dyDescent="0.3">
      <c r="L2016" s="122"/>
    </row>
    <row r="2017" spans="12:12" x14ac:dyDescent="0.3">
      <c r="L2017" s="122"/>
    </row>
    <row r="2018" spans="12:12" x14ac:dyDescent="0.3">
      <c r="L2018" s="122"/>
    </row>
    <row r="2019" spans="12:12" x14ac:dyDescent="0.3">
      <c r="L2019" s="122"/>
    </row>
    <row r="2020" spans="12:12" x14ac:dyDescent="0.3">
      <c r="L2020" s="122"/>
    </row>
    <row r="2021" spans="12:12" x14ac:dyDescent="0.3">
      <c r="L2021" s="122"/>
    </row>
    <row r="2022" spans="12:12" x14ac:dyDescent="0.3">
      <c r="L2022" s="122"/>
    </row>
    <row r="2023" spans="12:12" x14ac:dyDescent="0.3">
      <c r="L2023" s="122"/>
    </row>
    <row r="2024" spans="12:12" x14ac:dyDescent="0.3">
      <c r="L2024" s="122"/>
    </row>
    <row r="2025" spans="12:12" x14ac:dyDescent="0.3">
      <c r="L2025" s="122"/>
    </row>
    <row r="2026" spans="12:12" x14ac:dyDescent="0.3">
      <c r="L2026" s="122"/>
    </row>
    <row r="2027" spans="12:12" x14ac:dyDescent="0.3">
      <c r="L2027" s="122"/>
    </row>
    <row r="2028" spans="12:12" x14ac:dyDescent="0.3">
      <c r="L2028" s="122"/>
    </row>
    <row r="2029" spans="12:12" x14ac:dyDescent="0.3">
      <c r="L2029" s="122"/>
    </row>
    <row r="2030" spans="12:12" x14ac:dyDescent="0.3">
      <c r="L2030" s="122"/>
    </row>
    <row r="2031" spans="12:12" x14ac:dyDescent="0.3">
      <c r="L2031" s="122"/>
    </row>
    <row r="2032" spans="12:12" x14ac:dyDescent="0.3">
      <c r="L2032" s="122"/>
    </row>
    <row r="2033" spans="12:12" x14ac:dyDescent="0.3">
      <c r="L2033" s="122"/>
    </row>
    <row r="2034" spans="12:12" x14ac:dyDescent="0.3">
      <c r="L2034" s="122"/>
    </row>
    <row r="2035" spans="12:12" x14ac:dyDescent="0.3">
      <c r="L2035" s="122"/>
    </row>
    <row r="2036" spans="12:12" x14ac:dyDescent="0.3">
      <c r="L2036" s="122"/>
    </row>
    <row r="2037" spans="12:12" x14ac:dyDescent="0.3">
      <c r="L2037" s="122"/>
    </row>
    <row r="2038" spans="12:12" x14ac:dyDescent="0.3">
      <c r="L2038" s="122"/>
    </row>
    <row r="2039" spans="12:12" x14ac:dyDescent="0.3">
      <c r="L2039" s="122"/>
    </row>
    <row r="2040" spans="12:12" x14ac:dyDescent="0.3">
      <c r="L2040" s="122"/>
    </row>
    <row r="2041" spans="12:12" x14ac:dyDescent="0.3">
      <c r="L2041" s="122"/>
    </row>
    <row r="2042" spans="12:12" x14ac:dyDescent="0.3">
      <c r="L2042" s="122"/>
    </row>
    <row r="2043" spans="12:12" x14ac:dyDescent="0.3">
      <c r="L2043" s="122"/>
    </row>
    <row r="2044" spans="12:12" x14ac:dyDescent="0.3">
      <c r="L2044" s="122"/>
    </row>
    <row r="2045" spans="12:12" x14ac:dyDescent="0.3">
      <c r="L2045" s="122"/>
    </row>
    <row r="2046" spans="12:12" x14ac:dyDescent="0.3">
      <c r="L2046" s="122"/>
    </row>
    <row r="2047" spans="12:12" x14ac:dyDescent="0.3">
      <c r="L2047" s="122"/>
    </row>
    <row r="2048" spans="12:12" x14ac:dyDescent="0.3">
      <c r="L2048" s="122"/>
    </row>
    <row r="2049" spans="12:12" x14ac:dyDescent="0.3">
      <c r="L2049" s="122"/>
    </row>
    <row r="2050" spans="12:12" x14ac:dyDescent="0.3">
      <c r="L2050" s="122"/>
    </row>
    <row r="2051" spans="12:12" x14ac:dyDescent="0.3">
      <c r="L2051" s="122"/>
    </row>
    <row r="2052" spans="12:12" x14ac:dyDescent="0.3">
      <c r="L2052" s="122"/>
    </row>
    <row r="2053" spans="12:12" x14ac:dyDescent="0.3">
      <c r="L2053" s="122"/>
    </row>
    <row r="2054" spans="12:12" x14ac:dyDescent="0.3">
      <c r="L2054" s="122"/>
    </row>
    <row r="2055" spans="12:12" x14ac:dyDescent="0.3">
      <c r="L2055" s="122"/>
    </row>
    <row r="2056" spans="12:12" x14ac:dyDescent="0.3">
      <c r="L2056" s="122"/>
    </row>
    <row r="2057" spans="12:12" x14ac:dyDescent="0.3">
      <c r="L2057" s="122"/>
    </row>
    <row r="2058" spans="12:12" x14ac:dyDescent="0.3">
      <c r="L2058" s="122"/>
    </row>
    <row r="2059" spans="12:12" x14ac:dyDescent="0.3">
      <c r="L2059" s="122"/>
    </row>
    <row r="2060" spans="12:12" x14ac:dyDescent="0.3">
      <c r="L2060" s="122"/>
    </row>
    <row r="2061" spans="12:12" x14ac:dyDescent="0.3">
      <c r="L2061" s="122"/>
    </row>
    <row r="2062" spans="12:12" x14ac:dyDescent="0.3">
      <c r="L2062" s="122"/>
    </row>
    <row r="2063" spans="12:12" x14ac:dyDescent="0.3">
      <c r="L2063" s="122"/>
    </row>
    <row r="2064" spans="12:12" x14ac:dyDescent="0.3">
      <c r="L2064" s="122"/>
    </row>
    <row r="2065" spans="12:12" x14ac:dyDescent="0.3">
      <c r="L2065" s="122"/>
    </row>
    <row r="2066" spans="12:12" x14ac:dyDescent="0.3">
      <c r="L2066" s="122"/>
    </row>
    <row r="2067" spans="12:12" x14ac:dyDescent="0.3">
      <c r="L2067" s="122"/>
    </row>
    <row r="2068" spans="12:12" x14ac:dyDescent="0.3">
      <c r="L2068" s="122"/>
    </row>
    <row r="2069" spans="12:12" x14ac:dyDescent="0.3">
      <c r="L2069" s="122"/>
    </row>
    <row r="2070" spans="12:12" x14ac:dyDescent="0.3">
      <c r="L2070" s="122"/>
    </row>
    <row r="2071" spans="12:12" x14ac:dyDescent="0.3">
      <c r="L2071" s="122"/>
    </row>
    <row r="2072" spans="12:12" x14ac:dyDescent="0.3">
      <c r="L2072" s="122"/>
    </row>
    <row r="2073" spans="12:12" x14ac:dyDescent="0.3">
      <c r="L2073" s="122"/>
    </row>
    <row r="2074" spans="12:12" x14ac:dyDescent="0.3">
      <c r="L2074" s="122"/>
    </row>
    <row r="2075" spans="12:12" x14ac:dyDescent="0.3">
      <c r="L2075" s="122"/>
    </row>
    <row r="2076" spans="12:12" x14ac:dyDescent="0.3">
      <c r="L2076" s="122"/>
    </row>
    <row r="2077" spans="12:12" x14ac:dyDescent="0.3">
      <c r="L2077" s="122"/>
    </row>
    <row r="2078" spans="12:12" x14ac:dyDescent="0.3">
      <c r="L2078" s="122"/>
    </row>
    <row r="2079" spans="12:12" x14ac:dyDescent="0.3">
      <c r="L2079" s="122"/>
    </row>
    <row r="2080" spans="12:12" x14ac:dyDescent="0.3">
      <c r="L2080" s="122"/>
    </row>
    <row r="2081" spans="12:12" x14ac:dyDescent="0.3">
      <c r="L2081" s="122"/>
    </row>
    <row r="2082" spans="12:12" x14ac:dyDescent="0.3">
      <c r="L2082" s="122"/>
    </row>
    <row r="2083" spans="12:12" x14ac:dyDescent="0.3">
      <c r="L2083" s="122"/>
    </row>
    <row r="2084" spans="12:12" x14ac:dyDescent="0.3">
      <c r="L2084" s="122"/>
    </row>
    <row r="2085" spans="12:12" x14ac:dyDescent="0.3">
      <c r="L2085" s="122"/>
    </row>
    <row r="2086" spans="12:12" x14ac:dyDescent="0.3">
      <c r="L2086" s="122"/>
    </row>
    <row r="2087" spans="12:12" x14ac:dyDescent="0.3">
      <c r="L2087" s="122"/>
    </row>
    <row r="2088" spans="12:12" x14ac:dyDescent="0.3">
      <c r="L2088" s="122"/>
    </row>
    <row r="2089" spans="12:12" x14ac:dyDescent="0.3">
      <c r="L2089" s="122"/>
    </row>
    <row r="2090" spans="12:12" x14ac:dyDescent="0.3">
      <c r="L2090" s="122"/>
    </row>
    <row r="2091" spans="12:12" x14ac:dyDescent="0.3">
      <c r="L2091" s="122"/>
    </row>
    <row r="2092" spans="12:12" x14ac:dyDescent="0.3">
      <c r="L2092" s="122"/>
    </row>
    <row r="2093" spans="12:12" x14ac:dyDescent="0.3">
      <c r="L2093" s="122"/>
    </row>
    <row r="2094" spans="12:12" x14ac:dyDescent="0.3">
      <c r="L2094" s="122"/>
    </row>
    <row r="2095" spans="12:12" x14ac:dyDescent="0.3">
      <c r="L2095" s="122"/>
    </row>
    <row r="2096" spans="12:12" x14ac:dyDescent="0.3">
      <c r="L2096" s="122"/>
    </row>
    <row r="2097" spans="12:12" x14ac:dyDescent="0.3">
      <c r="L2097" s="122"/>
    </row>
    <row r="2098" spans="12:12" x14ac:dyDescent="0.3">
      <c r="L2098" s="122"/>
    </row>
    <row r="2099" spans="12:12" x14ac:dyDescent="0.3">
      <c r="L2099" s="122"/>
    </row>
    <row r="2100" spans="12:12" x14ac:dyDescent="0.3">
      <c r="L2100" s="122"/>
    </row>
    <row r="2101" spans="12:12" x14ac:dyDescent="0.3">
      <c r="L2101" s="122"/>
    </row>
    <row r="2102" spans="12:12" x14ac:dyDescent="0.3">
      <c r="L2102" s="122"/>
    </row>
    <row r="2103" spans="12:12" x14ac:dyDescent="0.3">
      <c r="L2103" s="122"/>
    </row>
    <row r="2104" spans="12:12" x14ac:dyDescent="0.3">
      <c r="L2104" s="122"/>
    </row>
    <row r="2105" spans="12:12" x14ac:dyDescent="0.3">
      <c r="L2105" s="122"/>
    </row>
    <row r="2106" spans="12:12" x14ac:dyDescent="0.3">
      <c r="L2106" s="122"/>
    </row>
    <row r="2107" spans="12:12" x14ac:dyDescent="0.3">
      <c r="L2107" s="122"/>
    </row>
    <row r="2108" spans="12:12" x14ac:dyDescent="0.3">
      <c r="L2108" s="122"/>
    </row>
    <row r="2109" spans="12:12" x14ac:dyDescent="0.3">
      <c r="L2109" s="122"/>
    </row>
    <row r="2110" spans="12:12" x14ac:dyDescent="0.3">
      <c r="L2110" s="122"/>
    </row>
    <row r="2111" spans="12:12" x14ac:dyDescent="0.3">
      <c r="L2111" s="122"/>
    </row>
    <row r="2112" spans="12:12" x14ac:dyDescent="0.3">
      <c r="L2112" s="122"/>
    </row>
    <row r="2113" spans="12:12" x14ac:dyDescent="0.3">
      <c r="L2113" s="122"/>
    </row>
    <row r="2114" spans="12:12" x14ac:dyDescent="0.3">
      <c r="L2114" s="122"/>
    </row>
    <row r="2115" spans="12:12" x14ac:dyDescent="0.3">
      <c r="L2115" s="122"/>
    </row>
    <row r="2116" spans="12:12" x14ac:dyDescent="0.3">
      <c r="L2116" s="122"/>
    </row>
    <row r="2117" spans="12:12" x14ac:dyDescent="0.3">
      <c r="L2117" s="122"/>
    </row>
    <row r="2118" spans="12:12" x14ac:dyDescent="0.3">
      <c r="L2118" s="122"/>
    </row>
    <row r="2119" spans="12:12" x14ac:dyDescent="0.3">
      <c r="L2119" s="122"/>
    </row>
    <row r="2120" spans="12:12" x14ac:dyDescent="0.3">
      <c r="L2120" s="122"/>
    </row>
    <row r="2121" spans="12:12" x14ac:dyDescent="0.3">
      <c r="L2121" s="122"/>
    </row>
    <row r="2122" spans="12:12" x14ac:dyDescent="0.3">
      <c r="L2122" s="122"/>
    </row>
    <row r="2123" spans="12:12" x14ac:dyDescent="0.3">
      <c r="L2123" s="122"/>
    </row>
    <row r="2124" spans="12:12" x14ac:dyDescent="0.3">
      <c r="L2124" s="122"/>
    </row>
    <row r="2125" spans="12:12" x14ac:dyDescent="0.3">
      <c r="L2125" s="122"/>
    </row>
    <row r="2126" spans="12:12" x14ac:dyDescent="0.3">
      <c r="L2126" s="122"/>
    </row>
    <row r="2127" spans="12:12" x14ac:dyDescent="0.3">
      <c r="L2127" s="122"/>
    </row>
    <row r="2128" spans="12:12" x14ac:dyDescent="0.3">
      <c r="L2128" s="122"/>
    </row>
    <row r="2129" spans="12:12" x14ac:dyDescent="0.3">
      <c r="L2129" s="122"/>
    </row>
    <row r="2130" spans="12:12" x14ac:dyDescent="0.3">
      <c r="L2130" s="122"/>
    </row>
    <row r="2131" spans="12:12" x14ac:dyDescent="0.3">
      <c r="L2131" s="122"/>
    </row>
    <row r="2132" spans="12:12" x14ac:dyDescent="0.3">
      <c r="L2132" s="122"/>
    </row>
    <row r="2133" spans="12:12" x14ac:dyDescent="0.3">
      <c r="L2133" s="122"/>
    </row>
    <row r="2134" spans="12:12" x14ac:dyDescent="0.3">
      <c r="L2134" s="122"/>
    </row>
    <row r="2135" spans="12:12" x14ac:dyDescent="0.3">
      <c r="L2135" s="122"/>
    </row>
    <row r="2136" spans="12:12" x14ac:dyDescent="0.3">
      <c r="L2136" s="122"/>
    </row>
    <row r="2137" spans="12:12" x14ac:dyDescent="0.3">
      <c r="L2137" s="122"/>
    </row>
    <row r="2138" spans="12:12" x14ac:dyDescent="0.3">
      <c r="L2138" s="122"/>
    </row>
    <row r="2139" spans="12:12" x14ac:dyDescent="0.3">
      <c r="L2139" s="122"/>
    </row>
    <row r="2140" spans="12:12" x14ac:dyDescent="0.3">
      <c r="L2140" s="122"/>
    </row>
    <row r="2141" spans="12:12" x14ac:dyDescent="0.3">
      <c r="L2141" s="122"/>
    </row>
    <row r="2142" spans="12:12" x14ac:dyDescent="0.3">
      <c r="L2142" s="122"/>
    </row>
    <row r="2143" spans="12:12" x14ac:dyDescent="0.3">
      <c r="L2143" s="122"/>
    </row>
    <row r="2144" spans="12:12" x14ac:dyDescent="0.3">
      <c r="L2144" s="122"/>
    </row>
    <row r="2145" spans="12:12" x14ac:dyDescent="0.3">
      <c r="L2145" s="122"/>
    </row>
    <row r="2146" spans="12:12" x14ac:dyDescent="0.3">
      <c r="L2146" s="122"/>
    </row>
    <row r="2147" spans="12:12" x14ac:dyDescent="0.3">
      <c r="L2147" s="122"/>
    </row>
    <row r="2148" spans="12:12" x14ac:dyDescent="0.3">
      <c r="L2148" s="122"/>
    </row>
    <row r="2149" spans="12:12" x14ac:dyDescent="0.3">
      <c r="L2149" s="122"/>
    </row>
    <row r="2150" spans="12:12" x14ac:dyDescent="0.3">
      <c r="L2150" s="122"/>
    </row>
    <row r="2151" spans="12:12" x14ac:dyDescent="0.3">
      <c r="L2151" s="122"/>
    </row>
    <row r="2152" spans="12:12" x14ac:dyDescent="0.3">
      <c r="L2152" s="122"/>
    </row>
    <row r="2153" spans="12:12" x14ac:dyDescent="0.3">
      <c r="L2153" s="122"/>
    </row>
    <row r="2154" spans="12:12" x14ac:dyDescent="0.3">
      <c r="L2154" s="122"/>
    </row>
    <row r="2155" spans="12:12" x14ac:dyDescent="0.3">
      <c r="L2155" s="122"/>
    </row>
    <row r="2156" spans="12:12" x14ac:dyDescent="0.3">
      <c r="L2156" s="122"/>
    </row>
    <row r="2157" spans="12:12" x14ac:dyDescent="0.3">
      <c r="L2157" s="122"/>
    </row>
    <row r="2158" spans="12:12" x14ac:dyDescent="0.3">
      <c r="L2158" s="122"/>
    </row>
    <row r="2159" spans="12:12" x14ac:dyDescent="0.3">
      <c r="L2159" s="122"/>
    </row>
    <row r="2160" spans="12:12" x14ac:dyDescent="0.3">
      <c r="L2160" s="122"/>
    </row>
    <row r="2161" spans="12:12" x14ac:dyDescent="0.3">
      <c r="L2161" s="122"/>
    </row>
    <row r="2162" spans="12:12" x14ac:dyDescent="0.3">
      <c r="L2162" s="122"/>
    </row>
    <row r="2163" spans="12:12" x14ac:dyDescent="0.3">
      <c r="L2163" s="122"/>
    </row>
    <row r="2164" spans="12:12" x14ac:dyDescent="0.3">
      <c r="L2164" s="122"/>
    </row>
    <row r="2165" spans="12:12" x14ac:dyDescent="0.3">
      <c r="L2165" s="122"/>
    </row>
    <row r="2166" spans="12:12" x14ac:dyDescent="0.3">
      <c r="L2166" s="122"/>
    </row>
    <row r="2167" spans="12:12" x14ac:dyDescent="0.3">
      <c r="L2167" s="122"/>
    </row>
    <row r="2168" spans="12:12" x14ac:dyDescent="0.3">
      <c r="L2168" s="122"/>
    </row>
    <row r="2169" spans="12:12" x14ac:dyDescent="0.3">
      <c r="L2169" s="122"/>
    </row>
    <row r="2170" spans="12:12" x14ac:dyDescent="0.3">
      <c r="L2170" s="122"/>
    </row>
    <row r="2171" spans="12:12" x14ac:dyDescent="0.3">
      <c r="L2171" s="122"/>
    </row>
    <row r="2172" spans="12:12" x14ac:dyDescent="0.3">
      <c r="L2172" s="122"/>
    </row>
    <row r="2173" spans="12:12" x14ac:dyDescent="0.3">
      <c r="L2173" s="122"/>
    </row>
    <row r="2174" spans="12:12" x14ac:dyDescent="0.3">
      <c r="L2174" s="122"/>
    </row>
    <row r="2175" spans="12:12" x14ac:dyDescent="0.3">
      <c r="L2175" s="122"/>
    </row>
    <row r="2176" spans="12:12" x14ac:dyDescent="0.3">
      <c r="L2176" s="122"/>
    </row>
    <row r="2177" spans="12:12" x14ac:dyDescent="0.3">
      <c r="L2177" s="122"/>
    </row>
    <row r="2178" spans="12:12" x14ac:dyDescent="0.3">
      <c r="L2178" s="122"/>
    </row>
    <row r="2179" spans="12:12" x14ac:dyDescent="0.3">
      <c r="L2179" s="122"/>
    </row>
    <row r="2180" spans="12:12" x14ac:dyDescent="0.3">
      <c r="L2180" s="122"/>
    </row>
    <row r="2181" spans="12:12" x14ac:dyDescent="0.3">
      <c r="L2181" s="122"/>
    </row>
    <row r="2182" spans="12:12" x14ac:dyDescent="0.3">
      <c r="L2182" s="122"/>
    </row>
    <row r="2183" spans="12:12" x14ac:dyDescent="0.3">
      <c r="L2183" s="122"/>
    </row>
    <row r="2184" spans="12:12" x14ac:dyDescent="0.3">
      <c r="L2184" s="122"/>
    </row>
    <row r="2185" spans="12:12" x14ac:dyDescent="0.3">
      <c r="L2185" s="122"/>
    </row>
    <row r="2186" spans="12:12" x14ac:dyDescent="0.3">
      <c r="L2186" s="122"/>
    </row>
    <row r="2187" spans="12:12" x14ac:dyDescent="0.3">
      <c r="L2187" s="122"/>
    </row>
    <row r="2188" spans="12:12" x14ac:dyDescent="0.3">
      <c r="L2188" s="122"/>
    </row>
    <row r="2189" spans="12:12" x14ac:dyDescent="0.3">
      <c r="L2189" s="122"/>
    </row>
    <row r="2190" spans="12:12" x14ac:dyDescent="0.3">
      <c r="L2190" s="122"/>
    </row>
    <row r="2191" spans="12:12" x14ac:dyDescent="0.3">
      <c r="L2191" s="122"/>
    </row>
    <row r="2192" spans="12:12" x14ac:dyDescent="0.3">
      <c r="L2192" s="122"/>
    </row>
    <row r="2193" spans="12:12" x14ac:dyDescent="0.3">
      <c r="L2193" s="122"/>
    </row>
    <row r="2194" spans="12:12" x14ac:dyDescent="0.3">
      <c r="L2194" s="122"/>
    </row>
    <row r="2195" spans="12:12" x14ac:dyDescent="0.3">
      <c r="L2195" s="122"/>
    </row>
    <row r="2196" spans="12:12" x14ac:dyDescent="0.3">
      <c r="L2196" s="122"/>
    </row>
    <row r="2197" spans="12:12" x14ac:dyDescent="0.3">
      <c r="L2197" s="122"/>
    </row>
    <row r="2198" spans="12:12" x14ac:dyDescent="0.3">
      <c r="L2198" s="122"/>
    </row>
    <row r="2199" spans="12:12" x14ac:dyDescent="0.3">
      <c r="L2199" s="122"/>
    </row>
    <row r="2200" spans="12:12" x14ac:dyDescent="0.3">
      <c r="L2200" s="122"/>
    </row>
    <row r="2201" spans="12:12" x14ac:dyDescent="0.3">
      <c r="L2201" s="122"/>
    </row>
    <row r="2202" spans="12:12" x14ac:dyDescent="0.3">
      <c r="L2202" s="122"/>
    </row>
    <row r="2203" spans="12:12" x14ac:dyDescent="0.3">
      <c r="L2203" s="122"/>
    </row>
    <row r="2204" spans="12:12" x14ac:dyDescent="0.3">
      <c r="L2204" s="122"/>
    </row>
    <row r="2205" spans="12:12" x14ac:dyDescent="0.3">
      <c r="L2205" s="122"/>
    </row>
    <row r="2206" spans="12:12" x14ac:dyDescent="0.3">
      <c r="L2206" s="122"/>
    </row>
    <row r="2207" spans="12:12" x14ac:dyDescent="0.3">
      <c r="L2207" s="122"/>
    </row>
    <row r="2208" spans="12:12" x14ac:dyDescent="0.3">
      <c r="L2208" s="122"/>
    </row>
    <row r="2209" spans="12:12" x14ac:dyDescent="0.3">
      <c r="L2209" s="122"/>
    </row>
    <row r="2210" spans="12:12" x14ac:dyDescent="0.3">
      <c r="L2210" s="122"/>
    </row>
    <row r="2211" spans="12:12" x14ac:dyDescent="0.3">
      <c r="L2211" s="122"/>
    </row>
    <row r="2212" spans="12:12" x14ac:dyDescent="0.3">
      <c r="L2212" s="122"/>
    </row>
    <row r="2213" spans="12:12" x14ac:dyDescent="0.3">
      <c r="L2213" s="122"/>
    </row>
    <row r="2214" spans="12:12" x14ac:dyDescent="0.3">
      <c r="L2214" s="122"/>
    </row>
    <row r="2215" spans="12:12" x14ac:dyDescent="0.3">
      <c r="L2215" s="122"/>
    </row>
    <row r="2216" spans="12:12" x14ac:dyDescent="0.3">
      <c r="L2216" s="122"/>
    </row>
    <row r="2217" spans="12:12" x14ac:dyDescent="0.3">
      <c r="L2217" s="122"/>
    </row>
    <row r="2218" spans="12:12" x14ac:dyDescent="0.3">
      <c r="L2218" s="122"/>
    </row>
    <row r="2219" spans="12:12" x14ac:dyDescent="0.3">
      <c r="L2219" s="122"/>
    </row>
    <row r="2220" spans="12:12" x14ac:dyDescent="0.3">
      <c r="L2220" s="122"/>
    </row>
    <row r="2221" spans="12:12" x14ac:dyDescent="0.3">
      <c r="L2221" s="122"/>
    </row>
    <row r="2222" spans="12:12" x14ac:dyDescent="0.3">
      <c r="L2222" s="122"/>
    </row>
    <row r="2223" spans="12:12" x14ac:dyDescent="0.3">
      <c r="L2223" s="122"/>
    </row>
    <row r="2224" spans="12:12" x14ac:dyDescent="0.3">
      <c r="L2224" s="122"/>
    </row>
    <row r="2225" spans="12:12" x14ac:dyDescent="0.3">
      <c r="L2225" s="122"/>
    </row>
    <row r="2226" spans="12:12" x14ac:dyDescent="0.3">
      <c r="L2226" s="122"/>
    </row>
    <row r="2227" spans="12:12" x14ac:dyDescent="0.3">
      <c r="L2227" s="122"/>
    </row>
    <row r="2228" spans="12:12" x14ac:dyDescent="0.3">
      <c r="L2228" s="122"/>
    </row>
    <row r="2229" spans="12:12" x14ac:dyDescent="0.3">
      <c r="L2229" s="122"/>
    </row>
    <row r="2230" spans="12:12" x14ac:dyDescent="0.3">
      <c r="L2230" s="122"/>
    </row>
    <row r="2231" spans="12:12" x14ac:dyDescent="0.3">
      <c r="L2231" s="122"/>
    </row>
    <row r="2232" spans="12:12" x14ac:dyDescent="0.3">
      <c r="L2232" s="122"/>
    </row>
    <row r="2233" spans="12:12" x14ac:dyDescent="0.3">
      <c r="L2233" s="122"/>
    </row>
    <row r="2234" spans="12:12" x14ac:dyDescent="0.3">
      <c r="L2234" s="122"/>
    </row>
    <row r="2235" spans="12:12" x14ac:dyDescent="0.3">
      <c r="L2235" s="122"/>
    </row>
    <row r="2236" spans="12:12" x14ac:dyDescent="0.3">
      <c r="L2236" s="122"/>
    </row>
    <row r="2237" spans="12:12" x14ac:dyDescent="0.3">
      <c r="L2237" s="122"/>
    </row>
    <row r="2238" spans="12:12" x14ac:dyDescent="0.3">
      <c r="L2238" s="122"/>
    </row>
    <row r="2239" spans="12:12" x14ac:dyDescent="0.3">
      <c r="L2239" s="122"/>
    </row>
    <row r="2240" spans="12:12" x14ac:dyDescent="0.3">
      <c r="L2240" s="122"/>
    </row>
    <row r="2241" spans="12:12" x14ac:dyDescent="0.3">
      <c r="L2241" s="122"/>
    </row>
    <row r="2242" spans="12:12" x14ac:dyDescent="0.3">
      <c r="L2242" s="122"/>
    </row>
    <row r="2243" spans="12:12" x14ac:dyDescent="0.3">
      <c r="L2243" s="122"/>
    </row>
    <row r="2244" spans="12:12" x14ac:dyDescent="0.3">
      <c r="L2244" s="122"/>
    </row>
    <row r="2245" spans="12:12" x14ac:dyDescent="0.3">
      <c r="L2245" s="122"/>
    </row>
    <row r="2246" spans="12:12" x14ac:dyDescent="0.3">
      <c r="L2246" s="122"/>
    </row>
    <row r="2247" spans="12:12" x14ac:dyDescent="0.3">
      <c r="L2247" s="122"/>
    </row>
    <row r="2248" spans="12:12" x14ac:dyDescent="0.3">
      <c r="L2248" s="122"/>
    </row>
    <row r="2249" spans="12:12" x14ac:dyDescent="0.3">
      <c r="L2249" s="122"/>
    </row>
    <row r="2250" spans="12:12" x14ac:dyDescent="0.3">
      <c r="L2250" s="122"/>
    </row>
    <row r="2251" spans="12:12" x14ac:dyDescent="0.3">
      <c r="L2251" s="122"/>
    </row>
    <row r="2252" spans="12:12" x14ac:dyDescent="0.3">
      <c r="L2252" s="122"/>
    </row>
    <row r="2253" spans="12:12" x14ac:dyDescent="0.3">
      <c r="L2253" s="122"/>
    </row>
    <row r="2254" spans="12:12" x14ac:dyDescent="0.3">
      <c r="L2254" s="122"/>
    </row>
    <row r="2255" spans="12:12" x14ac:dyDescent="0.3">
      <c r="L2255" s="122"/>
    </row>
    <row r="2256" spans="12:12" x14ac:dyDescent="0.3">
      <c r="L2256" s="122"/>
    </row>
    <row r="2257" spans="12:12" x14ac:dyDescent="0.3">
      <c r="L2257" s="122"/>
    </row>
    <row r="2258" spans="12:12" x14ac:dyDescent="0.3">
      <c r="L2258" s="122"/>
    </row>
    <row r="2259" spans="12:12" x14ac:dyDescent="0.3">
      <c r="L2259" s="122"/>
    </row>
    <row r="2260" spans="12:12" x14ac:dyDescent="0.3">
      <c r="L2260" s="122"/>
    </row>
    <row r="2261" spans="12:12" x14ac:dyDescent="0.3">
      <c r="L2261" s="122"/>
    </row>
    <row r="2262" spans="12:12" x14ac:dyDescent="0.3">
      <c r="L2262" s="122"/>
    </row>
    <row r="2263" spans="12:12" x14ac:dyDescent="0.3">
      <c r="L2263" s="122"/>
    </row>
    <row r="2264" spans="12:12" x14ac:dyDescent="0.3">
      <c r="L2264" s="122"/>
    </row>
    <row r="2265" spans="12:12" x14ac:dyDescent="0.3">
      <c r="L2265" s="122"/>
    </row>
    <row r="2266" spans="12:12" x14ac:dyDescent="0.3">
      <c r="L2266" s="122"/>
    </row>
    <row r="2267" spans="12:12" x14ac:dyDescent="0.3">
      <c r="L2267" s="122"/>
    </row>
    <row r="2268" spans="12:12" x14ac:dyDescent="0.3">
      <c r="L2268" s="122"/>
    </row>
    <row r="2269" spans="12:12" x14ac:dyDescent="0.3">
      <c r="L2269" s="122"/>
    </row>
    <row r="2270" spans="12:12" x14ac:dyDescent="0.3">
      <c r="L2270" s="122"/>
    </row>
    <row r="2271" spans="12:12" x14ac:dyDescent="0.3">
      <c r="L2271" s="122"/>
    </row>
    <row r="2272" spans="12:12" x14ac:dyDescent="0.3">
      <c r="L2272" s="122"/>
    </row>
    <row r="2273" spans="12:12" x14ac:dyDescent="0.3">
      <c r="L2273" s="122"/>
    </row>
    <row r="2274" spans="12:12" x14ac:dyDescent="0.3">
      <c r="L2274" s="122"/>
    </row>
    <row r="2275" spans="12:12" x14ac:dyDescent="0.3">
      <c r="L2275" s="122"/>
    </row>
    <row r="2276" spans="12:12" x14ac:dyDescent="0.3">
      <c r="L2276" s="122"/>
    </row>
    <row r="2277" spans="12:12" x14ac:dyDescent="0.3">
      <c r="L2277" s="122"/>
    </row>
    <row r="2278" spans="12:12" x14ac:dyDescent="0.3">
      <c r="L2278" s="122"/>
    </row>
    <row r="2279" spans="12:12" x14ac:dyDescent="0.3">
      <c r="L2279" s="122"/>
    </row>
    <row r="2280" spans="12:12" x14ac:dyDescent="0.3">
      <c r="L2280" s="122"/>
    </row>
    <row r="2281" spans="12:12" x14ac:dyDescent="0.3">
      <c r="L2281" s="122"/>
    </row>
    <row r="2282" spans="12:12" x14ac:dyDescent="0.3">
      <c r="L2282" s="122"/>
    </row>
    <row r="2283" spans="12:12" x14ac:dyDescent="0.3">
      <c r="L2283" s="122"/>
    </row>
    <row r="2284" spans="12:12" x14ac:dyDescent="0.3">
      <c r="L2284" s="122"/>
    </row>
    <row r="2285" spans="12:12" x14ac:dyDescent="0.3">
      <c r="L2285" s="122"/>
    </row>
    <row r="2286" spans="12:12" x14ac:dyDescent="0.3">
      <c r="L2286" s="122"/>
    </row>
    <row r="2287" spans="12:12" x14ac:dyDescent="0.3">
      <c r="L2287" s="122"/>
    </row>
    <row r="2288" spans="12:12" x14ac:dyDescent="0.3">
      <c r="L2288" s="122"/>
    </row>
    <row r="2289" spans="12:12" x14ac:dyDescent="0.3">
      <c r="L2289" s="122"/>
    </row>
    <row r="2290" spans="12:12" x14ac:dyDescent="0.3">
      <c r="L2290" s="122"/>
    </row>
    <row r="2291" spans="12:12" x14ac:dyDescent="0.3">
      <c r="L2291" s="122"/>
    </row>
    <row r="2292" spans="12:12" x14ac:dyDescent="0.3">
      <c r="L2292" s="122"/>
    </row>
    <row r="2293" spans="12:12" x14ac:dyDescent="0.3">
      <c r="L2293" s="122"/>
    </row>
    <row r="2294" spans="12:12" x14ac:dyDescent="0.3">
      <c r="L2294" s="122"/>
    </row>
    <row r="2295" spans="12:12" x14ac:dyDescent="0.3">
      <c r="L2295" s="122"/>
    </row>
    <row r="2296" spans="12:12" x14ac:dyDescent="0.3">
      <c r="L2296" s="122"/>
    </row>
    <row r="2297" spans="12:12" x14ac:dyDescent="0.3">
      <c r="L2297" s="122"/>
    </row>
    <row r="2298" spans="12:12" x14ac:dyDescent="0.3">
      <c r="L2298" s="122"/>
    </row>
    <row r="2299" spans="12:12" x14ac:dyDescent="0.3">
      <c r="L2299" s="122"/>
    </row>
    <row r="2300" spans="12:12" x14ac:dyDescent="0.3">
      <c r="L2300" s="122"/>
    </row>
    <row r="2301" spans="12:12" x14ac:dyDescent="0.3">
      <c r="L2301" s="122"/>
    </row>
    <row r="2302" spans="12:12" x14ac:dyDescent="0.3">
      <c r="L2302" s="122"/>
    </row>
    <row r="2303" spans="12:12" x14ac:dyDescent="0.3">
      <c r="L2303" s="122"/>
    </row>
    <row r="2304" spans="12:12" x14ac:dyDescent="0.3">
      <c r="L2304" s="122"/>
    </row>
    <row r="2305" spans="12:12" x14ac:dyDescent="0.3">
      <c r="L2305" s="122"/>
    </row>
    <row r="2306" spans="12:12" x14ac:dyDescent="0.3">
      <c r="L2306" s="122"/>
    </row>
    <row r="2307" spans="12:12" x14ac:dyDescent="0.3">
      <c r="L2307" s="122"/>
    </row>
    <row r="2308" spans="12:12" x14ac:dyDescent="0.3">
      <c r="L2308" s="122"/>
    </row>
    <row r="2309" spans="12:12" x14ac:dyDescent="0.3">
      <c r="L2309" s="122"/>
    </row>
    <row r="2310" spans="12:12" x14ac:dyDescent="0.3">
      <c r="L2310" s="122"/>
    </row>
    <row r="2311" spans="12:12" x14ac:dyDescent="0.3">
      <c r="L2311" s="122"/>
    </row>
    <row r="2312" spans="12:12" x14ac:dyDescent="0.3">
      <c r="L2312" s="122"/>
    </row>
    <row r="2313" spans="12:12" x14ac:dyDescent="0.3">
      <c r="L2313" s="122"/>
    </row>
    <row r="2314" spans="12:12" x14ac:dyDescent="0.3">
      <c r="L2314" s="122"/>
    </row>
    <row r="2315" spans="12:12" x14ac:dyDescent="0.3">
      <c r="L2315" s="122"/>
    </row>
    <row r="2316" spans="12:12" x14ac:dyDescent="0.3">
      <c r="L2316" s="122"/>
    </row>
    <row r="2317" spans="12:12" x14ac:dyDescent="0.3">
      <c r="L2317" s="122"/>
    </row>
    <row r="2318" spans="12:12" x14ac:dyDescent="0.3">
      <c r="L2318" s="122"/>
    </row>
    <row r="2319" spans="12:12" x14ac:dyDescent="0.3">
      <c r="L2319" s="122"/>
    </row>
    <row r="2320" spans="12:12" x14ac:dyDescent="0.3">
      <c r="L2320" s="122"/>
    </row>
    <row r="2321" spans="12:12" x14ac:dyDescent="0.3">
      <c r="L2321" s="122"/>
    </row>
    <row r="2322" spans="12:12" x14ac:dyDescent="0.3">
      <c r="L2322" s="122"/>
    </row>
    <row r="2323" spans="12:12" x14ac:dyDescent="0.3">
      <c r="L2323" s="122"/>
    </row>
    <row r="2324" spans="12:12" x14ac:dyDescent="0.3">
      <c r="L2324" s="122"/>
    </row>
    <row r="2325" spans="12:12" x14ac:dyDescent="0.3">
      <c r="L2325" s="122"/>
    </row>
    <row r="2326" spans="12:12" x14ac:dyDescent="0.3">
      <c r="L2326" s="122"/>
    </row>
    <row r="2327" spans="12:12" x14ac:dyDescent="0.3">
      <c r="L2327" s="122"/>
    </row>
    <row r="2328" spans="12:12" x14ac:dyDescent="0.3">
      <c r="L2328" s="122"/>
    </row>
    <row r="2329" spans="12:12" x14ac:dyDescent="0.3">
      <c r="L2329" s="122"/>
    </row>
    <row r="2330" spans="12:12" x14ac:dyDescent="0.3">
      <c r="L2330" s="122"/>
    </row>
    <row r="2331" spans="12:12" x14ac:dyDescent="0.3">
      <c r="L2331" s="122"/>
    </row>
    <row r="2332" spans="12:12" x14ac:dyDescent="0.3">
      <c r="L2332" s="122"/>
    </row>
    <row r="2333" spans="12:12" x14ac:dyDescent="0.3">
      <c r="L2333" s="122"/>
    </row>
    <row r="2334" spans="12:12" x14ac:dyDescent="0.3">
      <c r="L2334" s="122"/>
    </row>
    <row r="2335" spans="12:12" x14ac:dyDescent="0.3">
      <c r="L2335" s="122"/>
    </row>
    <row r="2336" spans="12:12" x14ac:dyDescent="0.3">
      <c r="L2336" s="122"/>
    </row>
    <row r="2337" spans="12:12" x14ac:dyDescent="0.3">
      <c r="L2337" s="122"/>
    </row>
    <row r="2338" spans="12:12" x14ac:dyDescent="0.3">
      <c r="L2338" s="122"/>
    </row>
    <row r="2339" spans="12:12" x14ac:dyDescent="0.3">
      <c r="L2339" s="122"/>
    </row>
    <row r="2340" spans="12:12" x14ac:dyDescent="0.3">
      <c r="L2340" s="122"/>
    </row>
    <row r="2341" spans="12:12" x14ac:dyDescent="0.3">
      <c r="L2341" s="122"/>
    </row>
    <row r="2342" spans="12:12" x14ac:dyDescent="0.3">
      <c r="L2342" s="122"/>
    </row>
    <row r="2343" spans="12:12" x14ac:dyDescent="0.3">
      <c r="L2343" s="122"/>
    </row>
    <row r="2344" spans="12:12" x14ac:dyDescent="0.3">
      <c r="L2344" s="122"/>
    </row>
    <row r="2345" spans="12:12" x14ac:dyDescent="0.3">
      <c r="L2345" s="122"/>
    </row>
    <row r="2346" spans="12:12" x14ac:dyDescent="0.3">
      <c r="L2346" s="122"/>
    </row>
    <row r="2347" spans="12:12" x14ac:dyDescent="0.3">
      <c r="L2347" s="122"/>
    </row>
    <row r="2348" spans="12:12" x14ac:dyDescent="0.3">
      <c r="L2348" s="122"/>
    </row>
    <row r="2349" spans="12:12" x14ac:dyDescent="0.3">
      <c r="L2349" s="122"/>
    </row>
    <row r="2350" spans="12:12" x14ac:dyDescent="0.3">
      <c r="L2350" s="122"/>
    </row>
    <row r="2351" spans="12:12" x14ac:dyDescent="0.3">
      <c r="L2351" s="122"/>
    </row>
    <row r="2352" spans="12:12" x14ac:dyDescent="0.3">
      <c r="L2352" s="122"/>
    </row>
    <row r="2353" spans="12:12" x14ac:dyDescent="0.3">
      <c r="L2353" s="122"/>
    </row>
    <row r="2354" spans="12:12" x14ac:dyDescent="0.3">
      <c r="L2354" s="122"/>
    </row>
    <row r="2355" spans="12:12" x14ac:dyDescent="0.3">
      <c r="L2355" s="122"/>
    </row>
    <row r="2356" spans="12:12" x14ac:dyDescent="0.3">
      <c r="L2356" s="122"/>
    </row>
    <row r="2357" spans="12:12" x14ac:dyDescent="0.3">
      <c r="L2357" s="122"/>
    </row>
    <row r="2358" spans="12:12" x14ac:dyDescent="0.3">
      <c r="L2358" s="122"/>
    </row>
    <row r="2359" spans="12:12" x14ac:dyDescent="0.3">
      <c r="L2359" s="122"/>
    </row>
    <row r="2360" spans="12:12" x14ac:dyDescent="0.3">
      <c r="L2360" s="122"/>
    </row>
    <row r="2361" spans="12:12" x14ac:dyDescent="0.3">
      <c r="L2361" s="122"/>
    </row>
    <row r="2362" spans="12:12" x14ac:dyDescent="0.3">
      <c r="L2362" s="122"/>
    </row>
    <row r="2363" spans="12:12" x14ac:dyDescent="0.3">
      <c r="L2363" s="122"/>
    </row>
    <row r="2364" spans="12:12" x14ac:dyDescent="0.3">
      <c r="L2364" s="122"/>
    </row>
    <row r="2365" spans="12:12" x14ac:dyDescent="0.3">
      <c r="L2365" s="122"/>
    </row>
    <row r="2366" spans="12:12" x14ac:dyDescent="0.3">
      <c r="L2366" s="122"/>
    </row>
    <row r="2367" spans="12:12" x14ac:dyDescent="0.3">
      <c r="L2367" s="122"/>
    </row>
    <row r="2368" spans="12:12" x14ac:dyDescent="0.3">
      <c r="L2368" s="122"/>
    </row>
    <row r="2369" spans="12:12" x14ac:dyDescent="0.3">
      <c r="L2369" s="122"/>
    </row>
    <row r="2370" spans="12:12" x14ac:dyDescent="0.3">
      <c r="L2370" s="122"/>
    </row>
    <row r="2371" spans="12:12" x14ac:dyDescent="0.3">
      <c r="L2371" s="122"/>
    </row>
    <row r="2372" spans="12:12" x14ac:dyDescent="0.3">
      <c r="L2372" s="122"/>
    </row>
    <row r="2373" spans="12:12" x14ac:dyDescent="0.3">
      <c r="L2373" s="122"/>
    </row>
    <row r="2374" spans="12:12" x14ac:dyDescent="0.3">
      <c r="L2374" s="122"/>
    </row>
    <row r="2375" spans="12:12" x14ac:dyDescent="0.3">
      <c r="L2375" s="122"/>
    </row>
    <row r="2376" spans="12:12" x14ac:dyDescent="0.3">
      <c r="L2376" s="122"/>
    </row>
    <row r="2377" spans="12:12" x14ac:dyDescent="0.3">
      <c r="L2377" s="122"/>
    </row>
    <row r="2378" spans="12:12" x14ac:dyDescent="0.3">
      <c r="L2378" s="122"/>
    </row>
    <row r="2379" spans="12:12" x14ac:dyDescent="0.3">
      <c r="L2379" s="122"/>
    </row>
    <row r="2380" spans="12:12" x14ac:dyDescent="0.3">
      <c r="L2380" s="122"/>
    </row>
    <row r="2381" spans="12:12" x14ac:dyDescent="0.3">
      <c r="L2381" s="122"/>
    </row>
    <row r="2382" spans="12:12" x14ac:dyDescent="0.3">
      <c r="L2382" s="122"/>
    </row>
    <row r="2383" spans="12:12" x14ac:dyDescent="0.3">
      <c r="L2383" s="122"/>
    </row>
    <row r="2384" spans="12:12" x14ac:dyDescent="0.3">
      <c r="L2384" s="122"/>
    </row>
    <row r="2385" spans="12:12" x14ac:dyDescent="0.3">
      <c r="L2385" s="122"/>
    </row>
    <row r="2386" spans="12:12" x14ac:dyDescent="0.3">
      <c r="L2386" s="122"/>
    </row>
    <row r="2387" spans="12:12" x14ac:dyDescent="0.3">
      <c r="L2387" s="122"/>
    </row>
    <row r="2388" spans="12:12" x14ac:dyDescent="0.3">
      <c r="L2388" s="122"/>
    </row>
    <row r="2389" spans="12:12" x14ac:dyDescent="0.3">
      <c r="L2389" s="122"/>
    </row>
    <row r="2390" spans="12:12" x14ac:dyDescent="0.3">
      <c r="L2390" s="122"/>
    </row>
    <row r="2391" spans="12:12" x14ac:dyDescent="0.3">
      <c r="L2391" s="122"/>
    </row>
    <row r="2392" spans="12:12" x14ac:dyDescent="0.3">
      <c r="L2392" s="122"/>
    </row>
    <row r="2393" spans="12:12" x14ac:dyDescent="0.3">
      <c r="L2393" s="122"/>
    </row>
    <row r="2394" spans="12:12" x14ac:dyDescent="0.3">
      <c r="L2394" s="122"/>
    </row>
    <row r="2395" spans="12:12" x14ac:dyDescent="0.3">
      <c r="L2395" s="122"/>
    </row>
    <row r="2396" spans="12:12" x14ac:dyDescent="0.3">
      <c r="L2396" s="122"/>
    </row>
    <row r="2397" spans="12:12" x14ac:dyDescent="0.3">
      <c r="L2397" s="122"/>
    </row>
    <row r="2398" spans="12:12" x14ac:dyDescent="0.3">
      <c r="L2398" s="122"/>
    </row>
    <row r="2399" spans="12:12" x14ac:dyDescent="0.3">
      <c r="L2399" s="122"/>
    </row>
    <row r="2400" spans="12:12" x14ac:dyDescent="0.3">
      <c r="L2400" s="122"/>
    </row>
    <row r="2401" spans="12:12" x14ac:dyDescent="0.3">
      <c r="L2401" s="122"/>
    </row>
    <row r="2402" spans="12:12" x14ac:dyDescent="0.3">
      <c r="L2402" s="122"/>
    </row>
    <row r="2403" spans="12:12" x14ac:dyDescent="0.3">
      <c r="L2403" s="122"/>
    </row>
    <row r="2404" spans="12:12" x14ac:dyDescent="0.3">
      <c r="L2404" s="122"/>
    </row>
    <row r="2405" spans="12:12" x14ac:dyDescent="0.3">
      <c r="L2405" s="122"/>
    </row>
    <row r="2406" spans="12:12" x14ac:dyDescent="0.3">
      <c r="L2406" s="122"/>
    </row>
    <row r="2407" spans="12:12" x14ac:dyDescent="0.3">
      <c r="L2407" s="122"/>
    </row>
    <row r="2408" spans="12:12" x14ac:dyDescent="0.3">
      <c r="L2408" s="122"/>
    </row>
    <row r="2409" spans="12:12" x14ac:dyDescent="0.3">
      <c r="L2409" s="122"/>
    </row>
    <row r="2410" spans="12:12" x14ac:dyDescent="0.3">
      <c r="L2410" s="122"/>
    </row>
    <row r="2411" spans="12:12" x14ac:dyDescent="0.3">
      <c r="L2411" s="122"/>
    </row>
    <row r="2412" spans="12:12" x14ac:dyDescent="0.3">
      <c r="L2412" s="122"/>
    </row>
    <row r="2413" spans="12:12" x14ac:dyDescent="0.3">
      <c r="L2413" s="122"/>
    </row>
    <row r="2414" spans="12:12" x14ac:dyDescent="0.3">
      <c r="L2414" s="122"/>
    </row>
    <row r="2415" spans="12:12" x14ac:dyDescent="0.3">
      <c r="L2415" s="122"/>
    </row>
    <row r="2416" spans="12:12" x14ac:dyDescent="0.3">
      <c r="L2416" s="122"/>
    </row>
    <row r="2417" spans="12:12" x14ac:dyDescent="0.3">
      <c r="L2417" s="122"/>
    </row>
    <row r="2418" spans="12:12" x14ac:dyDescent="0.3">
      <c r="L2418" s="122"/>
    </row>
    <row r="2419" spans="12:12" x14ac:dyDescent="0.3">
      <c r="L2419" s="122"/>
    </row>
    <row r="2420" spans="12:12" x14ac:dyDescent="0.3">
      <c r="L2420" s="122"/>
    </row>
    <row r="2421" spans="12:12" x14ac:dyDescent="0.3">
      <c r="L2421" s="122"/>
    </row>
    <row r="2422" spans="12:12" x14ac:dyDescent="0.3">
      <c r="L2422" s="122"/>
    </row>
    <row r="2423" spans="12:12" x14ac:dyDescent="0.3">
      <c r="L2423" s="122"/>
    </row>
    <row r="2424" spans="12:12" x14ac:dyDescent="0.3">
      <c r="L2424" s="122"/>
    </row>
    <row r="2425" spans="12:12" x14ac:dyDescent="0.3">
      <c r="L2425" s="122"/>
    </row>
    <row r="2426" spans="12:12" x14ac:dyDescent="0.3">
      <c r="L2426" s="122"/>
    </row>
    <row r="2427" spans="12:12" x14ac:dyDescent="0.3">
      <c r="L2427" s="122"/>
    </row>
    <row r="2428" spans="12:12" x14ac:dyDescent="0.3">
      <c r="L2428" s="122"/>
    </row>
    <row r="2429" spans="12:12" x14ac:dyDescent="0.3">
      <c r="L2429" s="122"/>
    </row>
    <row r="2430" spans="12:12" x14ac:dyDescent="0.3">
      <c r="L2430" s="122"/>
    </row>
    <row r="2431" spans="12:12" x14ac:dyDescent="0.3">
      <c r="L2431" s="122"/>
    </row>
    <row r="2432" spans="12:12" x14ac:dyDescent="0.3">
      <c r="L2432" s="122"/>
    </row>
    <row r="2433" spans="12:12" x14ac:dyDescent="0.3">
      <c r="L2433" s="122"/>
    </row>
    <row r="2434" spans="12:12" x14ac:dyDescent="0.3">
      <c r="L2434" s="122"/>
    </row>
    <row r="2435" spans="12:12" x14ac:dyDescent="0.3">
      <c r="L2435" s="122"/>
    </row>
    <row r="2436" spans="12:12" x14ac:dyDescent="0.3">
      <c r="L2436" s="122"/>
    </row>
    <row r="2437" spans="12:12" x14ac:dyDescent="0.3">
      <c r="L2437" s="122"/>
    </row>
    <row r="2438" spans="12:12" x14ac:dyDescent="0.3">
      <c r="L2438" s="122"/>
    </row>
    <row r="2439" spans="12:12" x14ac:dyDescent="0.3">
      <c r="L2439" s="122"/>
    </row>
    <row r="2440" spans="12:12" x14ac:dyDescent="0.3">
      <c r="L2440" s="122"/>
    </row>
    <row r="2441" spans="12:12" x14ac:dyDescent="0.3">
      <c r="L2441" s="122"/>
    </row>
    <row r="2442" spans="12:12" x14ac:dyDescent="0.3">
      <c r="L2442" s="122"/>
    </row>
    <row r="2443" spans="12:12" x14ac:dyDescent="0.3">
      <c r="L2443" s="122"/>
    </row>
    <row r="2444" spans="12:12" x14ac:dyDescent="0.3">
      <c r="L2444" s="122"/>
    </row>
    <row r="2445" spans="12:12" x14ac:dyDescent="0.3">
      <c r="L2445" s="122"/>
    </row>
    <row r="2446" spans="12:12" x14ac:dyDescent="0.3">
      <c r="L2446" s="122"/>
    </row>
    <row r="2447" spans="12:12" x14ac:dyDescent="0.3">
      <c r="L2447" s="122"/>
    </row>
    <row r="2448" spans="12:12" x14ac:dyDescent="0.3">
      <c r="L2448" s="122"/>
    </row>
    <row r="2449" spans="12:12" x14ac:dyDescent="0.3">
      <c r="L2449" s="122"/>
    </row>
    <row r="2450" spans="12:12" x14ac:dyDescent="0.3">
      <c r="L2450" s="122"/>
    </row>
    <row r="2451" spans="12:12" x14ac:dyDescent="0.3">
      <c r="L2451" s="122"/>
    </row>
    <row r="2452" spans="12:12" x14ac:dyDescent="0.3">
      <c r="L2452" s="122"/>
    </row>
    <row r="2453" spans="12:12" x14ac:dyDescent="0.3">
      <c r="L2453" s="122"/>
    </row>
    <row r="2454" spans="12:12" x14ac:dyDescent="0.3">
      <c r="L2454" s="122"/>
    </row>
    <row r="2455" spans="12:12" x14ac:dyDescent="0.3">
      <c r="L2455" s="122"/>
    </row>
    <row r="2456" spans="12:12" x14ac:dyDescent="0.3">
      <c r="L2456" s="122"/>
    </row>
    <row r="2457" spans="12:12" x14ac:dyDescent="0.3">
      <c r="L2457" s="122"/>
    </row>
    <row r="2458" spans="12:12" x14ac:dyDescent="0.3">
      <c r="L2458" s="122"/>
    </row>
    <row r="2459" spans="12:12" x14ac:dyDescent="0.3">
      <c r="L2459" s="122"/>
    </row>
    <row r="2460" spans="12:12" x14ac:dyDescent="0.3">
      <c r="L2460" s="122"/>
    </row>
    <row r="2461" spans="12:12" x14ac:dyDescent="0.3">
      <c r="L2461" s="122"/>
    </row>
    <row r="2462" spans="12:12" x14ac:dyDescent="0.3">
      <c r="L2462" s="122"/>
    </row>
    <row r="2463" spans="12:12" x14ac:dyDescent="0.3">
      <c r="L2463" s="122"/>
    </row>
    <row r="2464" spans="12:12" x14ac:dyDescent="0.3">
      <c r="L2464" s="122"/>
    </row>
    <row r="2465" spans="12:12" x14ac:dyDescent="0.3">
      <c r="L2465" s="122"/>
    </row>
    <row r="2466" spans="12:12" x14ac:dyDescent="0.3">
      <c r="L2466" s="122"/>
    </row>
    <row r="2467" spans="12:12" x14ac:dyDescent="0.3">
      <c r="L2467" s="122"/>
    </row>
    <row r="2468" spans="12:12" x14ac:dyDescent="0.3">
      <c r="L2468" s="122"/>
    </row>
    <row r="2469" spans="12:12" x14ac:dyDescent="0.3">
      <c r="L2469" s="122"/>
    </row>
    <row r="2470" spans="12:12" x14ac:dyDescent="0.3">
      <c r="L2470" s="122"/>
    </row>
    <row r="2471" spans="12:12" x14ac:dyDescent="0.3">
      <c r="L2471" s="122"/>
    </row>
    <row r="2472" spans="12:12" x14ac:dyDescent="0.3">
      <c r="L2472" s="122"/>
    </row>
    <row r="2473" spans="12:12" x14ac:dyDescent="0.3">
      <c r="L2473" s="122"/>
    </row>
    <row r="2474" spans="12:12" x14ac:dyDescent="0.3">
      <c r="L2474" s="122"/>
    </row>
    <row r="2475" spans="12:12" x14ac:dyDescent="0.3">
      <c r="L2475" s="122"/>
    </row>
    <row r="2476" spans="12:12" x14ac:dyDescent="0.3">
      <c r="L2476" s="122"/>
    </row>
    <row r="2477" spans="12:12" x14ac:dyDescent="0.3">
      <c r="L2477" s="122"/>
    </row>
    <row r="2478" spans="12:12" x14ac:dyDescent="0.3">
      <c r="L2478" s="122"/>
    </row>
    <row r="2479" spans="12:12" x14ac:dyDescent="0.3">
      <c r="L2479" s="122"/>
    </row>
    <row r="2480" spans="12:12" x14ac:dyDescent="0.3">
      <c r="L2480" s="122"/>
    </row>
    <row r="2481" spans="12:12" x14ac:dyDescent="0.3">
      <c r="L2481" s="122"/>
    </row>
    <row r="2482" spans="12:12" x14ac:dyDescent="0.3">
      <c r="L2482" s="122"/>
    </row>
    <row r="2483" spans="12:12" x14ac:dyDescent="0.3">
      <c r="L2483" s="122"/>
    </row>
    <row r="2484" spans="12:12" x14ac:dyDescent="0.3">
      <c r="L2484" s="122"/>
    </row>
    <row r="2485" spans="12:12" x14ac:dyDescent="0.3">
      <c r="L2485" s="122"/>
    </row>
    <row r="2486" spans="12:12" x14ac:dyDescent="0.3">
      <c r="L2486" s="122"/>
    </row>
    <row r="2487" spans="12:12" x14ac:dyDescent="0.3">
      <c r="L2487" s="122"/>
    </row>
    <row r="2488" spans="12:12" x14ac:dyDescent="0.3">
      <c r="L2488" s="122"/>
    </row>
    <row r="2489" spans="12:12" x14ac:dyDescent="0.3">
      <c r="L2489" s="122"/>
    </row>
    <row r="2490" spans="12:12" x14ac:dyDescent="0.3">
      <c r="L2490" s="122"/>
    </row>
    <row r="2491" spans="12:12" x14ac:dyDescent="0.3">
      <c r="L2491" s="122"/>
    </row>
    <row r="2492" spans="12:12" x14ac:dyDescent="0.3">
      <c r="L2492" s="122"/>
    </row>
    <row r="2493" spans="12:12" x14ac:dyDescent="0.3">
      <c r="L2493" s="122"/>
    </row>
    <row r="2494" spans="12:12" x14ac:dyDescent="0.3">
      <c r="L2494" s="122"/>
    </row>
    <row r="2495" spans="12:12" x14ac:dyDescent="0.3">
      <c r="L2495" s="122"/>
    </row>
    <row r="2496" spans="12:12" x14ac:dyDescent="0.3">
      <c r="L2496" s="122"/>
    </row>
    <row r="2497" spans="12:12" x14ac:dyDescent="0.3">
      <c r="L2497" s="122"/>
    </row>
    <row r="2498" spans="12:12" x14ac:dyDescent="0.3">
      <c r="L2498" s="122"/>
    </row>
    <row r="2499" spans="12:12" x14ac:dyDescent="0.3">
      <c r="L2499" s="122"/>
    </row>
    <row r="2500" spans="12:12" x14ac:dyDescent="0.3">
      <c r="L2500" s="122"/>
    </row>
    <row r="2501" spans="12:12" x14ac:dyDescent="0.3">
      <c r="L2501" s="122"/>
    </row>
    <row r="2502" spans="12:12" x14ac:dyDescent="0.3">
      <c r="L2502" s="122"/>
    </row>
    <row r="2503" spans="12:12" x14ac:dyDescent="0.3">
      <c r="L2503" s="122"/>
    </row>
    <row r="2504" spans="12:12" x14ac:dyDescent="0.3">
      <c r="L2504" s="122"/>
    </row>
    <row r="2505" spans="12:12" x14ac:dyDescent="0.3">
      <c r="L2505" s="122"/>
    </row>
    <row r="2506" spans="12:12" x14ac:dyDescent="0.3">
      <c r="L2506" s="122"/>
    </row>
    <row r="2507" spans="12:12" x14ac:dyDescent="0.3">
      <c r="L2507" s="122"/>
    </row>
    <row r="2508" spans="12:12" x14ac:dyDescent="0.3">
      <c r="L2508" s="122"/>
    </row>
    <row r="2509" spans="12:12" x14ac:dyDescent="0.3">
      <c r="L2509" s="122"/>
    </row>
    <row r="2510" spans="12:12" x14ac:dyDescent="0.3">
      <c r="L2510" s="122"/>
    </row>
    <row r="2511" spans="12:12" x14ac:dyDescent="0.3">
      <c r="L2511" s="122"/>
    </row>
    <row r="2512" spans="12:12" x14ac:dyDescent="0.3">
      <c r="L2512" s="122"/>
    </row>
    <row r="2513" spans="12:12" x14ac:dyDescent="0.3">
      <c r="L2513" s="122"/>
    </row>
    <row r="2514" spans="12:12" x14ac:dyDescent="0.3">
      <c r="L2514" s="122"/>
    </row>
    <row r="2515" spans="12:12" x14ac:dyDescent="0.3">
      <c r="L2515" s="122"/>
    </row>
    <row r="2516" spans="12:12" x14ac:dyDescent="0.3">
      <c r="L2516" s="122"/>
    </row>
    <row r="2517" spans="12:12" x14ac:dyDescent="0.3">
      <c r="L2517" s="122"/>
    </row>
    <row r="2518" spans="12:12" x14ac:dyDescent="0.3">
      <c r="L2518" s="122"/>
    </row>
    <row r="2519" spans="12:12" x14ac:dyDescent="0.3">
      <c r="L2519" s="122"/>
    </row>
    <row r="2520" spans="12:12" x14ac:dyDescent="0.3">
      <c r="L2520" s="122"/>
    </row>
    <row r="2521" spans="12:12" x14ac:dyDescent="0.3">
      <c r="L2521" s="122"/>
    </row>
    <row r="2522" spans="12:12" x14ac:dyDescent="0.3">
      <c r="L2522" s="122"/>
    </row>
    <row r="2523" spans="12:12" x14ac:dyDescent="0.3">
      <c r="L2523" s="122"/>
    </row>
    <row r="2524" spans="12:12" x14ac:dyDescent="0.3">
      <c r="L2524" s="122"/>
    </row>
    <row r="2525" spans="12:12" x14ac:dyDescent="0.3">
      <c r="L2525" s="122"/>
    </row>
    <row r="2526" spans="12:12" x14ac:dyDescent="0.3">
      <c r="L2526" s="122"/>
    </row>
    <row r="2527" spans="12:12" x14ac:dyDescent="0.3">
      <c r="L2527" s="122"/>
    </row>
    <row r="2528" spans="12:12" x14ac:dyDescent="0.3">
      <c r="L2528" s="122"/>
    </row>
    <row r="2529" spans="12:12" x14ac:dyDescent="0.3">
      <c r="L2529" s="122"/>
    </row>
    <row r="2530" spans="12:12" x14ac:dyDescent="0.3">
      <c r="L2530" s="122"/>
    </row>
    <row r="2531" spans="12:12" x14ac:dyDescent="0.3">
      <c r="L2531" s="122"/>
    </row>
    <row r="2532" spans="12:12" x14ac:dyDescent="0.3">
      <c r="L2532" s="122"/>
    </row>
    <row r="2533" spans="12:12" x14ac:dyDescent="0.3">
      <c r="L2533" s="122"/>
    </row>
    <row r="2534" spans="12:12" x14ac:dyDescent="0.3">
      <c r="L2534" s="122"/>
    </row>
    <row r="2535" spans="12:12" x14ac:dyDescent="0.3">
      <c r="L2535" s="122"/>
    </row>
    <row r="2536" spans="12:12" x14ac:dyDescent="0.3">
      <c r="L2536" s="122"/>
    </row>
    <row r="2537" spans="12:12" x14ac:dyDescent="0.3">
      <c r="L2537" s="122"/>
    </row>
    <row r="2538" spans="12:12" x14ac:dyDescent="0.3">
      <c r="L2538" s="122"/>
    </row>
    <row r="2539" spans="12:12" x14ac:dyDescent="0.3">
      <c r="L2539" s="122"/>
    </row>
    <row r="2540" spans="12:12" x14ac:dyDescent="0.3">
      <c r="L2540" s="122"/>
    </row>
    <row r="2541" spans="12:12" x14ac:dyDescent="0.3">
      <c r="L2541" s="122"/>
    </row>
    <row r="2542" spans="12:12" x14ac:dyDescent="0.3">
      <c r="L2542" s="122"/>
    </row>
    <row r="2543" spans="12:12" x14ac:dyDescent="0.3">
      <c r="L2543" s="122"/>
    </row>
    <row r="2544" spans="12:12" x14ac:dyDescent="0.3">
      <c r="L2544" s="122"/>
    </row>
    <row r="2545" spans="12:12" x14ac:dyDescent="0.3">
      <c r="L2545" s="122"/>
    </row>
    <row r="2546" spans="12:12" x14ac:dyDescent="0.3">
      <c r="L2546" s="122"/>
    </row>
    <row r="2547" spans="12:12" x14ac:dyDescent="0.3">
      <c r="L2547" s="122"/>
    </row>
    <row r="2548" spans="12:12" x14ac:dyDescent="0.3">
      <c r="L2548" s="122"/>
    </row>
    <row r="2549" spans="12:12" x14ac:dyDescent="0.3">
      <c r="L2549" s="122"/>
    </row>
    <row r="2550" spans="12:12" x14ac:dyDescent="0.3">
      <c r="L2550" s="122"/>
    </row>
    <row r="2551" spans="12:12" x14ac:dyDescent="0.3">
      <c r="L2551" s="122"/>
    </row>
    <row r="2552" spans="12:12" x14ac:dyDescent="0.3">
      <c r="L2552" s="122"/>
    </row>
    <row r="2553" spans="12:12" x14ac:dyDescent="0.3">
      <c r="L2553" s="122"/>
    </row>
    <row r="2554" spans="12:12" x14ac:dyDescent="0.3">
      <c r="L2554" s="122"/>
    </row>
    <row r="2555" spans="12:12" x14ac:dyDescent="0.3">
      <c r="L2555" s="122"/>
    </row>
    <row r="2556" spans="12:12" x14ac:dyDescent="0.3">
      <c r="L2556" s="122"/>
    </row>
    <row r="2557" spans="12:12" x14ac:dyDescent="0.3">
      <c r="L2557" s="122"/>
    </row>
    <row r="2558" spans="12:12" x14ac:dyDescent="0.3">
      <c r="L2558" s="122"/>
    </row>
    <row r="2559" spans="12:12" x14ac:dyDescent="0.3">
      <c r="L2559" s="122"/>
    </row>
    <row r="2560" spans="12:12" x14ac:dyDescent="0.3">
      <c r="L2560" s="122"/>
    </row>
    <row r="2561" spans="12:12" x14ac:dyDescent="0.3">
      <c r="L2561" s="122"/>
    </row>
    <row r="2562" spans="12:12" x14ac:dyDescent="0.3">
      <c r="L2562" s="122"/>
    </row>
    <row r="2563" spans="12:12" x14ac:dyDescent="0.3">
      <c r="L2563" s="122"/>
    </row>
    <row r="2564" spans="12:12" x14ac:dyDescent="0.3">
      <c r="L2564" s="122"/>
    </row>
    <row r="2565" spans="12:12" x14ac:dyDescent="0.3">
      <c r="L2565" s="122"/>
    </row>
    <row r="2566" spans="12:12" x14ac:dyDescent="0.3">
      <c r="L2566" s="122"/>
    </row>
    <row r="2567" spans="12:12" x14ac:dyDescent="0.3">
      <c r="L2567" s="122"/>
    </row>
    <row r="2568" spans="12:12" x14ac:dyDescent="0.3">
      <c r="L2568" s="122"/>
    </row>
    <row r="2569" spans="12:12" x14ac:dyDescent="0.3">
      <c r="L2569" s="122"/>
    </row>
    <row r="2570" spans="12:12" x14ac:dyDescent="0.3">
      <c r="L2570" s="122"/>
    </row>
    <row r="2571" spans="12:12" x14ac:dyDescent="0.3">
      <c r="L2571" s="122"/>
    </row>
    <row r="2572" spans="12:12" x14ac:dyDescent="0.3">
      <c r="L2572" s="122"/>
    </row>
    <row r="2573" spans="12:12" x14ac:dyDescent="0.3">
      <c r="L2573" s="122"/>
    </row>
    <row r="2574" spans="12:12" x14ac:dyDescent="0.3">
      <c r="L2574" s="122"/>
    </row>
    <row r="2575" spans="12:12" x14ac:dyDescent="0.3">
      <c r="L2575" s="122"/>
    </row>
    <row r="2576" spans="12:12" x14ac:dyDescent="0.3">
      <c r="L2576" s="122"/>
    </row>
    <row r="2577" spans="12:12" x14ac:dyDescent="0.3">
      <c r="L2577" s="122"/>
    </row>
    <row r="2578" spans="12:12" x14ac:dyDescent="0.3">
      <c r="L2578" s="122"/>
    </row>
    <row r="2579" spans="12:12" x14ac:dyDescent="0.3">
      <c r="L2579" s="122"/>
    </row>
    <row r="2580" spans="12:12" x14ac:dyDescent="0.3">
      <c r="L2580" s="122"/>
    </row>
    <row r="2581" spans="12:12" x14ac:dyDescent="0.3">
      <c r="L2581" s="122"/>
    </row>
    <row r="2582" spans="12:12" x14ac:dyDescent="0.3">
      <c r="L2582" s="122"/>
    </row>
    <row r="2583" spans="12:12" x14ac:dyDescent="0.3">
      <c r="L2583" s="122"/>
    </row>
    <row r="2584" spans="12:12" x14ac:dyDescent="0.3">
      <c r="L2584" s="122"/>
    </row>
    <row r="2585" spans="12:12" x14ac:dyDescent="0.3">
      <c r="L2585" s="122"/>
    </row>
    <row r="2586" spans="12:12" x14ac:dyDescent="0.3">
      <c r="L2586" s="122"/>
    </row>
    <row r="2587" spans="12:12" x14ac:dyDescent="0.3">
      <c r="L2587" s="122"/>
    </row>
    <row r="2588" spans="12:12" x14ac:dyDescent="0.3">
      <c r="L2588" s="122"/>
    </row>
    <row r="2589" spans="12:12" x14ac:dyDescent="0.3">
      <c r="L2589" s="122"/>
    </row>
    <row r="2590" spans="12:12" x14ac:dyDescent="0.3">
      <c r="L2590" s="122"/>
    </row>
    <row r="2591" spans="12:12" x14ac:dyDescent="0.3">
      <c r="L2591" s="122"/>
    </row>
    <row r="2592" spans="12:12" x14ac:dyDescent="0.3">
      <c r="L2592" s="122"/>
    </row>
    <row r="2593" spans="12:12" x14ac:dyDescent="0.3">
      <c r="L2593" s="122"/>
    </row>
    <row r="2594" spans="12:12" x14ac:dyDescent="0.3">
      <c r="L2594" s="122"/>
    </row>
    <row r="2595" spans="12:12" x14ac:dyDescent="0.3">
      <c r="L2595" s="122"/>
    </row>
    <row r="2596" spans="12:12" x14ac:dyDescent="0.3">
      <c r="L2596" s="122"/>
    </row>
    <row r="2597" spans="12:12" x14ac:dyDescent="0.3">
      <c r="L2597" s="122"/>
    </row>
    <row r="2598" spans="12:12" x14ac:dyDescent="0.3">
      <c r="L2598" s="122"/>
    </row>
    <row r="2599" spans="12:12" x14ac:dyDescent="0.3">
      <c r="L2599" s="122"/>
    </row>
    <row r="2600" spans="12:12" x14ac:dyDescent="0.3">
      <c r="L2600" s="122"/>
    </row>
    <row r="2601" spans="12:12" x14ac:dyDescent="0.3">
      <c r="L2601" s="122"/>
    </row>
    <row r="2602" spans="12:12" x14ac:dyDescent="0.3">
      <c r="L2602" s="122"/>
    </row>
    <row r="2603" spans="12:12" x14ac:dyDescent="0.3">
      <c r="L2603" s="122"/>
    </row>
    <row r="2604" spans="12:12" x14ac:dyDescent="0.3">
      <c r="L2604" s="122"/>
    </row>
    <row r="2605" spans="12:12" x14ac:dyDescent="0.3">
      <c r="L2605" s="122"/>
    </row>
    <row r="2606" spans="12:12" x14ac:dyDescent="0.3">
      <c r="L2606" s="122"/>
    </row>
    <row r="2607" spans="12:12" x14ac:dyDescent="0.3">
      <c r="L2607" s="122"/>
    </row>
    <row r="2608" spans="12:12" x14ac:dyDescent="0.3">
      <c r="L2608" s="122"/>
    </row>
    <row r="2609" spans="12:12" x14ac:dyDescent="0.3">
      <c r="L2609" s="122"/>
    </row>
    <row r="2610" spans="12:12" x14ac:dyDescent="0.3">
      <c r="L2610" s="122"/>
    </row>
    <row r="2611" spans="12:12" x14ac:dyDescent="0.3">
      <c r="L2611" s="122"/>
    </row>
    <row r="2612" spans="12:12" x14ac:dyDescent="0.3">
      <c r="L2612" s="122"/>
    </row>
    <row r="2613" spans="12:12" x14ac:dyDescent="0.3">
      <c r="L2613" s="122"/>
    </row>
    <row r="2614" spans="12:12" x14ac:dyDescent="0.3">
      <c r="L2614" s="122"/>
    </row>
    <row r="2615" spans="12:12" x14ac:dyDescent="0.3">
      <c r="L2615" s="122"/>
    </row>
    <row r="2616" spans="12:12" x14ac:dyDescent="0.3">
      <c r="L2616" s="122"/>
    </row>
    <row r="2617" spans="12:12" x14ac:dyDescent="0.3">
      <c r="L2617" s="122"/>
    </row>
    <row r="2618" spans="12:12" x14ac:dyDescent="0.3">
      <c r="L2618" s="122"/>
    </row>
    <row r="2619" spans="12:12" x14ac:dyDescent="0.3">
      <c r="L2619" s="122"/>
    </row>
    <row r="2620" spans="12:12" x14ac:dyDescent="0.3">
      <c r="L2620" s="122"/>
    </row>
    <row r="2621" spans="12:12" x14ac:dyDescent="0.3">
      <c r="L2621" s="122"/>
    </row>
    <row r="2622" spans="12:12" x14ac:dyDescent="0.3">
      <c r="L2622" s="122"/>
    </row>
    <row r="2623" spans="12:12" x14ac:dyDescent="0.3">
      <c r="L2623" s="122"/>
    </row>
    <row r="2624" spans="12:12" x14ac:dyDescent="0.3">
      <c r="L2624" s="122"/>
    </row>
    <row r="2625" spans="12:12" x14ac:dyDescent="0.3">
      <c r="L2625" s="122"/>
    </row>
    <row r="2626" spans="12:12" x14ac:dyDescent="0.3">
      <c r="L2626" s="122"/>
    </row>
    <row r="2627" spans="12:12" x14ac:dyDescent="0.3">
      <c r="L2627" s="122"/>
    </row>
    <row r="2628" spans="12:12" x14ac:dyDescent="0.3">
      <c r="L2628" s="122"/>
    </row>
    <row r="2629" spans="12:12" x14ac:dyDescent="0.3">
      <c r="L2629" s="122"/>
    </row>
    <row r="2630" spans="12:12" x14ac:dyDescent="0.3">
      <c r="L2630" s="122"/>
    </row>
    <row r="2631" spans="12:12" x14ac:dyDescent="0.3">
      <c r="L2631" s="122"/>
    </row>
    <row r="2632" spans="12:12" x14ac:dyDescent="0.3">
      <c r="L2632" s="122"/>
    </row>
    <row r="2633" spans="12:12" x14ac:dyDescent="0.3">
      <c r="L2633" s="122"/>
    </row>
    <row r="2634" spans="12:12" x14ac:dyDescent="0.3">
      <c r="L2634" s="122"/>
    </row>
    <row r="2635" spans="12:12" x14ac:dyDescent="0.3">
      <c r="L2635" s="122"/>
    </row>
    <row r="2636" spans="12:12" x14ac:dyDescent="0.3">
      <c r="L2636" s="122"/>
    </row>
    <row r="2637" spans="12:12" x14ac:dyDescent="0.3">
      <c r="L2637" s="122"/>
    </row>
    <row r="2638" spans="12:12" x14ac:dyDescent="0.3">
      <c r="L2638" s="122"/>
    </row>
    <row r="2639" spans="12:12" x14ac:dyDescent="0.3">
      <c r="L2639" s="122"/>
    </row>
    <row r="2640" spans="12:12" x14ac:dyDescent="0.3">
      <c r="L2640" s="122"/>
    </row>
    <row r="2641" spans="12:12" x14ac:dyDescent="0.3">
      <c r="L2641" s="122"/>
    </row>
    <row r="2642" spans="12:12" x14ac:dyDescent="0.3">
      <c r="L2642" s="122"/>
    </row>
    <row r="2643" spans="12:12" x14ac:dyDescent="0.3">
      <c r="L2643" s="122"/>
    </row>
    <row r="2644" spans="12:12" x14ac:dyDescent="0.3">
      <c r="L2644" s="122"/>
    </row>
    <row r="2645" spans="12:12" x14ac:dyDescent="0.3">
      <c r="L2645" s="122"/>
    </row>
    <row r="2646" spans="12:12" x14ac:dyDescent="0.3">
      <c r="L2646" s="122"/>
    </row>
    <row r="2647" spans="12:12" x14ac:dyDescent="0.3">
      <c r="L2647" s="122"/>
    </row>
    <row r="2648" spans="12:12" x14ac:dyDescent="0.3">
      <c r="L2648" s="122"/>
    </row>
    <row r="2649" spans="12:12" x14ac:dyDescent="0.3">
      <c r="L2649" s="122"/>
    </row>
    <row r="2650" spans="12:12" x14ac:dyDescent="0.3">
      <c r="L2650" s="122"/>
    </row>
    <row r="2651" spans="12:12" x14ac:dyDescent="0.3">
      <c r="L2651" s="122"/>
    </row>
    <row r="2652" spans="12:12" x14ac:dyDescent="0.3">
      <c r="L2652" s="122"/>
    </row>
    <row r="2653" spans="12:12" x14ac:dyDescent="0.3">
      <c r="L2653" s="122"/>
    </row>
    <row r="2654" spans="12:12" x14ac:dyDescent="0.3">
      <c r="L2654" s="122"/>
    </row>
    <row r="2655" spans="12:12" x14ac:dyDescent="0.3">
      <c r="L2655" s="122"/>
    </row>
    <row r="2656" spans="12:12" x14ac:dyDescent="0.3">
      <c r="L2656" s="122"/>
    </row>
    <row r="2657" spans="12:12" x14ac:dyDescent="0.3">
      <c r="L2657" s="122"/>
    </row>
    <row r="2658" spans="12:12" x14ac:dyDescent="0.3">
      <c r="L2658" s="122"/>
    </row>
    <row r="2659" spans="12:12" x14ac:dyDescent="0.3">
      <c r="L2659" s="122"/>
    </row>
    <row r="2660" spans="12:12" x14ac:dyDescent="0.3">
      <c r="L2660" s="122"/>
    </row>
    <row r="2661" spans="12:12" x14ac:dyDescent="0.3">
      <c r="L2661" s="122"/>
    </row>
    <row r="2662" spans="12:12" x14ac:dyDescent="0.3">
      <c r="L2662" s="122"/>
    </row>
    <row r="2663" spans="12:12" x14ac:dyDescent="0.3">
      <c r="L2663" s="122"/>
    </row>
    <row r="2664" spans="12:12" x14ac:dyDescent="0.3">
      <c r="L2664" s="122"/>
    </row>
    <row r="2665" spans="12:12" x14ac:dyDescent="0.3">
      <c r="L2665" s="122"/>
    </row>
    <row r="2666" spans="12:12" x14ac:dyDescent="0.3">
      <c r="L2666" s="122"/>
    </row>
    <row r="2667" spans="12:12" x14ac:dyDescent="0.3">
      <c r="L2667" s="122"/>
    </row>
    <row r="2668" spans="12:12" x14ac:dyDescent="0.3">
      <c r="L2668" s="122"/>
    </row>
    <row r="2669" spans="12:12" x14ac:dyDescent="0.3">
      <c r="L2669" s="122"/>
    </row>
    <row r="2670" spans="12:12" x14ac:dyDescent="0.3">
      <c r="L2670" s="122"/>
    </row>
    <row r="2671" spans="12:12" x14ac:dyDescent="0.3">
      <c r="L2671" s="122"/>
    </row>
    <row r="2672" spans="12:12" x14ac:dyDescent="0.3">
      <c r="L2672" s="122"/>
    </row>
    <row r="2673" spans="12:12" x14ac:dyDescent="0.3">
      <c r="L2673" s="122"/>
    </row>
    <row r="2674" spans="12:12" x14ac:dyDescent="0.3">
      <c r="L2674" s="122"/>
    </row>
    <row r="2675" spans="12:12" x14ac:dyDescent="0.3">
      <c r="L2675" s="122"/>
    </row>
    <row r="2676" spans="12:12" x14ac:dyDescent="0.3">
      <c r="L2676" s="122"/>
    </row>
    <row r="2677" spans="12:12" x14ac:dyDescent="0.3">
      <c r="L2677" s="122"/>
    </row>
    <row r="2678" spans="12:12" x14ac:dyDescent="0.3">
      <c r="L2678" s="122"/>
    </row>
    <row r="2679" spans="12:12" x14ac:dyDescent="0.3">
      <c r="L2679" s="122"/>
    </row>
    <row r="2680" spans="12:12" x14ac:dyDescent="0.3">
      <c r="L2680" s="122"/>
    </row>
    <row r="2681" spans="12:12" x14ac:dyDescent="0.3">
      <c r="L2681" s="122"/>
    </row>
    <row r="2682" spans="12:12" x14ac:dyDescent="0.3">
      <c r="L2682" s="122"/>
    </row>
    <row r="2683" spans="12:12" x14ac:dyDescent="0.3">
      <c r="L2683" s="122"/>
    </row>
    <row r="2684" spans="12:12" x14ac:dyDescent="0.3">
      <c r="L2684" s="122"/>
    </row>
    <row r="2685" spans="12:12" x14ac:dyDescent="0.3">
      <c r="L2685" s="122"/>
    </row>
    <row r="2686" spans="12:12" x14ac:dyDescent="0.3">
      <c r="L2686" s="122"/>
    </row>
    <row r="2687" spans="12:12" x14ac:dyDescent="0.3">
      <c r="L2687" s="122"/>
    </row>
    <row r="2688" spans="12:12" x14ac:dyDescent="0.3">
      <c r="L2688" s="122"/>
    </row>
    <row r="2689" spans="12:12" x14ac:dyDescent="0.3">
      <c r="L2689" s="122"/>
    </row>
    <row r="2690" spans="12:12" x14ac:dyDescent="0.3">
      <c r="L2690" s="122"/>
    </row>
    <row r="2691" spans="12:12" x14ac:dyDescent="0.3">
      <c r="L2691" s="122"/>
    </row>
    <row r="2692" spans="12:12" x14ac:dyDescent="0.3">
      <c r="L2692" s="122"/>
    </row>
    <row r="2693" spans="12:12" x14ac:dyDescent="0.3">
      <c r="L2693" s="122"/>
    </row>
    <row r="2694" spans="12:12" x14ac:dyDescent="0.3">
      <c r="L2694" s="122"/>
    </row>
    <row r="2695" spans="12:12" x14ac:dyDescent="0.3">
      <c r="L2695" s="122"/>
    </row>
    <row r="2696" spans="12:12" x14ac:dyDescent="0.3">
      <c r="L2696" s="122"/>
    </row>
    <row r="2697" spans="12:12" x14ac:dyDescent="0.3">
      <c r="L2697" s="122"/>
    </row>
    <row r="2698" spans="12:12" x14ac:dyDescent="0.3">
      <c r="L2698" s="122"/>
    </row>
    <row r="2699" spans="12:12" x14ac:dyDescent="0.3">
      <c r="L2699" s="122"/>
    </row>
    <row r="2700" spans="12:12" x14ac:dyDescent="0.3">
      <c r="L2700" s="122"/>
    </row>
    <row r="2701" spans="12:12" x14ac:dyDescent="0.3">
      <c r="L2701" s="122"/>
    </row>
    <row r="2702" spans="12:12" x14ac:dyDescent="0.3">
      <c r="L2702" s="122"/>
    </row>
    <row r="2703" spans="12:12" x14ac:dyDescent="0.3">
      <c r="L2703" s="122"/>
    </row>
    <row r="2704" spans="12:12" x14ac:dyDescent="0.3">
      <c r="L2704" s="122"/>
    </row>
    <row r="2705" spans="12:12" x14ac:dyDescent="0.3">
      <c r="L2705" s="122"/>
    </row>
    <row r="2706" spans="12:12" x14ac:dyDescent="0.3">
      <c r="L2706" s="122"/>
    </row>
    <row r="2707" spans="12:12" x14ac:dyDescent="0.3">
      <c r="L2707" s="122"/>
    </row>
    <row r="2708" spans="12:12" x14ac:dyDescent="0.3">
      <c r="L2708" s="122"/>
    </row>
    <row r="2709" spans="12:12" x14ac:dyDescent="0.3">
      <c r="L2709" s="122"/>
    </row>
    <row r="2710" spans="12:12" x14ac:dyDescent="0.3">
      <c r="L2710" s="122"/>
    </row>
    <row r="2711" spans="12:12" x14ac:dyDescent="0.3">
      <c r="L2711" s="122"/>
    </row>
    <row r="2712" spans="12:12" x14ac:dyDescent="0.3">
      <c r="L2712" s="122"/>
    </row>
    <row r="2713" spans="12:12" x14ac:dyDescent="0.3">
      <c r="L2713" s="122"/>
    </row>
    <row r="2714" spans="12:12" x14ac:dyDescent="0.3">
      <c r="L2714" s="122"/>
    </row>
    <row r="2715" spans="12:12" x14ac:dyDescent="0.3">
      <c r="L2715" s="122"/>
    </row>
    <row r="2716" spans="12:12" x14ac:dyDescent="0.3">
      <c r="L2716" s="122"/>
    </row>
    <row r="2717" spans="12:12" x14ac:dyDescent="0.3">
      <c r="L2717" s="122"/>
    </row>
    <row r="2718" spans="12:12" x14ac:dyDescent="0.3">
      <c r="L2718" s="122"/>
    </row>
    <row r="2719" spans="12:12" x14ac:dyDescent="0.3">
      <c r="L2719" s="122"/>
    </row>
    <row r="2720" spans="12:12" x14ac:dyDescent="0.3">
      <c r="L2720" s="122"/>
    </row>
    <row r="2721" spans="12:12" x14ac:dyDescent="0.3">
      <c r="L2721" s="122"/>
    </row>
    <row r="2722" spans="12:12" x14ac:dyDescent="0.3">
      <c r="L2722" s="122"/>
    </row>
    <row r="2723" spans="12:12" x14ac:dyDescent="0.3">
      <c r="L2723" s="122"/>
    </row>
    <row r="2724" spans="12:12" x14ac:dyDescent="0.3">
      <c r="L2724" s="122"/>
    </row>
    <row r="2725" spans="12:12" x14ac:dyDescent="0.3">
      <c r="L2725" s="122"/>
    </row>
    <row r="2726" spans="12:12" x14ac:dyDescent="0.3">
      <c r="L2726" s="122"/>
    </row>
    <row r="2727" spans="12:12" x14ac:dyDescent="0.3">
      <c r="L2727" s="122"/>
    </row>
    <row r="2728" spans="12:12" x14ac:dyDescent="0.3">
      <c r="L2728" s="122"/>
    </row>
    <row r="2729" spans="12:12" x14ac:dyDescent="0.3">
      <c r="L2729" s="122"/>
    </row>
    <row r="2730" spans="12:12" x14ac:dyDescent="0.3">
      <c r="L2730" s="122"/>
    </row>
    <row r="2731" spans="12:12" x14ac:dyDescent="0.3">
      <c r="L2731" s="122"/>
    </row>
    <row r="2732" spans="12:12" x14ac:dyDescent="0.3">
      <c r="L2732" s="122"/>
    </row>
    <row r="2733" spans="12:12" x14ac:dyDescent="0.3">
      <c r="L2733" s="122"/>
    </row>
    <row r="2734" spans="12:12" x14ac:dyDescent="0.3">
      <c r="L2734" s="122"/>
    </row>
    <row r="2735" spans="12:12" x14ac:dyDescent="0.3">
      <c r="L2735" s="122"/>
    </row>
    <row r="2736" spans="12:12" x14ac:dyDescent="0.3">
      <c r="L2736" s="122"/>
    </row>
    <row r="2737" spans="12:12" x14ac:dyDescent="0.3">
      <c r="L2737" s="122"/>
    </row>
    <row r="2738" spans="12:12" x14ac:dyDescent="0.3">
      <c r="L2738" s="122"/>
    </row>
    <row r="2739" spans="12:12" x14ac:dyDescent="0.3">
      <c r="L2739" s="122"/>
    </row>
    <row r="2740" spans="12:12" x14ac:dyDescent="0.3">
      <c r="L2740" s="122"/>
    </row>
    <row r="2741" spans="12:12" x14ac:dyDescent="0.3">
      <c r="L2741" s="122"/>
    </row>
    <row r="2742" spans="12:12" x14ac:dyDescent="0.3">
      <c r="L2742" s="122"/>
    </row>
    <row r="2743" spans="12:12" x14ac:dyDescent="0.3">
      <c r="L2743" s="122"/>
    </row>
    <row r="2744" spans="12:12" x14ac:dyDescent="0.3">
      <c r="L2744" s="122"/>
    </row>
    <row r="2745" spans="12:12" x14ac:dyDescent="0.3">
      <c r="L2745" s="122"/>
    </row>
    <row r="2746" spans="12:12" x14ac:dyDescent="0.3">
      <c r="L2746" s="122"/>
    </row>
    <row r="2747" spans="12:12" x14ac:dyDescent="0.3">
      <c r="L2747" s="122"/>
    </row>
    <row r="2748" spans="12:12" x14ac:dyDescent="0.3">
      <c r="L2748" s="122"/>
    </row>
    <row r="2749" spans="12:12" x14ac:dyDescent="0.3">
      <c r="L2749" s="122"/>
    </row>
    <row r="2750" spans="12:12" x14ac:dyDescent="0.3">
      <c r="L2750" s="122"/>
    </row>
    <row r="2751" spans="12:12" x14ac:dyDescent="0.3">
      <c r="L2751" s="122"/>
    </row>
    <row r="2752" spans="12:12" x14ac:dyDescent="0.3">
      <c r="L2752" s="122"/>
    </row>
    <row r="2753" spans="12:12" x14ac:dyDescent="0.3">
      <c r="L2753" s="122"/>
    </row>
    <row r="2754" spans="12:12" x14ac:dyDescent="0.3">
      <c r="L2754" s="122"/>
    </row>
    <row r="2755" spans="12:12" x14ac:dyDescent="0.3">
      <c r="L2755" s="122"/>
    </row>
    <row r="2756" spans="12:12" x14ac:dyDescent="0.3">
      <c r="L2756" s="122"/>
    </row>
    <row r="2757" spans="12:12" x14ac:dyDescent="0.3">
      <c r="L2757" s="122"/>
    </row>
    <row r="2758" spans="12:12" x14ac:dyDescent="0.3">
      <c r="L2758" s="122"/>
    </row>
    <row r="2759" spans="12:12" x14ac:dyDescent="0.3">
      <c r="L2759" s="122"/>
    </row>
    <row r="2760" spans="12:12" x14ac:dyDescent="0.3">
      <c r="L2760" s="122"/>
    </row>
    <row r="2761" spans="12:12" x14ac:dyDescent="0.3">
      <c r="L2761" s="122"/>
    </row>
    <row r="2762" spans="12:12" x14ac:dyDescent="0.3">
      <c r="L2762" s="122"/>
    </row>
    <row r="2763" spans="12:12" x14ac:dyDescent="0.3">
      <c r="L2763" s="122"/>
    </row>
    <row r="2764" spans="12:12" x14ac:dyDescent="0.3">
      <c r="L2764" s="122"/>
    </row>
    <row r="2765" spans="12:12" x14ac:dyDescent="0.3">
      <c r="L2765" s="122"/>
    </row>
    <row r="2766" spans="12:12" x14ac:dyDescent="0.3">
      <c r="L2766" s="122"/>
    </row>
    <row r="2767" spans="12:12" x14ac:dyDescent="0.3">
      <c r="L2767" s="122"/>
    </row>
    <row r="2768" spans="12:12" x14ac:dyDescent="0.3">
      <c r="L2768" s="122"/>
    </row>
    <row r="2769" spans="12:12" x14ac:dyDescent="0.3">
      <c r="L2769" s="122"/>
    </row>
    <row r="2770" spans="12:12" x14ac:dyDescent="0.3">
      <c r="L2770" s="122"/>
    </row>
    <row r="2771" spans="12:12" x14ac:dyDescent="0.3">
      <c r="L2771" s="122"/>
    </row>
    <row r="2772" spans="12:12" x14ac:dyDescent="0.3">
      <c r="L2772" s="122"/>
    </row>
    <row r="2773" spans="12:12" x14ac:dyDescent="0.3">
      <c r="L2773" s="122"/>
    </row>
    <row r="2774" spans="12:12" x14ac:dyDescent="0.3">
      <c r="L2774" s="122"/>
    </row>
    <row r="2775" spans="12:12" x14ac:dyDescent="0.3">
      <c r="L2775" s="122"/>
    </row>
    <row r="2776" spans="12:12" x14ac:dyDescent="0.3">
      <c r="L2776" s="122"/>
    </row>
    <row r="2777" spans="12:12" x14ac:dyDescent="0.3">
      <c r="L2777" s="122"/>
    </row>
    <row r="2778" spans="12:12" x14ac:dyDescent="0.3">
      <c r="L2778" s="122"/>
    </row>
    <row r="2779" spans="12:12" x14ac:dyDescent="0.3">
      <c r="L2779" s="122"/>
    </row>
    <row r="2780" spans="12:12" x14ac:dyDescent="0.3">
      <c r="L2780" s="122"/>
    </row>
    <row r="2781" spans="12:12" x14ac:dyDescent="0.3">
      <c r="L2781" s="122"/>
    </row>
    <row r="2782" spans="12:12" x14ac:dyDescent="0.3">
      <c r="L2782" s="122"/>
    </row>
    <row r="2783" spans="12:12" x14ac:dyDescent="0.3">
      <c r="L2783" s="122"/>
    </row>
    <row r="2784" spans="12:12" x14ac:dyDescent="0.3">
      <c r="L2784" s="122"/>
    </row>
    <row r="2785" spans="12:12" x14ac:dyDescent="0.3">
      <c r="L2785" s="122"/>
    </row>
    <row r="2786" spans="12:12" x14ac:dyDescent="0.3">
      <c r="L2786" s="122"/>
    </row>
    <row r="2787" spans="12:12" x14ac:dyDescent="0.3">
      <c r="L2787" s="122"/>
    </row>
    <row r="2788" spans="12:12" x14ac:dyDescent="0.3">
      <c r="L2788" s="122"/>
    </row>
    <row r="2789" spans="12:12" x14ac:dyDescent="0.3">
      <c r="L2789" s="122"/>
    </row>
    <row r="2790" spans="12:12" x14ac:dyDescent="0.3">
      <c r="L2790" s="122"/>
    </row>
    <row r="2791" spans="12:12" x14ac:dyDescent="0.3">
      <c r="L2791" s="122"/>
    </row>
    <row r="2792" spans="12:12" x14ac:dyDescent="0.3">
      <c r="L2792" s="122"/>
    </row>
    <row r="2793" spans="12:12" x14ac:dyDescent="0.3">
      <c r="L2793" s="122"/>
    </row>
    <row r="2794" spans="12:12" x14ac:dyDescent="0.3">
      <c r="L2794" s="122"/>
    </row>
    <row r="2795" spans="12:12" x14ac:dyDescent="0.3">
      <c r="L2795" s="122"/>
    </row>
    <row r="2796" spans="12:12" x14ac:dyDescent="0.3">
      <c r="L2796" s="122"/>
    </row>
    <row r="2797" spans="12:12" x14ac:dyDescent="0.3">
      <c r="L2797" s="122"/>
    </row>
    <row r="2798" spans="12:12" x14ac:dyDescent="0.3">
      <c r="L2798" s="122"/>
    </row>
    <row r="2799" spans="12:12" x14ac:dyDescent="0.3">
      <c r="L2799" s="122"/>
    </row>
    <row r="2800" spans="12:12" x14ac:dyDescent="0.3">
      <c r="L2800" s="122"/>
    </row>
    <row r="2801" spans="12:12" x14ac:dyDescent="0.3">
      <c r="L2801" s="122"/>
    </row>
    <row r="2802" spans="12:12" x14ac:dyDescent="0.3">
      <c r="L2802" s="122"/>
    </row>
    <row r="2803" spans="12:12" x14ac:dyDescent="0.3">
      <c r="L2803" s="122"/>
    </row>
    <row r="2804" spans="12:12" x14ac:dyDescent="0.3">
      <c r="L2804" s="122"/>
    </row>
    <row r="2805" spans="12:12" x14ac:dyDescent="0.3">
      <c r="L2805" s="122"/>
    </row>
    <row r="2806" spans="12:12" x14ac:dyDescent="0.3">
      <c r="L2806" s="122"/>
    </row>
    <row r="2807" spans="12:12" x14ac:dyDescent="0.3">
      <c r="L2807" s="122"/>
    </row>
    <row r="2808" spans="12:12" x14ac:dyDescent="0.3">
      <c r="L2808" s="122"/>
    </row>
    <row r="2809" spans="12:12" x14ac:dyDescent="0.3">
      <c r="L2809" s="122"/>
    </row>
    <row r="2810" spans="12:12" x14ac:dyDescent="0.3">
      <c r="L2810" s="122"/>
    </row>
    <row r="2811" spans="12:12" x14ac:dyDescent="0.3">
      <c r="L2811" s="122"/>
    </row>
    <row r="2812" spans="12:12" x14ac:dyDescent="0.3">
      <c r="L2812" s="122"/>
    </row>
    <row r="2813" spans="12:12" x14ac:dyDescent="0.3">
      <c r="L2813" s="122"/>
    </row>
    <row r="2814" spans="12:12" x14ac:dyDescent="0.3">
      <c r="L2814" s="122"/>
    </row>
    <row r="2815" spans="12:12" x14ac:dyDescent="0.3">
      <c r="L2815" s="122"/>
    </row>
    <row r="2816" spans="12:12" x14ac:dyDescent="0.3">
      <c r="L2816" s="122"/>
    </row>
    <row r="2817" spans="12:12" x14ac:dyDescent="0.3">
      <c r="L2817" s="122"/>
    </row>
    <row r="2818" spans="12:12" x14ac:dyDescent="0.3">
      <c r="L2818" s="122"/>
    </row>
    <row r="2819" spans="12:12" x14ac:dyDescent="0.3">
      <c r="L2819" s="122"/>
    </row>
    <row r="2820" spans="12:12" x14ac:dyDescent="0.3">
      <c r="L2820" s="122"/>
    </row>
    <row r="2821" spans="12:12" x14ac:dyDescent="0.3">
      <c r="L2821" s="122"/>
    </row>
    <row r="2822" spans="12:12" x14ac:dyDescent="0.3">
      <c r="L2822" s="122"/>
    </row>
    <row r="2823" spans="12:12" x14ac:dyDescent="0.3">
      <c r="L2823" s="122"/>
    </row>
    <row r="2824" spans="12:12" x14ac:dyDescent="0.3">
      <c r="L2824" s="122"/>
    </row>
    <row r="2825" spans="12:12" x14ac:dyDescent="0.3">
      <c r="L2825" s="122"/>
    </row>
    <row r="2826" spans="12:12" x14ac:dyDescent="0.3">
      <c r="L2826" s="122"/>
    </row>
    <row r="2827" spans="12:12" x14ac:dyDescent="0.3">
      <c r="L2827" s="122"/>
    </row>
    <row r="2828" spans="12:12" x14ac:dyDescent="0.3">
      <c r="L2828" s="122"/>
    </row>
    <row r="2829" spans="12:12" x14ac:dyDescent="0.3">
      <c r="L2829" s="122"/>
    </row>
    <row r="2830" spans="12:12" x14ac:dyDescent="0.3">
      <c r="L2830" s="122"/>
    </row>
    <row r="2831" spans="12:12" x14ac:dyDescent="0.3">
      <c r="L2831" s="122"/>
    </row>
    <row r="2832" spans="12:12" x14ac:dyDescent="0.3">
      <c r="L2832" s="122"/>
    </row>
    <row r="2833" spans="12:12" x14ac:dyDescent="0.3">
      <c r="L2833" s="122"/>
    </row>
    <row r="2834" spans="12:12" x14ac:dyDescent="0.3">
      <c r="L2834" s="122"/>
    </row>
    <row r="2835" spans="12:12" x14ac:dyDescent="0.3">
      <c r="L2835" s="122"/>
    </row>
    <row r="2836" spans="12:12" x14ac:dyDescent="0.3">
      <c r="L2836" s="122"/>
    </row>
    <row r="2837" spans="12:12" x14ac:dyDescent="0.3">
      <c r="L2837" s="122"/>
    </row>
    <row r="2838" spans="12:12" x14ac:dyDescent="0.3">
      <c r="L2838" s="122"/>
    </row>
    <row r="2839" spans="12:12" x14ac:dyDescent="0.3">
      <c r="L2839" s="122"/>
    </row>
    <row r="2840" spans="12:12" x14ac:dyDescent="0.3">
      <c r="L2840" s="122"/>
    </row>
    <row r="2841" spans="12:12" x14ac:dyDescent="0.3">
      <c r="L2841" s="122"/>
    </row>
    <row r="2842" spans="12:12" x14ac:dyDescent="0.3">
      <c r="L2842" s="122"/>
    </row>
    <row r="2843" spans="12:12" x14ac:dyDescent="0.3">
      <c r="L2843" s="122"/>
    </row>
    <row r="2844" spans="12:12" x14ac:dyDescent="0.3">
      <c r="L2844" s="122"/>
    </row>
    <row r="2845" spans="12:12" x14ac:dyDescent="0.3">
      <c r="L2845" s="122"/>
    </row>
    <row r="2846" spans="12:12" x14ac:dyDescent="0.3">
      <c r="L2846" s="122"/>
    </row>
    <row r="2847" spans="12:12" x14ac:dyDescent="0.3">
      <c r="L2847" s="122"/>
    </row>
    <row r="2848" spans="12:12" x14ac:dyDescent="0.3">
      <c r="L2848" s="122"/>
    </row>
    <row r="2849" spans="12:12" x14ac:dyDescent="0.3">
      <c r="L2849" s="122"/>
    </row>
    <row r="2850" spans="12:12" x14ac:dyDescent="0.3">
      <c r="L2850" s="122"/>
    </row>
    <row r="2851" spans="12:12" x14ac:dyDescent="0.3">
      <c r="L2851" s="122"/>
    </row>
    <row r="2852" spans="12:12" x14ac:dyDescent="0.3">
      <c r="L2852" s="122"/>
    </row>
    <row r="2853" spans="12:12" x14ac:dyDescent="0.3">
      <c r="L2853" s="122"/>
    </row>
    <row r="2854" spans="12:12" x14ac:dyDescent="0.3">
      <c r="L2854" s="122"/>
    </row>
    <row r="2855" spans="12:12" x14ac:dyDescent="0.3">
      <c r="L2855" s="122"/>
    </row>
    <row r="2856" spans="12:12" x14ac:dyDescent="0.3">
      <c r="L2856" s="122"/>
    </row>
    <row r="2857" spans="12:12" x14ac:dyDescent="0.3">
      <c r="L2857" s="122"/>
    </row>
    <row r="2858" spans="12:12" x14ac:dyDescent="0.3">
      <c r="L2858" s="122"/>
    </row>
    <row r="2859" spans="12:12" x14ac:dyDescent="0.3">
      <c r="L2859" s="122"/>
    </row>
    <row r="2860" spans="12:12" x14ac:dyDescent="0.3">
      <c r="L2860" s="122"/>
    </row>
    <row r="2861" spans="12:12" x14ac:dyDescent="0.3">
      <c r="L2861" s="122"/>
    </row>
    <row r="2862" spans="12:12" x14ac:dyDescent="0.3">
      <c r="L2862" s="122"/>
    </row>
    <row r="2863" spans="12:12" x14ac:dyDescent="0.3">
      <c r="L2863" s="122"/>
    </row>
    <row r="2864" spans="12:12" x14ac:dyDescent="0.3">
      <c r="L2864" s="122"/>
    </row>
    <row r="2865" spans="12:12" x14ac:dyDescent="0.3">
      <c r="L2865" s="122"/>
    </row>
    <row r="2866" spans="12:12" x14ac:dyDescent="0.3">
      <c r="L2866" s="122"/>
    </row>
    <row r="2867" spans="12:12" x14ac:dyDescent="0.3">
      <c r="L2867" s="122"/>
    </row>
    <row r="2868" spans="12:12" x14ac:dyDescent="0.3">
      <c r="L2868" s="122"/>
    </row>
  </sheetData>
  <sheetProtection selectLockedCells="1"/>
  <protectedRanges>
    <protectedRange password="D2B3" sqref="N1:R1 P2:R2" name="Berechnungen"/>
    <protectedRange password="D2B3" sqref="N31:N40 O31:O41 N240 N141:N142 O141:O143 N30:O30 P30:P41 N140:O140 P140:P143 P228:P239 R240 Q228:Q240 N144:P226 N42:P139 Q30:R227 N3:R29 N241:R679" name="Berechnungen_1"/>
    <protectedRange password="D2B3" sqref="N41" name="Berechnungen_2"/>
    <protectedRange password="D2B3" sqref="N228:O239 R228:R239 N227:P227 O240:P240" name="Berechnungen_3"/>
  </protectedRanges>
  <autoFilter ref="A1:R679" xr:uid="{00000000-0009-0000-0000-000008000000}">
    <filterColumn colId="13" showButton="0"/>
    <filterColumn colId="14" showButton="0"/>
    <filterColumn colId="15" showButton="0"/>
  </autoFilter>
  <mergeCells count="4">
    <mergeCell ref="C2:E2"/>
    <mergeCell ref="A2:B3"/>
    <mergeCell ref="N1:Q1"/>
    <mergeCell ref="F2:K2"/>
  </mergeCells>
  <conditionalFormatting sqref="C6:C14">
    <cfRule type="cellIs" dxfId="69" priority="67" operator="greaterThan">
      <formula>0</formula>
    </cfRule>
  </conditionalFormatting>
  <conditionalFormatting sqref="C16:C28">
    <cfRule type="cellIs" dxfId="68" priority="66" operator="greaterThan">
      <formula>0</formula>
    </cfRule>
  </conditionalFormatting>
  <conditionalFormatting sqref="C30:C41">
    <cfRule type="cellIs" dxfId="67" priority="65" operator="greaterThan">
      <formula>0</formula>
    </cfRule>
  </conditionalFormatting>
  <conditionalFormatting sqref="C43:C55">
    <cfRule type="cellIs" dxfId="66" priority="64" operator="greaterThan">
      <formula>0</formula>
    </cfRule>
  </conditionalFormatting>
  <conditionalFormatting sqref="C57:C63">
    <cfRule type="cellIs" dxfId="65" priority="63" operator="greaterThan">
      <formula>0</formula>
    </cfRule>
  </conditionalFormatting>
  <conditionalFormatting sqref="C67:C72">
    <cfRule type="cellIs" dxfId="64" priority="62" operator="greaterThan">
      <formula>0</formula>
    </cfRule>
  </conditionalFormatting>
  <conditionalFormatting sqref="C74:C90">
    <cfRule type="cellIs" dxfId="63" priority="61" operator="greaterThan">
      <formula>0</formula>
    </cfRule>
  </conditionalFormatting>
  <conditionalFormatting sqref="C92:C102">
    <cfRule type="cellIs" dxfId="62" priority="60" operator="greaterThan">
      <formula>0</formula>
    </cfRule>
  </conditionalFormatting>
  <conditionalFormatting sqref="C104:C105">
    <cfRule type="cellIs" dxfId="61" priority="59" operator="greaterThan">
      <formula>0</formula>
    </cfRule>
  </conditionalFormatting>
  <conditionalFormatting sqref="C108:C118">
    <cfRule type="cellIs" dxfId="60" priority="58" operator="greaterThan">
      <formula>0</formula>
    </cfRule>
  </conditionalFormatting>
  <conditionalFormatting sqref="C120:C122">
    <cfRule type="cellIs" dxfId="59" priority="57" operator="greaterThan">
      <formula>0</formula>
    </cfRule>
  </conditionalFormatting>
  <conditionalFormatting sqref="C124:C126">
    <cfRule type="cellIs" dxfId="58" priority="56" operator="greaterThan">
      <formula>0</formula>
    </cfRule>
  </conditionalFormatting>
  <conditionalFormatting sqref="C129:C132">
    <cfRule type="cellIs" dxfId="57" priority="55" operator="greaterThan">
      <formula>0</formula>
    </cfRule>
  </conditionalFormatting>
  <conditionalFormatting sqref="C134:C143">
    <cfRule type="cellIs" dxfId="56" priority="53" operator="greaterThan">
      <formula>0</formula>
    </cfRule>
  </conditionalFormatting>
  <conditionalFormatting sqref="C146:C151">
    <cfRule type="cellIs" dxfId="55" priority="52" operator="greaterThan">
      <formula>0</formula>
    </cfRule>
  </conditionalFormatting>
  <conditionalFormatting sqref="C153:C163">
    <cfRule type="cellIs" dxfId="54" priority="51" operator="greaterThan">
      <formula>0</formula>
    </cfRule>
  </conditionalFormatting>
  <conditionalFormatting sqref="C165:C169">
    <cfRule type="cellIs" dxfId="53" priority="50" operator="greaterThan">
      <formula>0</formula>
    </cfRule>
  </conditionalFormatting>
  <conditionalFormatting sqref="C171:C174">
    <cfRule type="cellIs" dxfId="52" priority="49" operator="greaterThan">
      <formula>0</formula>
    </cfRule>
  </conditionalFormatting>
  <conditionalFormatting sqref="C176:C181">
    <cfRule type="cellIs" dxfId="51" priority="48" operator="greaterThan">
      <formula>0</formula>
    </cfRule>
  </conditionalFormatting>
  <conditionalFormatting sqref="C183:C188">
    <cfRule type="cellIs" dxfId="50" priority="46" operator="greaterThan">
      <formula>0</formula>
    </cfRule>
  </conditionalFormatting>
  <conditionalFormatting sqref="C190:C192">
    <cfRule type="cellIs" dxfId="49" priority="45" operator="greaterThan">
      <formula>0</formula>
    </cfRule>
  </conditionalFormatting>
  <conditionalFormatting sqref="C194:C222">
    <cfRule type="cellIs" dxfId="48" priority="44" operator="greaterThan">
      <formula>0</formula>
    </cfRule>
  </conditionalFormatting>
  <conditionalFormatting sqref="C224:C226">
    <cfRule type="cellIs" dxfId="47" priority="43" operator="greaterThan">
      <formula>0</formula>
    </cfRule>
  </conditionalFormatting>
  <conditionalFormatting sqref="C228:C239">
    <cfRule type="cellIs" dxfId="46" priority="42" operator="greaterThan">
      <formula>0</formula>
    </cfRule>
  </conditionalFormatting>
  <conditionalFormatting sqref="C242:C248">
    <cfRule type="cellIs" dxfId="45" priority="41" operator="greaterThan">
      <formula>0</formula>
    </cfRule>
  </conditionalFormatting>
  <conditionalFormatting sqref="C250:C292">
    <cfRule type="cellIs" dxfId="44" priority="40" operator="greaterThan">
      <formula>0</formula>
    </cfRule>
  </conditionalFormatting>
  <conditionalFormatting sqref="C294:C296">
    <cfRule type="cellIs" dxfId="43" priority="39" operator="greaterThan">
      <formula>0</formula>
    </cfRule>
  </conditionalFormatting>
  <conditionalFormatting sqref="C298:C303">
    <cfRule type="cellIs" dxfId="42" priority="38" operator="greaterThan">
      <formula>0</formula>
    </cfRule>
  </conditionalFormatting>
  <conditionalFormatting sqref="C305:C308">
    <cfRule type="cellIs" dxfId="41" priority="37" operator="greaterThan">
      <formula>0</formula>
    </cfRule>
  </conditionalFormatting>
  <conditionalFormatting sqref="C310:C316">
    <cfRule type="cellIs" dxfId="40" priority="36" operator="greaterThan">
      <formula>0</formula>
    </cfRule>
  </conditionalFormatting>
  <conditionalFormatting sqref="C318">
    <cfRule type="cellIs" dxfId="39" priority="35" operator="greaterThan">
      <formula>0</formula>
    </cfRule>
  </conditionalFormatting>
  <conditionalFormatting sqref="C321:C325">
    <cfRule type="cellIs" dxfId="38" priority="34" operator="greaterThan">
      <formula>0</formula>
    </cfRule>
  </conditionalFormatting>
  <conditionalFormatting sqref="C327:C339">
    <cfRule type="cellIs" dxfId="37" priority="33" operator="greaterThan">
      <formula>0</formula>
    </cfRule>
  </conditionalFormatting>
  <conditionalFormatting sqref="C341:C349">
    <cfRule type="cellIs" dxfId="36" priority="32" operator="greaterThan">
      <formula>0</formula>
    </cfRule>
  </conditionalFormatting>
  <conditionalFormatting sqref="C351:C367">
    <cfRule type="cellIs" dxfId="35" priority="31" operator="greaterThan">
      <formula>0</formula>
    </cfRule>
  </conditionalFormatting>
  <conditionalFormatting sqref="C370:C379">
    <cfRule type="cellIs" dxfId="34" priority="30" operator="greaterThan">
      <formula>0</formula>
    </cfRule>
  </conditionalFormatting>
  <conditionalFormatting sqref="C381:C391">
    <cfRule type="cellIs" dxfId="33" priority="29" operator="greaterThan">
      <formula>0</formula>
    </cfRule>
  </conditionalFormatting>
  <conditionalFormatting sqref="C394:C409">
    <cfRule type="cellIs" dxfId="32" priority="28" operator="greaterThan">
      <formula>0</formula>
    </cfRule>
  </conditionalFormatting>
  <conditionalFormatting sqref="C411:C422">
    <cfRule type="cellIs" dxfId="31" priority="27" operator="greaterThan">
      <formula>0</formula>
    </cfRule>
  </conditionalFormatting>
  <conditionalFormatting sqref="C424:C428">
    <cfRule type="cellIs" dxfId="30" priority="26" operator="greaterThan">
      <formula>0</formula>
    </cfRule>
  </conditionalFormatting>
  <conditionalFormatting sqref="C431:C436">
    <cfRule type="cellIs" dxfId="29" priority="25" operator="greaterThan">
      <formula>0</formula>
    </cfRule>
  </conditionalFormatting>
  <conditionalFormatting sqref="C438:C444">
    <cfRule type="cellIs" dxfId="28" priority="24" operator="greaterThan">
      <formula>0</formula>
    </cfRule>
  </conditionalFormatting>
  <conditionalFormatting sqref="C447:C453">
    <cfRule type="cellIs" dxfId="27" priority="23" operator="greaterThan">
      <formula>0</formula>
    </cfRule>
  </conditionalFormatting>
  <conditionalFormatting sqref="C455:C463">
    <cfRule type="cellIs" dxfId="26" priority="22" operator="greaterThan">
      <formula>0</formula>
    </cfRule>
  </conditionalFormatting>
  <conditionalFormatting sqref="C465:C490">
    <cfRule type="cellIs" dxfId="25" priority="21" operator="greaterThan">
      <formula>0</formula>
    </cfRule>
  </conditionalFormatting>
  <conditionalFormatting sqref="C492:C506">
    <cfRule type="cellIs" dxfId="24" priority="20" operator="greaterThan">
      <formula>0</formula>
    </cfRule>
  </conditionalFormatting>
  <conditionalFormatting sqref="C508:C516">
    <cfRule type="cellIs" dxfId="23" priority="19" operator="greaterThan">
      <formula>0</formula>
    </cfRule>
  </conditionalFormatting>
  <conditionalFormatting sqref="C518:C525">
    <cfRule type="cellIs" dxfId="22" priority="18" operator="greaterThan">
      <formula>0</formula>
    </cfRule>
  </conditionalFormatting>
  <conditionalFormatting sqref="C527:C531">
    <cfRule type="cellIs" dxfId="21" priority="17" operator="greaterThan">
      <formula>0</formula>
    </cfRule>
  </conditionalFormatting>
  <conditionalFormatting sqref="C533:C539">
    <cfRule type="cellIs" dxfId="20" priority="16" operator="greaterThan">
      <formula>0</formula>
    </cfRule>
  </conditionalFormatting>
  <conditionalFormatting sqref="C541:C549">
    <cfRule type="cellIs" dxfId="19" priority="15" operator="greaterThan">
      <formula>0</formula>
    </cfRule>
  </conditionalFormatting>
  <conditionalFormatting sqref="C551:C555">
    <cfRule type="cellIs" dxfId="18" priority="14" operator="greaterThan">
      <formula>0</formula>
    </cfRule>
  </conditionalFormatting>
  <conditionalFormatting sqref="C558:C570">
    <cfRule type="cellIs" dxfId="17" priority="13" operator="greaterThan">
      <formula>0</formula>
    </cfRule>
  </conditionalFormatting>
  <conditionalFormatting sqref="C572:C581">
    <cfRule type="cellIs" dxfId="16" priority="12" operator="greaterThan">
      <formula>0</formula>
    </cfRule>
  </conditionalFormatting>
  <conditionalFormatting sqref="C583:C586">
    <cfRule type="cellIs" dxfId="15" priority="11" operator="greaterThan">
      <formula>0</formula>
    </cfRule>
  </conditionalFormatting>
  <conditionalFormatting sqref="C588:C606">
    <cfRule type="cellIs" dxfId="14" priority="10" operator="greaterThan">
      <formula>0</formula>
    </cfRule>
  </conditionalFormatting>
  <conditionalFormatting sqref="C608:C628">
    <cfRule type="cellIs" dxfId="13" priority="9" operator="greaterThan">
      <formula>0</formula>
    </cfRule>
  </conditionalFormatting>
  <conditionalFormatting sqref="C630:C656">
    <cfRule type="cellIs" dxfId="12" priority="8" operator="greaterThan">
      <formula>0</formula>
    </cfRule>
  </conditionalFormatting>
  <conditionalFormatting sqref="C659:C661">
    <cfRule type="cellIs" dxfId="11" priority="7" operator="greaterThan">
      <formula>0</formula>
    </cfRule>
  </conditionalFormatting>
  <conditionalFormatting sqref="C663">
    <cfRule type="cellIs" dxfId="10" priority="6" operator="greaterThan">
      <formula>0</formula>
    </cfRule>
  </conditionalFormatting>
  <conditionalFormatting sqref="C665:C666">
    <cfRule type="cellIs" dxfId="9" priority="5" operator="greaterThan">
      <formula>0</formula>
    </cfRule>
  </conditionalFormatting>
  <conditionalFormatting sqref="C668">
    <cfRule type="cellIs" dxfId="8" priority="4" operator="greaterThan">
      <formula>0</formula>
    </cfRule>
  </conditionalFormatting>
  <conditionalFormatting sqref="C670:C672">
    <cfRule type="cellIs" dxfId="7" priority="3" operator="greaterThan">
      <formula>0</formula>
    </cfRule>
  </conditionalFormatting>
  <conditionalFormatting sqref="C674">
    <cfRule type="cellIs" dxfId="6" priority="2" operator="greaterThan">
      <formula>0</formula>
    </cfRule>
  </conditionalFormatting>
  <conditionalFormatting sqref="C676:C679">
    <cfRule type="cellIs" dxfId="5" priority="1" operator="greaterThan">
      <formula>0</formula>
    </cfRule>
  </conditionalFormatting>
  <conditionalFormatting sqref="D6:D14 D16:D28 D30:D41 D43:D55 D57:D63 D67:D72">
    <cfRule type="cellIs" dxfId="4" priority="74" operator="equal">
      <formula>"*"</formula>
    </cfRule>
  </conditionalFormatting>
  <conditionalFormatting sqref="D74:D90 D92:D102 D104:D105 D108:D118 D120:D122 D124:D126 D129:D132 D134:D138 D140:D143 D146:D151 D153:D163 D165:D169 D171:D174 D176:D181 D183:D188 D190:D192 D194:D222 D224:D226 D228:D239 D242:D248 D250:D284 D286:D292 D294:D296 D298:D303 D305:D308 D310:D316 D318 D321:D325 D327:D339 D341:D349 D351:D367 D370:D379 D381:D391 D394:D409 D411:D422 D424:D428 D431:D436 D438:D444 D447:D453 D455:D463 D465:D490 D492:D506 D508:D516 D518:D525 D527:D531 D533:D539 D551:D555">
    <cfRule type="cellIs" dxfId="3" priority="73" operator="equal">
      <formula>"*"</formula>
    </cfRule>
  </conditionalFormatting>
  <conditionalFormatting sqref="D541:D549">
    <cfRule type="cellIs" dxfId="2" priority="69" operator="equal">
      <formula>"*"</formula>
    </cfRule>
  </conditionalFormatting>
  <conditionalFormatting sqref="D558:D570 D572:D581 D583:D586 D588:D606">
    <cfRule type="cellIs" dxfId="1" priority="72" operator="equal">
      <formula>"*"</formula>
    </cfRule>
  </conditionalFormatting>
  <conditionalFormatting sqref="D608:D628 D630:D656 D659:D661 D663 D665:D666 D668 D670:D672 D674 D676:D679">
    <cfRule type="cellIs" dxfId="0" priority="71" operator="equal">
      <formula>"*"</formula>
    </cfRule>
  </conditionalFormatting>
  <pageMargins left="0.7" right="0.7" top="0.78740157499999996" bottom="0.78740157499999996" header="0.3" footer="0.3"/>
  <pageSetup paperSize="9" scale="66" fitToHeight="0" orientation="portrait" r:id="rId1"/>
  <ignoredErrors>
    <ignoredError sqref="N29" formulaRange="1"/>
    <ignoredError sqref="P15"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7"/>
  <dimension ref="A1:J23"/>
  <sheetViews>
    <sheetView zoomScale="80" zoomScaleNormal="80" workbookViewId="0">
      <selection activeCell="B18" sqref="B18"/>
    </sheetView>
  </sheetViews>
  <sheetFormatPr defaultColWidth="11.44140625" defaultRowHeight="13.2" x14ac:dyDescent="0.25"/>
  <cols>
    <col min="1" max="1" width="27.33203125" style="9" customWidth="1"/>
    <col min="2" max="2" width="13.33203125" style="9" customWidth="1"/>
    <col min="3" max="3" width="19" style="9" customWidth="1"/>
    <col min="4" max="4" width="13.44140625" style="9" customWidth="1"/>
    <col min="5" max="5" width="19.44140625" style="9" bestFit="1" customWidth="1"/>
    <col min="6" max="6" width="2.33203125" style="9" customWidth="1"/>
    <col min="7" max="7" width="12.44140625" style="9" customWidth="1"/>
    <col min="8" max="16384" width="11.44140625" style="9"/>
  </cols>
  <sheetData>
    <row r="1" spans="1:10" x14ac:dyDescent="0.25">
      <c r="E1" s="17"/>
      <c r="F1" s="17"/>
      <c r="G1" s="17"/>
    </row>
    <row r="2" spans="1:10" ht="13.8" thickBot="1" x14ac:dyDescent="0.3">
      <c r="B2" s="349" t="s">
        <v>1572</v>
      </c>
      <c r="C2" s="350"/>
      <c r="D2" s="350"/>
      <c r="E2" s="350"/>
    </row>
    <row r="3" spans="1:10" s="16" customFormat="1" ht="30.75" customHeight="1" thickBot="1" x14ac:dyDescent="0.3">
      <c r="A3" s="61" t="s">
        <v>1573</v>
      </c>
      <c r="B3" s="345" t="str">
        <f xml:space="preserve"> "Autoévaluation "&amp;Analyse!B1</f>
        <v>Autoévaluation Exemple SA</v>
      </c>
      <c r="C3" s="346"/>
      <c r="D3" s="347" t="s">
        <v>1574</v>
      </c>
      <c r="E3" s="348"/>
      <c r="G3" s="110" t="s">
        <v>1575</v>
      </c>
    </row>
    <row r="4" spans="1:10" s="16" customFormat="1" ht="30" customHeight="1" x14ac:dyDescent="0.25">
      <c r="A4" s="62"/>
      <c r="B4" s="63" t="s">
        <v>1576</v>
      </c>
      <c r="C4" s="63" t="s">
        <v>1577</v>
      </c>
      <c r="D4" s="63" t="s">
        <v>1576</v>
      </c>
      <c r="E4" s="63" t="s">
        <v>1577</v>
      </c>
      <c r="F4" s="59"/>
      <c r="G4" s="110" t="s">
        <v>1578</v>
      </c>
    </row>
    <row r="5" spans="1:10" ht="30" customHeight="1" x14ac:dyDescent="0.25">
      <c r="A5" s="14" t="str">
        <f>CONCATENATE(Analyse!A4," ",Analyse!B4)</f>
        <v>1 Ligne de conduite, objectifs et stratégie</v>
      </c>
      <c r="B5" s="15">
        <f>Analyse!C4</f>
        <v>0</v>
      </c>
      <c r="C5" s="60">
        <f>B5</f>
        <v>0</v>
      </c>
      <c r="D5" s="108">
        <f>Analyse!L4</f>
        <v>0</v>
      </c>
      <c r="E5" s="60">
        <f>D5</f>
        <v>0</v>
      </c>
      <c r="F5" s="13"/>
      <c r="G5" s="109">
        <f t="shared" ref="G5:G15" si="0">E5-C5</f>
        <v>0</v>
      </c>
      <c r="H5" s="10"/>
      <c r="I5" s="10"/>
      <c r="J5" s="10"/>
    </row>
    <row r="6" spans="1:10" ht="30" customHeight="1" x14ac:dyDescent="0.25">
      <c r="A6" s="14" t="str">
        <f>CONCATENATE(Analyse!A64," ",Analyse!B64)</f>
        <v>2. Organisation</v>
      </c>
      <c r="B6" s="15">
        <f>Analyse!C64</f>
        <v>0</v>
      </c>
      <c r="C6" s="60">
        <f t="shared" ref="C6:C15" si="1">B6</f>
        <v>0</v>
      </c>
      <c r="D6" s="108">
        <f>Analyse!L64</f>
        <v>0</v>
      </c>
      <c r="E6" s="60">
        <f t="shared" ref="E6:E15" si="2">D6</f>
        <v>0</v>
      </c>
      <c r="F6" s="13"/>
      <c r="G6" s="109">
        <f t="shared" si="0"/>
        <v>0</v>
      </c>
      <c r="H6" s="10"/>
      <c r="I6" s="10"/>
      <c r="J6" s="10"/>
    </row>
    <row r="7" spans="1:10" ht="30" customHeight="1" x14ac:dyDescent="0.25">
      <c r="A7" s="14" t="str">
        <f>CONCATENATE(Analyse!A144," ",Analyse!B144)</f>
        <v>3. Qualification, formation, communication</v>
      </c>
      <c r="B7" s="15">
        <f>Analyse!C144</f>
        <v>0</v>
      </c>
      <c r="C7" s="60">
        <f t="shared" si="1"/>
        <v>0</v>
      </c>
      <c r="D7" s="108">
        <f>Analyse!L144</f>
        <v>0</v>
      </c>
      <c r="E7" s="60">
        <f t="shared" si="2"/>
        <v>0</v>
      </c>
      <c r="F7" s="13"/>
      <c r="G7" s="109">
        <f t="shared" si="0"/>
        <v>0</v>
      </c>
      <c r="H7" s="10"/>
      <c r="I7" s="10"/>
      <c r="J7" s="10"/>
    </row>
    <row r="8" spans="1:10" ht="30" customHeight="1" x14ac:dyDescent="0.25">
      <c r="A8" s="14" t="str">
        <f>CONCATENATE(Analyse!A240," ",Analyse!B240)</f>
        <v>4. Règles de sécurité</v>
      </c>
      <c r="B8" s="15">
        <f>Analyse!C240</f>
        <v>0.5</v>
      </c>
      <c r="C8" s="60">
        <f t="shared" si="1"/>
        <v>0.5</v>
      </c>
      <c r="D8" s="108">
        <f>Analyse!L240</f>
        <v>0</v>
      </c>
      <c r="E8" s="60">
        <f t="shared" si="2"/>
        <v>0</v>
      </c>
      <c r="F8" s="13"/>
      <c r="G8" s="109">
        <f t="shared" si="0"/>
        <v>-0.5</v>
      </c>
      <c r="H8" s="10"/>
      <c r="I8" s="10"/>
      <c r="J8" s="10"/>
    </row>
    <row r="9" spans="1:10" ht="30" customHeight="1" x14ac:dyDescent="0.25">
      <c r="A9" s="14" t="str">
        <f>CONCATENATE(Analyse!A319," ",Analyse!B319)</f>
        <v>5. Détermination des phénomènes dangereux et évaluation des risques</v>
      </c>
      <c r="B9" s="15">
        <f>Analyse!C319</f>
        <v>3.4090909090909088E-2</v>
      </c>
      <c r="C9" s="60">
        <f>B9</f>
        <v>3.4090909090909088E-2</v>
      </c>
      <c r="D9" s="108">
        <f>Analyse!L319</f>
        <v>3.4090909090909088E-2</v>
      </c>
      <c r="E9" s="60">
        <f t="shared" si="2"/>
        <v>3.4090909090909088E-2</v>
      </c>
      <c r="F9" s="13"/>
      <c r="G9" s="109">
        <f t="shared" si="0"/>
        <v>0</v>
      </c>
      <c r="H9" s="10"/>
      <c r="I9" s="10"/>
      <c r="J9" s="10"/>
    </row>
    <row r="10" spans="1:10" ht="30" customHeight="1" x14ac:dyDescent="0.25">
      <c r="A10" s="14" t="str">
        <f>CONCATENATE(Analyse!A368," ",Analyse!B368)</f>
        <v>6. Mesures</v>
      </c>
      <c r="B10" s="15">
        <f>Analyse!C368</f>
        <v>0</v>
      </c>
      <c r="C10" s="60">
        <f t="shared" si="1"/>
        <v>0</v>
      </c>
      <c r="D10" s="108">
        <f>Analyse!L368</f>
        <v>0</v>
      </c>
      <c r="E10" s="60">
        <f t="shared" si="2"/>
        <v>0</v>
      </c>
      <c r="F10" s="13"/>
      <c r="G10" s="109">
        <f t="shared" si="0"/>
        <v>0</v>
      </c>
      <c r="H10" s="10"/>
      <c r="I10" s="10"/>
      <c r="J10" s="10"/>
    </row>
    <row r="11" spans="1:10" ht="30" customHeight="1" x14ac:dyDescent="0.25">
      <c r="A11" s="14" t="str">
        <f>CONCATENATE(Analyse!A392," ",Analyse!B392)</f>
        <v>7. Organisation en cas d’urgence</v>
      </c>
      <c r="B11" s="15">
        <f>Analyse!C392</f>
        <v>0</v>
      </c>
      <c r="C11" s="60">
        <f t="shared" si="1"/>
        <v>0</v>
      </c>
      <c r="D11" s="108">
        <f>Analyse!L392</f>
        <v>0</v>
      </c>
      <c r="E11" s="60">
        <f t="shared" si="2"/>
        <v>0</v>
      </c>
      <c r="F11" s="13"/>
      <c r="G11" s="109">
        <f t="shared" si="0"/>
        <v>0</v>
      </c>
      <c r="H11" s="10"/>
      <c r="I11" s="10"/>
      <c r="J11" s="10"/>
    </row>
    <row r="12" spans="1:10" ht="30" customHeight="1" x14ac:dyDescent="0.25">
      <c r="A12" s="14" t="str">
        <f>CONCATENATE(Analyse!A429," ",Analyse!B429)</f>
        <v>8. Participation</v>
      </c>
      <c r="B12" s="15">
        <f>Analyse!C429</f>
        <v>0</v>
      </c>
      <c r="C12" s="60">
        <f t="shared" si="1"/>
        <v>0</v>
      </c>
      <c r="D12" s="108">
        <f>Analyse!L429</f>
        <v>0</v>
      </c>
      <c r="E12" s="60">
        <f t="shared" si="2"/>
        <v>0</v>
      </c>
      <c r="F12" s="13"/>
      <c r="G12" s="109">
        <f t="shared" si="0"/>
        <v>0</v>
      </c>
      <c r="H12" s="10"/>
      <c r="I12" s="10"/>
      <c r="J12" s="10"/>
    </row>
    <row r="13" spans="1:10" ht="30" customHeight="1" x14ac:dyDescent="0.25">
      <c r="A13" s="14" t="str">
        <f>CONCATENATE(Analyse!A445," ",Analyse!B445)</f>
        <v>9. Protection de la santé</v>
      </c>
      <c r="B13" s="15">
        <f>Analyse!C445</f>
        <v>0.15227272727272725</v>
      </c>
      <c r="C13" s="60">
        <f t="shared" si="1"/>
        <v>0.15227272727272725</v>
      </c>
      <c r="D13" s="108">
        <f>Analyse!L445</f>
        <v>0.15227272727272725</v>
      </c>
      <c r="E13" s="60">
        <f t="shared" si="2"/>
        <v>0.15227272727272725</v>
      </c>
      <c r="F13" s="13"/>
      <c r="G13" s="109">
        <f t="shared" si="0"/>
        <v>0</v>
      </c>
      <c r="H13" s="10"/>
      <c r="I13" s="10"/>
      <c r="J13" s="10"/>
    </row>
    <row r="14" spans="1:10" ht="30" customHeight="1" x14ac:dyDescent="0.25">
      <c r="A14" s="14" t="str">
        <f>CONCATENATE(Analyse!A556," ",Analyse!B556)</f>
        <v>10. Contrôle, audit</v>
      </c>
      <c r="B14" s="15">
        <f>Analyse!C556</f>
        <v>0</v>
      </c>
      <c r="C14" s="60">
        <f t="shared" si="1"/>
        <v>0</v>
      </c>
      <c r="D14" s="108">
        <f>Analyse!L556</f>
        <v>0</v>
      </c>
      <c r="E14" s="60">
        <f t="shared" si="2"/>
        <v>0</v>
      </c>
      <c r="F14" s="13"/>
      <c r="G14" s="123">
        <f t="shared" si="0"/>
        <v>0</v>
      </c>
      <c r="H14" s="10"/>
      <c r="I14" s="10"/>
      <c r="J14" s="10"/>
    </row>
    <row r="15" spans="1:10" ht="30" customHeight="1" x14ac:dyDescent="0.25">
      <c r="A15" s="14" t="str">
        <f>CONCATENATE(Analyse!A587," ",Analyse!B587)</f>
        <v>11. Gestion des absences</v>
      </c>
      <c r="B15" s="15">
        <f>Analyse!C587</f>
        <v>0</v>
      </c>
      <c r="C15" s="60">
        <f t="shared" si="1"/>
        <v>0</v>
      </c>
      <c r="D15" s="108">
        <f>Analyse!L587</f>
        <v>0</v>
      </c>
      <c r="E15" s="60">
        <f t="shared" si="2"/>
        <v>0</v>
      </c>
      <c r="F15" s="13"/>
      <c r="G15" s="109">
        <f t="shared" si="0"/>
        <v>0</v>
      </c>
      <c r="H15" s="10"/>
      <c r="I15" s="10"/>
      <c r="J15" s="10"/>
    </row>
    <row r="16" spans="1:10" ht="30" customHeight="1" x14ac:dyDescent="0.25">
      <c r="A16" s="14" t="str">
        <f>CONCATENATE(Analyse!A607," ",Analyse!B607)</f>
        <v>12 Sécurité durant les loisirs (facultatif)</v>
      </c>
      <c r="B16" s="15">
        <f>Analyse!C607</f>
        <v>0</v>
      </c>
      <c r="C16" s="60">
        <f>B16</f>
        <v>0</v>
      </c>
      <c r="D16" s="108">
        <f>Analyse!L607</f>
        <v>0</v>
      </c>
      <c r="E16" s="60">
        <f t="shared" ref="E16:E18" si="3">D16</f>
        <v>0</v>
      </c>
      <c r="F16" s="13"/>
      <c r="G16" s="109">
        <f t="shared" ref="G16:G18" si="4">E16-C16</f>
        <v>0</v>
      </c>
      <c r="H16" s="10"/>
      <c r="I16" s="10"/>
      <c r="J16" s="10"/>
    </row>
    <row r="17" spans="1:10" ht="30" customHeight="1" x14ac:dyDescent="0.25">
      <c r="A17" s="14" t="str">
        <f>CONCATENATE(Analyse!A629," ",Analyse!B629)</f>
        <v>13 GSE: Gestion de la santé en entreprise (facultatif)</v>
      </c>
      <c r="B17" s="15">
        <f>Analyse!C629</f>
        <v>0</v>
      </c>
      <c r="C17" s="60">
        <f t="shared" ref="C17:C18" si="5">B17</f>
        <v>0</v>
      </c>
      <c r="D17" s="108">
        <f>Analyse!L629</f>
        <v>0</v>
      </c>
      <c r="E17" s="60">
        <f t="shared" si="3"/>
        <v>0</v>
      </c>
      <c r="F17" s="13"/>
      <c r="G17" s="109">
        <f t="shared" si="4"/>
        <v>0</v>
      </c>
      <c r="H17" s="10"/>
      <c r="I17" s="10"/>
      <c r="J17" s="10"/>
    </row>
    <row r="18" spans="1:10" ht="30" customHeight="1" x14ac:dyDescent="0.25">
      <c r="A18" s="14" t="str">
        <f>CONCATENATE(Analyse!A657," ",Analyse!B657)</f>
        <v>14 Extension pour ISO 45001 (facultatif)</v>
      </c>
      <c r="B18" s="15">
        <f>Analyse!C657</f>
        <v>0</v>
      </c>
      <c r="C18" s="60">
        <f t="shared" si="5"/>
        <v>0</v>
      </c>
      <c r="D18" s="108">
        <f>Analyse!L657</f>
        <v>0</v>
      </c>
      <c r="E18" s="60">
        <f t="shared" si="3"/>
        <v>0</v>
      </c>
      <c r="F18" s="13"/>
      <c r="G18" s="109">
        <f t="shared" si="4"/>
        <v>0</v>
      </c>
      <c r="H18" s="10"/>
      <c r="I18" s="10"/>
      <c r="J18" s="10"/>
    </row>
    <row r="19" spans="1:10" ht="21" x14ac:dyDescent="0.25">
      <c r="A19" s="12"/>
      <c r="B19" s="11"/>
      <c r="C19" s="11"/>
      <c r="D19" s="10"/>
      <c r="E19" s="10"/>
      <c r="F19" s="10"/>
      <c r="G19" s="10"/>
      <c r="H19" s="10"/>
      <c r="I19" s="10"/>
      <c r="J19" s="10"/>
    </row>
    <row r="20" spans="1:10" ht="21" x14ac:dyDescent="0.25">
      <c r="A20" s="12"/>
      <c r="B20" s="11"/>
      <c r="C20" s="11"/>
      <c r="D20" s="10"/>
      <c r="E20" s="10"/>
      <c r="F20" s="10"/>
      <c r="G20" s="10"/>
      <c r="H20" s="10"/>
      <c r="I20" s="10"/>
      <c r="J20" s="10"/>
    </row>
    <row r="21" spans="1:10" ht="21" x14ac:dyDescent="0.25">
      <c r="A21" s="12"/>
      <c r="B21" s="11"/>
      <c r="C21" s="11"/>
      <c r="D21" s="10"/>
      <c r="E21" s="10"/>
      <c r="F21" s="10"/>
      <c r="G21" s="10"/>
      <c r="H21" s="10"/>
      <c r="I21" s="10"/>
      <c r="J21" s="10"/>
    </row>
    <row r="22" spans="1:10" ht="21" x14ac:dyDescent="0.25">
      <c r="A22" s="12"/>
      <c r="B22" s="11"/>
      <c r="C22" s="11"/>
      <c r="D22" s="10"/>
      <c r="E22" s="10"/>
      <c r="F22" s="10"/>
      <c r="G22" s="10"/>
      <c r="H22" s="10"/>
      <c r="I22" s="10"/>
      <c r="J22" s="10"/>
    </row>
    <row r="23" spans="1:10" ht="21" x14ac:dyDescent="0.25">
      <c r="A23" s="12"/>
      <c r="B23" s="11"/>
      <c r="C23" s="11"/>
      <c r="D23" s="10"/>
      <c r="E23" s="10"/>
      <c r="F23" s="10"/>
      <c r="G23" s="10"/>
      <c r="H23" s="10"/>
      <c r="I23" s="10"/>
      <c r="J23" s="10"/>
    </row>
  </sheetData>
  <sheetProtection selectLockedCells="1"/>
  <mergeCells count="3">
    <mergeCell ref="B3:C3"/>
    <mergeCell ref="D3:E3"/>
    <mergeCell ref="B2:E2"/>
  </mergeCells>
  <pageMargins left="0.78740157499999996" right="0.78740157499999996" top="0.984251969" bottom="0.984251969" header="0.4921259845" footer="0.4921259845"/>
  <pageSetup paperSize="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81"/>
  <sheetViews>
    <sheetView workbookViewId="0">
      <selection activeCell="C13" sqref="C13"/>
    </sheetView>
  </sheetViews>
  <sheetFormatPr defaultColWidth="11.44140625" defaultRowHeight="14.4" x14ac:dyDescent="0.3"/>
  <cols>
    <col min="1" max="1" width="13.5546875" customWidth="1"/>
    <col min="2" max="2" width="26.109375" customWidth="1"/>
    <col min="3" max="3" width="104" customWidth="1"/>
  </cols>
  <sheetData>
    <row r="1" spans="1:3" ht="17.399999999999999" x14ac:dyDescent="0.3">
      <c r="A1" s="131" t="s">
        <v>1579</v>
      </c>
    </row>
    <row r="3" spans="1:3" x14ac:dyDescent="0.3">
      <c r="A3" s="132" t="s">
        <v>1580</v>
      </c>
      <c r="B3" s="132" t="s">
        <v>1581</v>
      </c>
      <c r="C3" s="132" t="s">
        <v>1582</v>
      </c>
    </row>
    <row r="4" spans="1:3" x14ac:dyDescent="0.3">
      <c r="A4" s="133" t="s">
        <v>1583</v>
      </c>
      <c r="B4" s="134" t="s">
        <v>1584</v>
      </c>
      <c r="C4" s="134" t="s">
        <v>1585</v>
      </c>
    </row>
    <row r="5" spans="1:3" x14ac:dyDescent="0.3">
      <c r="A5" s="156" t="s">
        <v>1586</v>
      </c>
      <c r="B5" s="137"/>
      <c r="C5" s="137"/>
    </row>
    <row r="6" spans="1:3" x14ac:dyDescent="0.3">
      <c r="A6" s="157">
        <v>45061</v>
      </c>
      <c r="B6" s="137"/>
      <c r="C6" s="137"/>
    </row>
    <row r="7" spans="1:3" x14ac:dyDescent="0.3">
      <c r="A7" s="136"/>
      <c r="B7" s="137" t="s">
        <v>1587</v>
      </c>
      <c r="C7" s="137" t="s">
        <v>1588</v>
      </c>
    </row>
    <row r="8" spans="1:3" x14ac:dyDescent="0.3">
      <c r="A8" s="136"/>
      <c r="B8" s="137" t="s">
        <v>1584</v>
      </c>
      <c r="C8" s="138" t="s">
        <v>1588</v>
      </c>
    </row>
    <row r="9" spans="1:3" x14ac:dyDescent="0.3">
      <c r="A9" s="142" t="s">
        <v>1589</v>
      </c>
      <c r="B9" s="143" t="s">
        <v>1590</v>
      </c>
      <c r="C9" s="144" t="s">
        <v>1591</v>
      </c>
    </row>
    <row r="10" spans="1:3" x14ac:dyDescent="0.3">
      <c r="A10" s="154" t="s">
        <v>1586</v>
      </c>
      <c r="B10" s="145"/>
      <c r="C10" s="146"/>
    </row>
    <row r="11" spans="1:3" x14ac:dyDescent="0.3">
      <c r="A11" s="155">
        <v>45028</v>
      </c>
      <c r="B11" s="145"/>
      <c r="C11" s="146"/>
    </row>
    <row r="12" spans="1:3" x14ac:dyDescent="0.3">
      <c r="A12" s="155"/>
      <c r="B12" s="145" t="s">
        <v>1587</v>
      </c>
      <c r="C12" s="146" t="s">
        <v>1588</v>
      </c>
    </row>
    <row r="13" spans="1:3" x14ac:dyDescent="0.3">
      <c r="A13" s="155"/>
      <c r="B13" s="145" t="s">
        <v>1584</v>
      </c>
      <c r="C13" s="146" t="s">
        <v>1588</v>
      </c>
    </row>
    <row r="14" spans="1:3" x14ac:dyDescent="0.3">
      <c r="A14" s="133" t="s">
        <v>1592</v>
      </c>
      <c r="B14" s="134" t="s">
        <v>1584</v>
      </c>
      <c r="C14" s="134" t="s">
        <v>1593</v>
      </c>
    </row>
    <row r="15" spans="1:3" x14ac:dyDescent="0.3">
      <c r="A15" s="156" t="s">
        <v>1586</v>
      </c>
      <c r="B15" s="137" t="s">
        <v>1587</v>
      </c>
      <c r="C15" s="137" t="s">
        <v>1588</v>
      </c>
    </row>
    <row r="16" spans="1:3" x14ac:dyDescent="0.3">
      <c r="A16" s="157">
        <v>44841</v>
      </c>
      <c r="B16" s="137" t="s">
        <v>1594</v>
      </c>
      <c r="C16" s="137" t="s">
        <v>1595</v>
      </c>
    </row>
    <row r="17" spans="1:3" x14ac:dyDescent="0.3">
      <c r="A17" s="136"/>
      <c r="B17" s="137" t="s">
        <v>1594</v>
      </c>
      <c r="C17" s="137" t="s">
        <v>1596</v>
      </c>
    </row>
    <row r="18" spans="1:3" x14ac:dyDescent="0.3">
      <c r="A18" s="136"/>
      <c r="B18" s="137" t="s">
        <v>1584</v>
      </c>
      <c r="C18" s="137" t="s">
        <v>1597</v>
      </c>
    </row>
    <row r="19" spans="1:3" x14ac:dyDescent="0.3">
      <c r="A19" s="136"/>
      <c r="B19" s="137"/>
      <c r="C19" s="138"/>
    </row>
    <row r="20" spans="1:3" x14ac:dyDescent="0.3">
      <c r="A20" s="142" t="s">
        <v>1598</v>
      </c>
      <c r="B20" s="143" t="s">
        <v>1584</v>
      </c>
      <c r="C20" s="144" t="s">
        <v>1593</v>
      </c>
    </row>
    <row r="21" spans="1:3" x14ac:dyDescent="0.3">
      <c r="A21" s="154" t="s">
        <v>1586</v>
      </c>
      <c r="B21" s="145" t="s">
        <v>1587</v>
      </c>
      <c r="C21" s="146" t="s">
        <v>1588</v>
      </c>
    </row>
    <row r="22" spans="1:3" x14ac:dyDescent="0.3">
      <c r="A22" s="155">
        <v>43712</v>
      </c>
      <c r="B22" s="145" t="s">
        <v>1584</v>
      </c>
      <c r="C22" s="146" t="s">
        <v>1599</v>
      </c>
    </row>
    <row r="23" spans="1:3" x14ac:dyDescent="0.3">
      <c r="A23" s="155"/>
      <c r="B23" s="145" t="s">
        <v>1600</v>
      </c>
      <c r="C23" s="146" t="s">
        <v>1601</v>
      </c>
    </row>
    <row r="24" spans="1:3" x14ac:dyDescent="0.3">
      <c r="A24" s="155"/>
      <c r="B24" s="148" t="s">
        <v>1594</v>
      </c>
      <c r="C24" s="146" t="s">
        <v>1602</v>
      </c>
    </row>
    <row r="25" spans="1:3" x14ac:dyDescent="0.3">
      <c r="A25" s="133" t="s">
        <v>1603</v>
      </c>
      <c r="B25" s="134" t="s">
        <v>1584</v>
      </c>
      <c r="C25" s="134" t="s">
        <v>1593</v>
      </c>
    </row>
    <row r="26" spans="1:3" x14ac:dyDescent="0.3">
      <c r="A26" s="156" t="s">
        <v>1586</v>
      </c>
      <c r="B26" s="137" t="s">
        <v>1587</v>
      </c>
      <c r="C26" s="137" t="s">
        <v>1588</v>
      </c>
    </row>
    <row r="27" spans="1:3" x14ac:dyDescent="0.3">
      <c r="A27" s="157">
        <v>42548</v>
      </c>
      <c r="B27" s="137" t="s">
        <v>1594</v>
      </c>
      <c r="C27" s="137" t="s">
        <v>1604</v>
      </c>
    </row>
    <row r="28" spans="1:3" x14ac:dyDescent="0.3">
      <c r="A28" s="136"/>
      <c r="B28" s="137" t="s">
        <v>1594</v>
      </c>
      <c r="C28" s="137" t="s">
        <v>1605</v>
      </c>
    </row>
    <row r="29" spans="1:3" x14ac:dyDescent="0.3">
      <c r="A29" s="136"/>
      <c r="B29" s="137" t="s">
        <v>1594</v>
      </c>
      <c r="C29" s="137" t="s">
        <v>1606</v>
      </c>
    </row>
    <row r="30" spans="1:3" x14ac:dyDescent="0.3">
      <c r="A30" s="136"/>
      <c r="B30" s="137" t="s">
        <v>1594</v>
      </c>
      <c r="C30" s="138" t="s">
        <v>1607</v>
      </c>
    </row>
    <row r="31" spans="1:3" x14ac:dyDescent="0.3">
      <c r="A31" s="136"/>
      <c r="B31" s="137" t="s">
        <v>1594</v>
      </c>
      <c r="C31" s="138" t="s">
        <v>1608</v>
      </c>
    </row>
    <row r="32" spans="1:3" x14ac:dyDescent="0.3">
      <c r="A32" s="136"/>
      <c r="B32" s="137" t="s">
        <v>1594</v>
      </c>
      <c r="C32" s="138" t="s">
        <v>1609</v>
      </c>
    </row>
    <row r="33" spans="1:3" x14ac:dyDescent="0.3">
      <c r="A33" s="136"/>
      <c r="B33" s="137" t="s">
        <v>1610</v>
      </c>
      <c r="C33" s="138" t="s">
        <v>1611</v>
      </c>
    </row>
    <row r="34" spans="1:3" x14ac:dyDescent="0.3">
      <c r="A34" s="136"/>
      <c r="B34" s="137"/>
      <c r="C34" s="138"/>
    </row>
    <row r="35" spans="1:3" x14ac:dyDescent="0.3">
      <c r="A35" s="142" t="s">
        <v>1612</v>
      </c>
      <c r="B35" s="143" t="s">
        <v>1584</v>
      </c>
      <c r="C35" s="144" t="s">
        <v>1593</v>
      </c>
    </row>
    <row r="36" spans="1:3" x14ac:dyDescent="0.3">
      <c r="A36" s="154" t="s">
        <v>1586</v>
      </c>
      <c r="B36" s="145" t="s">
        <v>1587</v>
      </c>
      <c r="C36" s="146" t="s">
        <v>1588</v>
      </c>
    </row>
    <row r="37" spans="1:3" x14ac:dyDescent="0.3">
      <c r="A37" s="155">
        <v>42555</v>
      </c>
      <c r="B37" s="145" t="s">
        <v>1594</v>
      </c>
      <c r="C37" s="146" t="s">
        <v>1613</v>
      </c>
    </row>
    <row r="38" spans="1:3" x14ac:dyDescent="0.3">
      <c r="A38" s="155"/>
      <c r="B38" s="145" t="s">
        <v>1594</v>
      </c>
      <c r="C38" s="146" t="s">
        <v>1614</v>
      </c>
    </row>
    <row r="39" spans="1:3" x14ac:dyDescent="0.3">
      <c r="A39" s="155"/>
      <c r="B39" s="145" t="s">
        <v>1594</v>
      </c>
      <c r="C39" s="146" t="s">
        <v>1615</v>
      </c>
    </row>
    <row r="40" spans="1:3" x14ac:dyDescent="0.3">
      <c r="A40" s="155"/>
      <c r="B40" s="145" t="s">
        <v>1594</v>
      </c>
      <c r="C40" s="146" t="s">
        <v>1616</v>
      </c>
    </row>
    <row r="41" spans="1:3" x14ac:dyDescent="0.3">
      <c r="A41" s="155"/>
      <c r="B41" s="145" t="s">
        <v>1617</v>
      </c>
      <c r="C41" s="146" t="s">
        <v>1618</v>
      </c>
    </row>
    <row r="42" spans="1:3" x14ac:dyDescent="0.3">
      <c r="A42" s="133" t="s">
        <v>1619</v>
      </c>
      <c r="B42" s="134" t="s">
        <v>1584</v>
      </c>
      <c r="C42" s="134" t="s">
        <v>1593</v>
      </c>
    </row>
    <row r="43" spans="1:3" x14ac:dyDescent="0.3">
      <c r="A43" s="156" t="s">
        <v>1586</v>
      </c>
      <c r="B43" s="137" t="s">
        <v>1587</v>
      </c>
      <c r="C43" s="137" t="s">
        <v>1588</v>
      </c>
    </row>
    <row r="44" spans="1:3" x14ac:dyDescent="0.3">
      <c r="A44" s="157">
        <v>42499</v>
      </c>
      <c r="B44" s="137" t="s">
        <v>1594</v>
      </c>
      <c r="C44" s="137" t="s">
        <v>1620</v>
      </c>
    </row>
    <row r="45" spans="1:3" x14ac:dyDescent="0.3">
      <c r="A45" s="136"/>
      <c r="B45" s="140"/>
      <c r="C45" s="140"/>
    </row>
    <row r="46" spans="1:3" x14ac:dyDescent="0.3">
      <c r="A46" s="142" t="s">
        <v>1621</v>
      </c>
      <c r="B46" s="143" t="s">
        <v>1584</v>
      </c>
      <c r="C46" s="144" t="s">
        <v>1593</v>
      </c>
    </row>
    <row r="47" spans="1:3" x14ac:dyDescent="0.3">
      <c r="A47" s="154" t="s">
        <v>1586</v>
      </c>
      <c r="B47" s="145" t="s">
        <v>1587</v>
      </c>
      <c r="C47" s="146" t="s">
        <v>1588</v>
      </c>
    </row>
    <row r="48" spans="1:3" x14ac:dyDescent="0.3">
      <c r="A48" s="155">
        <v>42492</v>
      </c>
      <c r="B48" s="145" t="s">
        <v>1622</v>
      </c>
      <c r="C48" s="146" t="s">
        <v>1623</v>
      </c>
    </row>
    <row r="49" spans="1:3" x14ac:dyDescent="0.3">
      <c r="A49" s="155"/>
      <c r="B49" s="145" t="s">
        <v>1594</v>
      </c>
      <c r="C49" s="146" t="s">
        <v>1624</v>
      </c>
    </row>
    <row r="50" spans="1:3" x14ac:dyDescent="0.3">
      <c r="A50" s="155"/>
      <c r="B50" s="145" t="s">
        <v>1594</v>
      </c>
      <c r="C50" s="146" t="s">
        <v>1625</v>
      </c>
    </row>
    <row r="51" spans="1:3" x14ac:dyDescent="0.3">
      <c r="A51" s="155"/>
      <c r="B51" s="145" t="s">
        <v>1626</v>
      </c>
      <c r="C51" s="146" t="s">
        <v>1627</v>
      </c>
    </row>
    <row r="52" spans="1:3" x14ac:dyDescent="0.3">
      <c r="A52" s="147"/>
      <c r="B52" s="148"/>
      <c r="C52" s="149"/>
    </row>
    <row r="53" spans="1:3" x14ac:dyDescent="0.3">
      <c r="A53" s="134" t="s">
        <v>1628</v>
      </c>
      <c r="B53" s="134" t="s">
        <v>1584</v>
      </c>
      <c r="C53" s="134" t="s">
        <v>1593</v>
      </c>
    </row>
    <row r="54" spans="1:3" x14ac:dyDescent="0.3">
      <c r="A54" s="156" t="s">
        <v>1586</v>
      </c>
      <c r="B54" s="137" t="s">
        <v>1587</v>
      </c>
      <c r="C54" s="137" t="s">
        <v>1588</v>
      </c>
    </row>
    <row r="55" spans="1:3" x14ac:dyDescent="0.3">
      <c r="A55" s="157">
        <v>42458</v>
      </c>
      <c r="B55" s="137" t="s">
        <v>1587</v>
      </c>
      <c r="C55" s="137" t="s">
        <v>1629</v>
      </c>
    </row>
    <row r="56" spans="1:3" x14ac:dyDescent="0.3">
      <c r="A56" s="137"/>
      <c r="B56" s="137" t="s">
        <v>1630</v>
      </c>
      <c r="C56" s="137" t="s">
        <v>1631</v>
      </c>
    </row>
    <row r="57" spans="1:3" x14ac:dyDescent="0.3">
      <c r="A57" s="137"/>
      <c r="B57" s="137" t="s">
        <v>1622</v>
      </c>
      <c r="C57" s="137" t="s">
        <v>1632</v>
      </c>
    </row>
    <row r="58" spans="1:3" x14ac:dyDescent="0.3">
      <c r="A58" s="140"/>
      <c r="B58" s="140"/>
      <c r="C58" s="140"/>
    </row>
    <row r="59" spans="1:3" x14ac:dyDescent="0.3">
      <c r="A59" s="142" t="s">
        <v>1633</v>
      </c>
      <c r="B59" s="145" t="s">
        <v>1584</v>
      </c>
      <c r="C59" s="146" t="s">
        <v>1593</v>
      </c>
    </row>
    <row r="60" spans="1:3" x14ac:dyDescent="0.3">
      <c r="A60" s="154" t="s">
        <v>1586</v>
      </c>
      <c r="B60" s="145" t="s">
        <v>1587</v>
      </c>
      <c r="C60" s="146" t="s">
        <v>1588</v>
      </c>
    </row>
    <row r="61" spans="1:3" x14ac:dyDescent="0.3">
      <c r="A61" s="155">
        <v>42437</v>
      </c>
      <c r="B61" s="145" t="s">
        <v>1594</v>
      </c>
      <c r="C61" s="146" t="s">
        <v>1634</v>
      </c>
    </row>
    <row r="62" spans="1:3" x14ac:dyDescent="0.3">
      <c r="A62" s="155"/>
      <c r="B62" s="145" t="s">
        <v>1594</v>
      </c>
      <c r="C62" s="146" t="s">
        <v>1635</v>
      </c>
    </row>
    <row r="63" spans="1:3" x14ac:dyDescent="0.3">
      <c r="A63" s="155"/>
      <c r="B63" s="145" t="s">
        <v>1594</v>
      </c>
      <c r="C63" s="146" t="s">
        <v>1636</v>
      </c>
    </row>
    <row r="64" spans="1:3" x14ac:dyDescent="0.3">
      <c r="A64" s="155"/>
      <c r="B64" s="145" t="s">
        <v>1594</v>
      </c>
      <c r="C64" s="146" t="s">
        <v>1637</v>
      </c>
    </row>
    <row r="65" spans="1:3" x14ac:dyDescent="0.3">
      <c r="A65" s="147"/>
      <c r="B65" s="148"/>
      <c r="C65" s="149"/>
    </row>
    <row r="66" spans="1:3" x14ac:dyDescent="0.3">
      <c r="A66" s="133" t="s">
        <v>1638</v>
      </c>
      <c r="B66" s="134" t="s">
        <v>1587</v>
      </c>
      <c r="C66" s="135" t="s">
        <v>1639</v>
      </c>
    </row>
    <row r="67" spans="1:3" x14ac:dyDescent="0.3">
      <c r="A67" s="136"/>
      <c r="B67" s="137" t="s">
        <v>1640</v>
      </c>
      <c r="C67" s="138" t="s">
        <v>1641</v>
      </c>
    </row>
    <row r="68" spans="1:3" x14ac:dyDescent="0.3">
      <c r="A68" s="156" t="s">
        <v>1586</v>
      </c>
      <c r="B68" s="137" t="s">
        <v>1642</v>
      </c>
      <c r="C68" s="138" t="s">
        <v>1641</v>
      </c>
    </row>
    <row r="69" spans="1:3" x14ac:dyDescent="0.3">
      <c r="A69" s="157">
        <v>42401</v>
      </c>
      <c r="B69" s="137" t="s">
        <v>1643</v>
      </c>
      <c r="C69" s="138" t="s">
        <v>1644</v>
      </c>
    </row>
    <row r="70" spans="1:3" x14ac:dyDescent="0.3">
      <c r="A70" s="136"/>
      <c r="B70" s="137" t="s">
        <v>1579</v>
      </c>
      <c r="C70" s="138" t="s">
        <v>1645</v>
      </c>
    </row>
    <row r="71" spans="1:3" x14ac:dyDescent="0.3">
      <c r="A71" s="136"/>
      <c r="B71" s="137" t="s">
        <v>1584</v>
      </c>
      <c r="C71" s="138" t="s">
        <v>1593</v>
      </c>
    </row>
    <row r="72" spans="1:3" x14ac:dyDescent="0.3">
      <c r="A72" s="136"/>
      <c r="B72" s="137" t="s">
        <v>1587</v>
      </c>
      <c r="C72" s="138" t="s">
        <v>1646</v>
      </c>
    </row>
    <row r="73" spans="1:3" x14ac:dyDescent="0.3">
      <c r="A73" s="139"/>
      <c r="B73" s="140"/>
      <c r="C73" s="141"/>
    </row>
    <row r="74" spans="1:3" x14ac:dyDescent="0.3">
      <c r="A74" s="142" t="s">
        <v>1647</v>
      </c>
      <c r="B74" s="143"/>
      <c r="C74" s="144" t="s">
        <v>1648</v>
      </c>
    </row>
    <row r="75" spans="1:3" x14ac:dyDescent="0.3">
      <c r="A75" s="154" t="s">
        <v>1586</v>
      </c>
      <c r="B75" s="145"/>
      <c r="C75" s="146" t="s">
        <v>1649</v>
      </c>
    </row>
    <row r="76" spans="1:3" x14ac:dyDescent="0.3">
      <c r="A76" s="155">
        <v>42352</v>
      </c>
      <c r="B76" s="145"/>
      <c r="C76" s="146" t="s">
        <v>1650</v>
      </c>
    </row>
    <row r="77" spans="1:3" x14ac:dyDescent="0.3">
      <c r="A77" s="147"/>
      <c r="B77" s="148"/>
      <c r="C77" s="149"/>
    </row>
    <row r="78" spans="1:3" x14ac:dyDescent="0.3">
      <c r="C78" s="150"/>
    </row>
    <row r="79" spans="1:3" x14ac:dyDescent="0.3">
      <c r="C79" s="150"/>
    </row>
    <row r="80" spans="1:3" x14ac:dyDescent="0.3">
      <c r="C80" s="150"/>
    </row>
    <row r="81" spans="3:3" x14ac:dyDescent="0.3">
      <c r="C81" s="150"/>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859D6B2F2F8B184B84CD1A0E1ADAAB78" ma:contentTypeVersion="20" ma:contentTypeDescription="Ein neues Dokument erstellen." ma:contentTypeScope="" ma:versionID="3fcfa37e0be72f645c279f7488897fb0">
  <xsd:schema xmlns:xsd="http://www.w3.org/2001/XMLSchema" xmlns:xs="http://www.w3.org/2001/XMLSchema" xmlns:p="http://schemas.microsoft.com/office/2006/metadata/properties" xmlns:ns1="http://schemas.microsoft.com/sharepoint/v3" xmlns:ns2="4b2400fe-f831-49a8-a009-c60ecffd4822" xmlns:ns3="a808b08c-7c2d-4bd0-a9ec-71cceca54455" targetNamespace="http://schemas.microsoft.com/office/2006/metadata/properties" ma:root="true" ma:fieldsID="47a7f7023c42d4d432f1ab1db246cb28" ns1:_="" ns2:_="" ns3:_="">
    <xsd:import namespace="http://schemas.microsoft.com/sharepoint/v3"/>
    <xsd:import namespace="4b2400fe-f831-49a8-a009-c60ecffd4822"/>
    <xsd:import namespace="a808b08c-7c2d-4bd0-a9ec-71cceca544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test"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Eigenschaften der einheitlichen Compliancerichtlinie" ma:hidden="true" ma:internalName="_ip_UnifiedCompliancePolicyProperties">
      <xsd:simpleType>
        <xsd:restriction base="dms:Note"/>
      </xsd:simpleType>
    </xsd:element>
    <xsd:element name="_ip_UnifiedCompliancePolicyUIAction" ma:index="26"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2400fe-f831-49a8-a009-c60ecffd48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tatus Unterschrift" ma:internalName="Status_x0020_Unterschrift">
      <xsd:simpleType>
        <xsd:restriction base="dms:Text"/>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5398598b-1692-41ba-b181-08e92b7f903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test" ma:index="21" nillable="true" ma:displayName="test" ma:format="Dropdown" ma:internalName="test" ma:percentage="FALSE">
      <xsd:simpleType>
        <xsd:restriction base="dms:Number"/>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08b08c-7c2d-4bd0-a9ec-71cceca5445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5" nillable="true" ma:displayName="Taxonomy Catch All Column" ma:hidden="true" ma:list="{d1db793e-95a7-416f-a27c-636b26f16c80}" ma:internalName="TaxCatchAll" ma:showField="CatchAllData" ma:web="a808b08c-7c2d-4bd0-a9ec-71cceca544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4b2400fe-f831-49a8-a009-c60ecffd4822" xsi:nil="true"/>
    <lcf76f155ced4ddcb4097134ff3c332f xmlns="4b2400fe-f831-49a8-a009-c60ecffd4822">
      <Terms xmlns="http://schemas.microsoft.com/office/infopath/2007/PartnerControls"/>
    </lcf76f155ced4ddcb4097134ff3c332f>
    <TaxCatchAll xmlns="a808b08c-7c2d-4bd0-a9ec-71cceca54455" xsi:nil="true"/>
    <_Flow_SignoffStatus xmlns="4b2400fe-f831-49a8-a009-c60ecffd4822"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53F2BF9-8EEA-4CB2-B6AC-15AF4F44F1DF}">
  <ds:schemaRefs>
    <ds:schemaRef ds:uri="http://schemas.microsoft.com/sharepoint/v3/contenttype/forms"/>
  </ds:schemaRefs>
</ds:datastoreItem>
</file>

<file path=customXml/itemProps2.xml><?xml version="1.0" encoding="utf-8"?>
<ds:datastoreItem xmlns:ds="http://schemas.openxmlformats.org/officeDocument/2006/customXml" ds:itemID="{ADB6E900-26DC-455B-B331-9212709BF8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2400fe-f831-49a8-a009-c60ecffd4822"/>
    <ds:schemaRef ds:uri="a808b08c-7c2d-4bd0-a9ec-71cceca54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606DC3-53D8-4925-AEFD-7BDEF48BE2AA}">
  <ds:schemaRefs>
    <ds:schemaRef ds:uri="http://schemas.microsoft.com/office/2006/metadata/properties"/>
    <ds:schemaRef ds:uri="http://schemas.microsoft.com/office/infopath/2007/PartnerControls"/>
    <ds:schemaRef ds:uri="4b2400fe-f831-49a8-a009-c60ecffd4822"/>
    <ds:schemaRef ds:uri="a808b08c-7c2d-4bd0-a9ec-71cceca54455"/>
    <ds:schemaRef ds:uri="http://schemas.microsoft.com/sharepoint/v3"/>
  </ds:schemaRefs>
</ds:datastoreItem>
</file>

<file path=docMetadata/LabelInfo.xml><?xml version="1.0" encoding="utf-8"?>
<clbl:labelList xmlns:clbl="http://schemas.microsoft.com/office/2020/mipLabelMetadata">
  <clbl:label id="{40f20d95-30f1-4757-92d7-5495691a0c29}" enabled="1" method="Privileged" siteId="{98616167-5668-4e66-acbf-925e81df8b0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6</vt:i4>
      </vt:variant>
    </vt:vector>
  </HeadingPairs>
  <TitlesOfParts>
    <vt:vector size="16" baseType="lpstr">
      <vt:lpstr>Instructions</vt:lpstr>
      <vt:lpstr>Fiche signalétique</vt:lpstr>
      <vt:lpstr>Interlocuteurs sécurité</vt:lpstr>
      <vt:lpstr>Autoévaluation client</vt:lpstr>
      <vt:lpstr>Annexes</vt:lpstr>
      <vt:lpstr>Analyse</vt:lpstr>
      <vt:lpstr>Auswertungen</vt:lpstr>
      <vt:lpstr>Versionenprotokoll</vt:lpstr>
      <vt:lpstr>Spinne ohne FZ, BGM, ISO45001</vt:lpstr>
      <vt:lpstr>Spinne mit FZ, BGM, ISO45001</vt:lpstr>
      <vt:lpstr>Analyse!Print_Area</vt:lpstr>
      <vt:lpstr>'Interlocuteurs sécurité'!Print_Area</vt:lpstr>
      <vt:lpstr>'Autoévaluation client'!Print_Titles</vt:lpstr>
      <vt:lpstr>'Fiche signalétique'!Print_Titles</vt:lpstr>
      <vt:lpstr>'Interlocuteurs sécurité'!Print_Titles</vt:lpstr>
      <vt:lpstr>Spinne1</vt:lpstr>
    </vt:vector>
  </TitlesOfParts>
  <Manager/>
  <Company>SUVA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 Lopez Victor (MVD)</dc:creator>
  <cp:keywords/>
  <dc:description/>
  <cp:lastModifiedBy>DeCaro Oliver (OLD)</cp:lastModifiedBy>
  <cp:revision/>
  <dcterms:created xsi:type="dcterms:W3CDTF">2015-04-27T06:23:23Z</dcterms:created>
  <dcterms:modified xsi:type="dcterms:W3CDTF">2026-01-06T05:22:50Z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f20d95-30f1-4757-92d7-5495691a0c29_Enabled">
    <vt:lpwstr>true</vt:lpwstr>
  </property>
  <property fmtid="{D5CDD505-2E9C-101B-9397-08002B2CF9AE}" pid="3" name="MSIP_Label_40f20d95-30f1-4757-92d7-5495691a0c29_SetDate">
    <vt:lpwstr>2023-03-27T05:59:44Z</vt:lpwstr>
  </property>
  <property fmtid="{D5CDD505-2E9C-101B-9397-08002B2CF9AE}" pid="4" name="MSIP_Label_40f20d95-30f1-4757-92d7-5495691a0c29_Method">
    <vt:lpwstr>Privileged</vt:lpwstr>
  </property>
  <property fmtid="{D5CDD505-2E9C-101B-9397-08002B2CF9AE}" pid="5" name="MSIP_Label_40f20d95-30f1-4757-92d7-5495691a0c29_Name">
    <vt:lpwstr>Intern</vt:lpwstr>
  </property>
  <property fmtid="{D5CDD505-2E9C-101B-9397-08002B2CF9AE}" pid="6" name="MSIP_Label_40f20d95-30f1-4757-92d7-5495691a0c29_SiteId">
    <vt:lpwstr>98616167-5668-4e66-acbf-925e81df8b00</vt:lpwstr>
  </property>
  <property fmtid="{D5CDD505-2E9C-101B-9397-08002B2CF9AE}" pid="7" name="MSIP_Label_40f20d95-30f1-4757-92d7-5495691a0c29_ActionId">
    <vt:lpwstr>f1c89d9a-376e-4ee5-9dbc-81978ffe9d8f</vt:lpwstr>
  </property>
  <property fmtid="{D5CDD505-2E9C-101B-9397-08002B2CF9AE}" pid="8" name="MSIP_Label_40f20d95-30f1-4757-92d7-5495691a0c29_ContentBits">
    <vt:lpwstr>0</vt:lpwstr>
  </property>
  <property fmtid="{D5CDD505-2E9C-101B-9397-08002B2CF9AE}" pid="9" name="ContentTypeId">
    <vt:lpwstr>0x010100859D6B2F2F8B184B84CD1A0E1ADAAB78</vt:lpwstr>
  </property>
  <property fmtid="{D5CDD505-2E9C-101B-9397-08002B2CF9AE}" pid="10" name="MediaServiceImageTags">
    <vt:lpwstr/>
  </property>
</Properties>
</file>