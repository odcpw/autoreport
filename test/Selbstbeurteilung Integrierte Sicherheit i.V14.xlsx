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DieseArbeitsmappe"/>
  <mc:AlternateContent xmlns:mc="http://schemas.openxmlformats.org/markup-compatibility/2006">
    <mc:Choice Requires="x15">
      <x15ac:absPath xmlns:x15ac="http://schemas.microsoft.com/office/spreadsheetml/2010/11/ac" url="C:\Temp\github\test\"/>
    </mc:Choice>
  </mc:AlternateContent>
  <xr:revisionPtr revIDLastSave="0" documentId="13_ncr:1_{1CA002E5-0429-4437-B5A7-C00D830ECF78}" xr6:coauthVersionLast="47" xr6:coauthVersionMax="47" xr10:uidLastSave="{00000000-0000-0000-0000-000000000000}"/>
  <bookViews>
    <workbookView xWindow="-108" yWindow="-108" windowWidth="23256" windowHeight="13896" activeTab="3" xr2:uid="{00000000-000D-0000-FFFF-FFFF00000000}"/>
  </bookViews>
  <sheets>
    <sheet name="Guida" sheetId="33" r:id="rId1"/>
    <sheet name="Dati aziendali" sheetId="15" r:id="rId2"/>
    <sheet name="Persone chiavi per la sicurezza" sheetId="17" r:id="rId3"/>
    <sheet name="Autovalutazione" sheetId="13" r:id="rId4"/>
    <sheet name="Allegati" sheetId="18" r:id="rId5"/>
    <sheet name="Analyse" sheetId="19" r:id="rId6"/>
    <sheet name="Auswertungen" sheetId="9" r:id="rId7"/>
    <sheet name="Spinne ohne FZ, BGM, ISO45001" sheetId="31" r:id="rId8"/>
    <sheet name="Spinne mit FZ, BGM, ISO45001" sheetId="32" r:id="rId9"/>
    <sheet name="Versionenprotokoll" sheetId="36" r:id="rId10"/>
  </sheets>
  <definedNames>
    <definedName name="_xlnm._FilterDatabase" localSheetId="4" hidden="1">Allegati!$A$1:$B$42</definedName>
    <definedName name="_xlnm._FilterDatabase" localSheetId="5" hidden="1">Analyse!$A$1:$R$668</definedName>
    <definedName name="_xlnm._FilterDatabase" localSheetId="3" hidden="1">Autovalutazione!$A$2:$G$648</definedName>
    <definedName name="_xlnm.Print_Area" localSheetId="5">Analyse!$A:$L</definedName>
    <definedName name="_xlnm.Print_Area" localSheetId="2">'Persone chiavi per la sicurezza'!$A:$B</definedName>
    <definedName name="_xlnm.Print_Titles" localSheetId="3">Autovalutazione!$2:$2</definedName>
    <definedName name="_xlnm.Print_Titles" localSheetId="1">'Dati aziendali'!$2:$2</definedName>
    <definedName name="_xlnm.Print_Titles" localSheetId="2">'Persone chiavi per la sicurezza'!$2:$2</definedName>
    <definedName name="Spinne1">Analyse!$C$4</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9" i="19" l="1"/>
  <c r="E549" i="19"/>
  <c r="D549" i="19"/>
  <c r="C549" i="19"/>
  <c r="O549" i="19"/>
  <c r="B549" i="19"/>
  <c r="A549" i="19"/>
  <c r="P548" i="19"/>
  <c r="E548" i="19"/>
  <c r="D548" i="19"/>
  <c r="C548" i="19"/>
  <c r="O548" i="19"/>
  <c r="B548" i="19"/>
  <c r="A548" i="19"/>
  <c r="D679" i="19"/>
  <c r="D678" i="19"/>
  <c r="D677" i="19"/>
  <c r="D676" i="19"/>
  <c r="D674" i="19"/>
  <c r="D672" i="19"/>
  <c r="D671" i="19"/>
  <c r="D670" i="19"/>
  <c r="D668" i="19"/>
  <c r="D666" i="19"/>
  <c r="D665" i="19"/>
  <c r="D663" i="19"/>
  <c r="D661" i="19"/>
  <c r="D660" i="19"/>
  <c r="D659" i="19"/>
  <c r="D656" i="19"/>
  <c r="D655" i="19"/>
  <c r="D654" i="19"/>
  <c r="D653" i="19"/>
  <c r="D652" i="19"/>
  <c r="D651" i="19"/>
  <c r="D650" i="19"/>
  <c r="D649" i="19"/>
  <c r="D648" i="19"/>
  <c r="D647" i="19"/>
  <c r="D646" i="19"/>
  <c r="D645" i="19"/>
  <c r="D644" i="19"/>
  <c r="D643" i="19"/>
  <c r="D642" i="19"/>
  <c r="D641" i="19"/>
  <c r="D640" i="19"/>
  <c r="D639" i="19"/>
  <c r="D638" i="19"/>
  <c r="D637" i="19"/>
  <c r="D636" i="19"/>
  <c r="D635" i="19"/>
  <c r="D634" i="19"/>
  <c r="D633" i="19"/>
  <c r="D632" i="19"/>
  <c r="D631" i="19"/>
  <c r="D630" i="19"/>
  <c r="D628" i="19"/>
  <c r="D627" i="19"/>
  <c r="D626" i="19"/>
  <c r="D625" i="19"/>
  <c r="D624" i="19"/>
  <c r="D623" i="19"/>
  <c r="D622" i="19"/>
  <c r="D621" i="19"/>
  <c r="D620" i="19"/>
  <c r="D619" i="19"/>
  <c r="D618" i="19"/>
  <c r="D617" i="19"/>
  <c r="D616" i="19"/>
  <c r="D615" i="19"/>
  <c r="D614" i="19"/>
  <c r="D613" i="19"/>
  <c r="D612" i="19"/>
  <c r="D611" i="19"/>
  <c r="D610" i="19"/>
  <c r="D609" i="19"/>
  <c r="D608" i="19"/>
  <c r="D606" i="19"/>
  <c r="D605" i="19"/>
  <c r="D604" i="19"/>
  <c r="D603" i="19"/>
  <c r="D602" i="19"/>
  <c r="D601" i="19"/>
  <c r="D600" i="19"/>
  <c r="D599" i="19"/>
  <c r="D598" i="19"/>
  <c r="D597" i="19"/>
  <c r="D596" i="19"/>
  <c r="D595" i="19"/>
  <c r="D594" i="19"/>
  <c r="D593" i="19"/>
  <c r="D592" i="19"/>
  <c r="D591" i="19"/>
  <c r="D590" i="19"/>
  <c r="D589" i="19"/>
  <c r="D588" i="19"/>
  <c r="D582" i="19"/>
  <c r="D571" i="19"/>
  <c r="D586" i="19"/>
  <c r="D585" i="19"/>
  <c r="D584" i="19"/>
  <c r="D583" i="19"/>
  <c r="D581" i="19"/>
  <c r="D580" i="19"/>
  <c r="D579" i="19"/>
  <c r="D578" i="19"/>
  <c r="D577" i="19"/>
  <c r="D576" i="19"/>
  <c r="D575" i="19"/>
  <c r="D574" i="19"/>
  <c r="D573" i="19"/>
  <c r="D572" i="19"/>
  <c r="D570" i="19"/>
  <c r="D569" i="19"/>
  <c r="D568" i="19"/>
  <c r="D567" i="19"/>
  <c r="D566" i="19"/>
  <c r="D565" i="19"/>
  <c r="D564" i="19"/>
  <c r="D563" i="19"/>
  <c r="D562" i="19"/>
  <c r="D561" i="19"/>
  <c r="D560" i="19"/>
  <c r="D559" i="19"/>
  <c r="D558" i="19"/>
  <c r="D550" i="19"/>
  <c r="D540" i="19"/>
  <c r="D532" i="19"/>
  <c r="D526" i="19"/>
  <c r="D517" i="19"/>
  <c r="D507" i="19"/>
  <c r="D491" i="19"/>
  <c r="D464" i="19"/>
  <c r="D454" i="19"/>
  <c r="D555" i="19"/>
  <c r="D554" i="19"/>
  <c r="D553" i="19"/>
  <c r="D552" i="19"/>
  <c r="D551" i="19"/>
  <c r="D547" i="19"/>
  <c r="D546" i="19"/>
  <c r="D545" i="19"/>
  <c r="D544" i="19"/>
  <c r="D543" i="19"/>
  <c r="D542" i="19"/>
  <c r="D541" i="19"/>
  <c r="D539" i="19"/>
  <c r="D538" i="19"/>
  <c r="D537" i="19"/>
  <c r="D536" i="19"/>
  <c r="D535" i="19"/>
  <c r="D534" i="19"/>
  <c r="D533" i="19"/>
  <c r="D531" i="19"/>
  <c r="D530" i="19"/>
  <c r="D529" i="19"/>
  <c r="D528" i="19"/>
  <c r="D527" i="19"/>
  <c r="D525" i="19"/>
  <c r="D524" i="19"/>
  <c r="D523" i="19"/>
  <c r="D522" i="19"/>
  <c r="D521" i="19"/>
  <c r="D520" i="19"/>
  <c r="D519" i="19"/>
  <c r="D518" i="19"/>
  <c r="D516" i="19"/>
  <c r="D515" i="19"/>
  <c r="D514" i="19"/>
  <c r="D513" i="19"/>
  <c r="D512" i="19"/>
  <c r="D511" i="19"/>
  <c r="D510" i="19"/>
  <c r="D509" i="19"/>
  <c r="D508" i="19"/>
  <c r="D506" i="19"/>
  <c r="D505" i="19"/>
  <c r="D504" i="19"/>
  <c r="D503" i="19"/>
  <c r="D502" i="19"/>
  <c r="D501" i="19"/>
  <c r="D500" i="19"/>
  <c r="D499" i="19"/>
  <c r="D498" i="19"/>
  <c r="D497" i="19"/>
  <c r="D496" i="19"/>
  <c r="D495" i="19"/>
  <c r="D494" i="19"/>
  <c r="D493" i="19"/>
  <c r="D492" i="19"/>
  <c r="D490" i="19"/>
  <c r="D489" i="19"/>
  <c r="D488" i="19"/>
  <c r="D487" i="19"/>
  <c r="D486" i="19"/>
  <c r="D485" i="19"/>
  <c r="D484" i="19"/>
  <c r="D483" i="19"/>
  <c r="D482" i="19"/>
  <c r="D481" i="19"/>
  <c r="D480" i="19"/>
  <c r="D479" i="19"/>
  <c r="D478" i="19"/>
  <c r="D477" i="19"/>
  <c r="D476" i="19"/>
  <c r="D475" i="19"/>
  <c r="D474" i="19"/>
  <c r="D473" i="19"/>
  <c r="D472" i="19"/>
  <c r="D471" i="19"/>
  <c r="D470" i="19"/>
  <c r="D469" i="19"/>
  <c r="D468" i="19"/>
  <c r="D467" i="19"/>
  <c r="D466" i="19"/>
  <c r="D465" i="19"/>
  <c r="D463" i="19"/>
  <c r="D462" i="19"/>
  <c r="D461" i="19"/>
  <c r="D460" i="19"/>
  <c r="D459" i="19"/>
  <c r="D458" i="19"/>
  <c r="D457" i="19"/>
  <c r="D456" i="19"/>
  <c r="D455" i="19"/>
  <c r="D453" i="19"/>
  <c r="D452" i="19"/>
  <c r="D451" i="19"/>
  <c r="D450" i="19"/>
  <c r="D449" i="19"/>
  <c r="D448" i="19"/>
  <c r="D447" i="19"/>
  <c r="D437" i="19"/>
  <c r="D444" i="19"/>
  <c r="D443" i="19"/>
  <c r="D442" i="19"/>
  <c r="D441" i="19"/>
  <c r="D440" i="19"/>
  <c r="D439" i="19"/>
  <c r="D438" i="19"/>
  <c r="D436" i="19"/>
  <c r="D435" i="19"/>
  <c r="D434" i="19"/>
  <c r="D433" i="19"/>
  <c r="D432" i="19"/>
  <c r="D431" i="19"/>
  <c r="D423" i="19"/>
  <c r="D410" i="19"/>
  <c r="D428" i="19"/>
  <c r="D427" i="19"/>
  <c r="D426" i="19"/>
  <c r="D425" i="19"/>
  <c r="D424" i="19"/>
  <c r="D422" i="19"/>
  <c r="D421" i="19"/>
  <c r="D420" i="19"/>
  <c r="D419" i="19"/>
  <c r="D418" i="19"/>
  <c r="D417" i="19"/>
  <c r="D416" i="19"/>
  <c r="D415" i="19"/>
  <c r="D414" i="19"/>
  <c r="D413" i="19"/>
  <c r="D412" i="19"/>
  <c r="D411" i="19"/>
  <c r="D409" i="19"/>
  <c r="D408" i="19"/>
  <c r="D407" i="19"/>
  <c r="D406" i="19"/>
  <c r="D405" i="19"/>
  <c r="D404" i="19"/>
  <c r="D403" i="19"/>
  <c r="D402" i="19"/>
  <c r="D401" i="19"/>
  <c r="D400" i="19"/>
  <c r="D399" i="19"/>
  <c r="D398" i="19"/>
  <c r="D397" i="19"/>
  <c r="D396" i="19"/>
  <c r="D395" i="19"/>
  <c r="D394" i="19"/>
  <c r="D380" i="19"/>
  <c r="D391" i="19"/>
  <c r="D390" i="19"/>
  <c r="D389" i="19"/>
  <c r="D388" i="19"/>
  <c r="D387" i="19"/>
  <c r="D386" i="19"/>
  <c r="D385" i="19"/>
  <c r="D384" i="19"/>
  <c r="D383" i="19"/>
  <c r="D382" i="19"/>
  <c r="D381" i="19"/>
  <c r="D379" i="19"/>
  <c r="D378" i="19"/>
  <c r="D377" i="19"/>
  <c r="D376" i="19"/>
  <c r="D375" i="19"/>
  <c r="D374" i="19"/>
  <c r="D373" i="19"/>
  <c r="D372" i="19"/>
  <c r="D371" i="19"/>
  <c r="D370" i="19"/>
  <c r="D350" i="19"/>
  <c r="D340" i="19"/>
  <c r="D326" i="19"/>
  <c r="D367" i="19"/>
  <c r="D366" i="19"/>
  <c r="D365" i="19"/>
  <c r="D364" i="19"/>
  <c r="D363" i="19"/>
  <c r="D362" i="19"/>
  <c r="D361" i="19"/>
  <c r="D360" i="19"/>
  <c r="D359" i="19"/>
  <c r="D358" i="19"/>
  <c r="D357" i="19"/>
  <c r="D356" i="19"/>
  <c r="D355" i="19"/>
  <c r="D354" i="19"/>
  <c r="D353" i="19"/>
  <c r="D352" i="19"/>
  <c r="D351" i="19"/>
  <c r="D349" i="19"/>
  <c r="D348" i="19"/>
  <c r="D347" i="19"/>
  <c r="D346" i="19"/>
  <c r="D345" i="19"/>
  <c r="D344" i="19"/>
  <c r="D343" i="19"/>
  <c r="D342" i="19"/>
  <c r="D341" i="19"/>
  <c r="D339" i="19"/>
  <c r="D338" i="19"/>
  <c r="D337" i="19"/>
  <c r="D336" i="19"/>
  <c r="D335" i="19"/>
  <c r="D334" i="19"/>
  <c r="D333" i="19"/>
  <c r="D332" i="19"/>
  <c r="D331" i="19"/>
  <c r="D330" i="19"/>
  <c r="D329" i="19"/>
  <c r="D328" i="19"/>
  <c r="D327" i="19"/>
  <c r="D325" i="19"/>
  <c r="D324" i="19"/>
  <c r="D323" i="19"/>
  <c r="D322" i="19"/>
  <c r="D321" i="19"/>
  <c r="D318" i="19"/>
  <c r="D316" i="19"/>
  <c r="D315" i="19"/>
  <c r="D314" i="19"/>
  <c r="D313" i="19"/>
  <c r="D312" i="19"/>
  <c r="D311" i="19"/>
  <c r="D310" i="19"/>
  <c r="D309" i="19"/>
  <c r="D308" i="19"/>
  <c r="D307" i="19"/>
  <c r="D306" i="19"/>
  <c r="D305" i="19"/>
  <c r="D304" i="19"/>
  <c r="D303" i="19"/>
  <c r="D302" i="19"/>
  <c r="D301" i="19"/>
  <c r="D300" i="19"/>
  <c r="D299" i="19"/>
  <c r="D298" i="19"/>
  <c r="D296" i="19"/>
  <c r="D295" i="19"/>
  <c r="D294" i="19"/>
  <c r="D292" i="19"/>
  <c r="D291" i="19"/>
  <c r="D290" i="19"/>
  <c r="D289" i="19"/>
  <c r="D288" i="19"/>
  <c r="D287" i="19"/>
  <c r="D286" i="19"/>
  <c r="D284" i="19"/>
  <c r="D283" i="19"/>
  <c r="D282" i="19"/>
  <c r="D281" i="19"/>
  <c r="D280" i="19"/>
  <c r="D279" i="19"/>
  <c r="D278" i="19"/>
  <c r="D277" i="19"/>
  <c r="D276" i="19"/>
  <c r="D275" i="19"/>
  <c r="D274" i="19"/>
  <c r="D273" i="19"/>
  <c r="D272" i="19"/>
  <c r="D271" i="19"/>
  <c r="D270" i="19"/>
  <c r="D269" i="19"/>
  <c r="D268" i="19"/>
  <c r="D267" i="19"/>
  <c r="D266" i="19"/>
  <c r="D265" i="19"/>
  <c r="D264" i="19"/>
  <c r="D263" i="19"/>
  <c r="D262" i="19"/>
  <c r="D261" i="19"/>
  <c r="D260" i="19"/>
  <c r="D259" i="19"/>
  <c r="D258" i="19"/>
  <c r="D257" i="19"/>
  <c r="D256" i="19"/>
  <c r="D255" i="19"/>
  <c r="D254" i="19"/>
  <c r="D253" i="19"/>
  <c r="D252" i="19"/>
  <c r="D251" i="19"/>
  <c r="D250" i="19"/>
  <c r="D248" i="19"/>
  <c r="D247" i="19"/>
  <c r="D246" i="19"/>
  <c r="D245" i="19"/>
  <c r="D244" i="19"/>
  <c r="D243" i="19"/>
  <c r="D242" i="19"/>
  <c r="D227" i="19"/>
  <c r="D223" i="19"/>
  <c r="D193" i="19"/>
  <c r="D189" i="19"/>
  <c r="D182" i="19"/>
  <c r="D175" i="19"/>
  <c r="D170" i="19"/>
  <c r="D164" i="19"/>
  <c r="D152" i="19"/>
  <c r="D239" i="19"/>
  <c r="D238" i="19"/>
  <c r="D237" i="19"/>
  <c r="D236" i="19"/>
  <c r="D235" i="19"/>
  <c r="D234" i="19"/>
  <c r="D233" i="19"/>
  <c r="D228" i="19"/>
  <c r="D226" i="19"/>
  <c r="D225" i="19"/>
  <c r="D224" i="19"/>
  <c r="D222" i="19"/>
  <c r="D221" i="19"/>
  <c r="D220" i="19"/>
  <c r="D219" i="19"/>
  <c r="D218" i="19"/>
  <c r="D217" i="19"/>
  <c r="D216" i="19"/>
  <c r="D215" i="19"/>
  <c r="D214" i="19"/>
  <c r="D213" i="19"/>
  <c r="D212" i="19"/>
  <c r="D211" i="19"/>
  <c r="D210" i="19"/>
  <c r="D209" i="19"/>
  <c r="D208" i="19"/>
  <c r="D207" i="19"/>
  <c r="D206" i="19"/>
  <c r="D205" i="19"/>
  <c r="D204" i="19"/>
  <c r="D203" i="19"/>
  <c r="D202" i="19"/>
  <c r="D201" i="19"/>
  <c r="D200" i="19"/>
  <c r="D199" i="19"/>
  <c r="D198" i="19"/>
  <c r="D197" i="19"/>
  <c r="D196" i="19"/>
  <c r="D195" i="19"/>
  <c r="D194" i="19"/>
  <c r="D192" i="19"/>
  <c r="D191" i="19"/>
  <c r="D190" i="19"/>
  <c r="D188" i="19"/>
  <c r="D187" i="19"/>
  <c r="D186" i="19"/>
  <c r="D185" i="19"/>
  <c r="D184" i="19"/>
  <c r="D183" i="19"/>
  <c r="D181" i="19"/>
  <c r="D180" i="19"/>
  <c r="D179" i="19"/>
  <c r="D178" i="19"/>
  <c r="D177" i="19"/>
  <c r="D176" i="19"/>
  <c r="D174" i="19"/>
  <c r="D173" i="19"/>
  <c r="D172" i="19"/>
  <c r="D171" i="19"/>
  <c r="D169" i="19"/>
  <c r="D168" i="19"/>
  <c r="D167" i="19"/>
  <c r="D166" i="19"/>
  <c r="D165" i="19"/>
  <c r="D163" i="19"/>
  <c r="D162" i="19"/>
  <c r="D161" i="19"/>
  <c r="D160" i="19"/>
  <c r="D159" i="19"/>
  <c r="D158" i="19"/>
  <c r="D157" i="19"/>
  <c r="D156" i="19"/>
  <c r="D155" i="19"/>
  <c r="D154" i="19"/>
  <c r="D153" i="19"/>
  <c r="D151" i="19"/>
  <c r="D150" i="19"/>
  <c r="D149" i="19"/>
  <c r="D148" i="19"/>
  <c r="D147" i="19"/>
  <c r="D146" i="19"/>
  <c r="D139" i="19"/>
  <c r="D128" i="19"/>
  <c r="D127" i="19"/>
  <c r="D123" i="19"/>
  <c r="D119" i="19"/>
  <c r="D107" i="19"/>
  <c r="D106" i="19"/>
  <c r="D103" i="19"/>
  <c r="D91" i="19"/>
  <c r="D73" i="19"/>
  <c r="D143" i="19"/>
  <c r="D142" i="19"/>
  <c r="D141" i="19"/>
  <c r="D140" i="19"/>
  <c r="D138" i="19"/>
  <c r="D137" i="19"/>
  <c r="D136" i="19"/>
  <c r="D135" i="19"/>
  <c r="D134" i="19"/>
  <c r="D133" i="19"/>
  <c r="D132" i="19"/>
  <c r="D131" i="19"/>
  <c r="D130" i="19"/>
  <c r="D129" i="19"/>
  <c r="D126" i="19"/>
  <c r="D125" i="19"/>
  <c r="D124" i="19"/>
  <c r="D122" i="19"/>
  <c r="D121" i="19"/>
  <c r="D120" i="19"/>
  <c r="D118" i="19"/>
  <c r="D117" i="19"/>
  <c r="D116" i="19"/>
  <c r="D115" i="19"/>
  <c r="D114" i="19"/>
  <c r="D113" i="19"/>
  <c r="D112" i="19"/>
  <c r="D111" i="19"/>
  <c r="D110" i="19"/>
  <c r="D109" i="19"/>
  <c r="D108" i="19"/>
  <c r="D105" i="19"/>
  <c r="D104" i="19"/>
  <c r="D102" i="19"/>
  <c r="D101" i="19"/>
  <c r="D100" i="19"/>
  <c r="D99" i="19"/>
  <c r="D98" i="19"/>
  <c r="D97" i="19"/>
  <c r="D96" i="19"/>
  <c r="D95" i="19"/>
  <c r="D94" i="19"/>
  <c r="D93" i="19"/>
  <c r="D92" i="19"/>
  <c r="D90" i="19"/>
  <c r="D89" i="19"/>
  <c r="D88" i="19"/>
  <c r="D87" i="19"/>
  <c r="D86" i="19"/>
  <c r="D85" i="19"/>
  <c r="D84" i="19"/>
  <c r="D83" i="19"/>
  <c r="D82" i="19"/>
  <c r="D81" i="19"/>
  <c r="D80" i="19"/>
  <c r="D79" i="19"/>
  <c r="D78" i="19"/>
  <c r="D77" i="19"/>
  <c r="D76" i="19"/>
  <c r="D75" i="19"/>
  <c r="D74" i="19"/>
  <c r="D72" i="19"/>
  <c r="D71" i="19"/>
  <c r="D70" i="19"/>
  <c r="D69" i="19"/>
  <c r="D68" i="19"/>
  <c r="D67" i="19"/>
  <c r="D66" i="19"/>
  <c r="D65" i="19"/>
  <c r="D63" i="19"/>
  <c r="D62" i="19"/>
  <c r="D61" i="19"/>
  <c r="D60" i="19"/>
  <c r="D59" i="19"/>
  <c r="D58" i="19"/>
  <c r="D57" i="19"/>
  <c r="D55" i="19"/>
  <c r="D54" i="19"/>
  <c r="D53" i="19"/>
  <c r="D52" i="19"/>
  <c r="D51" i="19"/>
  <c r="D50" i="19"/>
  <c r="D49" i="19"/>
  <c r="D48" i="19"/>
  <c r="D47" i="19"/>
  <c r="D46" i="19"/>
  <c r="D45" i="19"/>
  <c r="D44" i="19"/>
  <c r="D43" i="19"/>
  <c r="D41" i="19"/>
  <c r="D40" i="19"/>
  <c r="D39" i="19"/>
  <c r="D38" i="19"/>
  <c r="D37" i="19"/>
  <c r="D36" i="19"/>
  <c r="D35" i="19"/>
  <c r="D34" i="19"/>
  <c r="D33" i="19"/>
  <c r="D32" i="19"/>
  <c r="D31" i="19"/>
  <c r="D30" i="19"/>
  <c r="D28" i="19"/>
  <c r="D27" i="19"/>
  <c r="D26" i="19"/>
  <c r="D25" i="19"/>
  <c r="D24" i="19"/>
  <c r="D23" i="19"/>
  <c r="D22" i="19"/>
  <c r="D21" i="19"/>
  <c r="D20" i="19"/>
  <c r="D19" i="19"/>
  <c r="D18" i="19"/>
  <c r="D17" i="19"/>
  <c r="D16" i="19"/>
  <c r="D14" i="19"/>
  <c r="D13" i="19"/>
  <c r="D12" i="19"/>
  <c r="D11" i="19"/>
  <c r="D10" i="19"/>
  <c r="D9" i="19"/>
  <c r="D8" i="19"/>
  <c r="D7" i="19"/>
  <c r="D6" i="19"/>
  <c r="N664" i="19"/>
  <c r="P666" i="19"/>
  <c r="E666" i="19"/>
  <c r="C666" i="19"/>
  <c r="O666" i="19"/>
  <c r="B666" i="19"/>
  <c r="A666" i="19"/>
  <c r="N657" i="19"/>
  <c r="N662" i="19"/>
  <c r="N667" i="19"/>
  <c r="N673" i="19"/>
  <c r="N675" i="19"/>
  <c r="P679" i="19"/>
  <c r="E679" i="19"/>
  <c r="C679" i="19"/>
  <c r="O679" i="19"/>
  <c r="B679" i="19"/>
  <c r="A679" i="19"/>
  <c r="P678" i="19"/>
  <c r="E678" i="19"/>
  <c r="C678" i="19"/>
  <c r="O678" i="19"/>
  <c r="B678" i="19"/>
  <c r="A678" i="19"/>
  <c r="P677" i="19"/>
  <c r="E677" i="19"/>
  <c r="C677" i="19"/>
  <c r="O677" i="19"/>
  <c r="B677" i="19"/>
  <c r="A677" i="19"/>
  <c r="P676" i="19"/>
  <c r="E676" i="19"/>
  <c r="C676" i="19"/>
  <c r="O676" i="19"/>
  <c r="B676" i="19"/>
  <c r="A676" i="19"/>
  <c r="B675" i="19"/>
  <c r="A675" i="19"/>
  <c r="P674" i="19"/>
  <c r="P673" i="19"/>
  <c r="E674" i="19"/>
  <c r="C674" i="19"/>
  <c r="O674" i="19"/>
  <c r="O673" i="19"/>
  <c r="B674" i="19"/>
  <c r="A674" i="19"/>
  <c r="B673" i="19"/>
  <c r="A673" i="19"/>
  <c r="P672" i="19"/>
  <c r="E672" i="19"/>
  <c r="C672" i="19"/>
  <c r="O672" i="19"/>
  <c r="B672" i="19"/>
  <c r="A672" i="19"/>
  <c r="P671" i="19"/>
  <c r="E671" i="19"/>
  <c r="C671" i="19"/>
  <c r="O671" i="19"/>
  <c r="B671" i="19"/>
  <c r="A671" i="19"/>
  <c r="P670" i="19"/>
  <c r="E670" i="19"/>
  <c r="C670" i="19"/>
  <c r="O670" i="19"/>
  <c r="B670" i="19"/>
  <c r="A670" i="19"/>
  <c r="N669" i="19"/>
  <c r="B669" i="19"/>
  <c r="A669" i="19"/>
  <c r="E668" i="19"/>
  <c r="C668" i="19"/>
  <c r="E665" i="19"/>
  <c r="C665" i="19"/>
  <c r="E663" i="19"/>
  <c r="C663" i="19"/>
  <c r="B668" i="19"/>
  <c r="A668" i="19"/>
  <c r="B667" i="19"/>
  <c r="A667" i="19"/>
  <c r="B664" i="19"/>
  <c r="A664" i="19"/>
  <c r="A659" i="19"/>
  <c r="A660" i="19"/>
  <c r="A661" i="19"/>
  <c r="E661" i="19"/>
  <c r="C661" i="19"/>
  <c r="B661" i="19"/>
  <c r="E660" i="19"/>
  <c r="C660" i="19"/>
  <c r="B660" i="19"/>
  <c r="E659" i="19"/>
  <c r="C659" i="19"/>
  <c r="B659" i="19"/>
  <c r="A658" i="19"/>
  <c r="B658" i="19"/>
  <c r="P332" i="19"/>
  <c r="E332" i="19"/>
  <c r="C332" i="19"/>
  <c r="O332" i="19"/>
  <c r="B332" i="19"/>
  <c r="A332" i="19"/>
  <c r="P675" i="19"/>
  <c r="O675" i="19"/>
  <c r="P669" i="19"/>
  <c r="R669" i="19"/>
  <c r="R675" i="19"/>
  <c r="L675" i="19"/>
  <c r="R673" i="19"/>
  <c r="O669" i="19"/>
  <c r="C669" i="19"/>
  <c r="L669" i="19"/>
  <c r="L673" i="19"/>
  <c r="Q673" i="19"/>
  <c r="C673" i="19"/>
  <c r="C675" i="19"/>
  <c r="Q675" i="19"/>
  <c r="Q669" i="19"/>
  <c r="P313" i="19"/>
  <c r="E313" i="19"/>
  <c r="C313" i="19"/>
  <c r="O313" i="19"/>
  <c r="B313" i="19"/>
  <c r="A313" i="19"/>
  <c r="P312" i="19"/>
  <c r="E312" i="19"/>
  <c r="C312" i="19"/>
  <c r="O312" i="19"/>
  <c r="B312" i="19"/>
  <c r="A312" i="19"/>
  <c r="B145" i="19"/>
  <c r="N240" i="19"/>
  <c r="N317" i="19"/>
  <c r="P318" i="19"/>
  <c r="P317" i="19"/>
  <c r="O318" i="19"/>
  <c r="O317" i="19"/>
  <c r="E318" i="19"/>
  <c r="E317" i="19"/>
  <c r="L317" i="19"/>
  <c r="R317" i="19"/>
  <c r="B662" i="19"/>
  <c r="A662" i="19"/>
  <c r="P661" i="19"/>
  <c r="O661" i="19"/>
  <c r="N658" i="19"/>
  <c r="B657" i="19"/>
  <c r="A657" i="19"/>
  <c r="P656" i="19"/>
  <c r="E656" i="19"/>
  <c r="C656" i="19"/>
  <c r="O656" i="19"/>
  <c r="B656" i="19"/>
  <c r="A656" i="19"/>
  <c r="P655" i="19"/>
  <c r="E655" i="19"/>
  <c r="C655" i="19"/>
  <c r="O655" i="19"/>
  <c r="B655" i="19"/>
  <c r="A655" i="19"/>
  <c r="N629" i="19"/>
  <c r="B629" i="19"/>
  <c r="A629" i="19"/>
  <c r="P628" i="19"/>
  <c r="E628" i="19"/>
  <c r="C628" i="19"/>
  <c r="O628" i="19"/>
  <c r="B628" i="19"/>
  <c r="A628" i="19"/>
  <c r="P627" i="19"/>
  <c r="E627" i="19"/>
  <c r="C627" i="19"/>
  <c r="O627" i="19"/>
  <c r="B627" i="19"/>
  <c r="A627" i="19"/>
  <c r="N607" i="19"/>
  <c r="B607" i="19"/>
  <c r="A607" i="19"/>
  <c r="P606" i="19"/>
  <c r="E606" i="19"/>
  <c r="C606" i="19"/>
  <c r="O606" i="19"/>
  <c r="B606" i="19"/>
  <c r="A606" i="19"/>
  <c r="P605" i="19"/>
  <c r="E605" i="19"/>
  <c r="C605" i="19"/>
  <c r="O605" i="19"/>
  <c r="B605" i="19"/>
  <c r="A605" i="19"/>
  <c r="A18" i="9"/>
  <c r="A16" i="9"/>
  <c r="A17" i="9"/>
  <c r="C584" i="19"/>
  <c r="C583" i="19"/>
  <c r="B1" i="19"/>
  <c r="B3" i="9"/>
  <c r="P641" i="19"/>
  <c r="E641" i="19"/>
  <c r="C641" i="19"/>
  <c r="O641" i="19"/>
  <c r="B641" i="19"/>
  <c r="A641" i="19"/>
  <c r="A5" i="19"/>
  <c r="N587" i="19"/>
  <c r="A665" i="19"/>
  <c r="A663" i="19"/>
  <c r="B665" i="19"/>
  <c r="B663" i="19"/>
  <c r="B644" i="19"/>
  <c r="P654" i="19"/>
  <c r="E654" i="19"/>
  <c r="C654" i="19"/>
  <c r="O654" i="19"/>
  <c r="B654" i="19"/>
  <c r="A654" i="19"/>
  <c r="P653" i="19"/>
  <c r="E653" i="19"/>
  <c r="C653" i="19"/>
  <c r="O653" i="19"/>
  <c r="B653" i="19"/>
  <c r="A653" i="19"/>
  <c r="P652" i="19"/>
  <c r="E652" i="19"/>
  <c r="C652" i="19"/>
  <c r="O652" i="19"/>
  <c r="B652" i="19"/>
  <c r="A652" i="19"/>
  <c r="P651" i="19"/>
  <c r="E651" i="19"/>
  <c r="C651" i="19"/>
  <c r="O651" i="19"/>
  <c r="B651" i="19"/>
  <c r="A651" i="19"/>
  <c r="P650" i="19"/>
  <c r="E650" i="19"/>
  <c r="C650" i="19"/>
  <c r="O650" i="19"/>
  <c r="B650" i="19"/>
  <c r="A650" i="19"/>
  <c r="P649" i="19"/>
  <c r="E649" i="19"/>
  <c r="C649" i="19"/>
  <c r="O649" i="19"/>
  <c r="B649" i="19"/>
  <c r="A649" i="19"/>
  <c r="P648" i="19"/>
  <c r="E648" i="19"/>
  <c r="C648" i="19"/>
  <c r="O648" i="19"/>
  <c r="B648" i="19"/>
  <c r="A648" i="19"/>
  <c r="P647" i="19"/>
  <c r="E647" i="19"/>
  <c r="C647" i="19"/>
  <c r="O647" i="19"/>
  <c r="B647" i="19"/>
  <c r="A647" i="19"/>
  <c r="P646" i="19"/>
  <c r="E646" i="19"/>
  <c r="C646" i="19"/>
  <c r="O646" i="19"/>
  <c r="B646" i="19"/>
  <c r="A646" i="19"/>
  <c r="P645" i="19"/>
  <c r="E645" i="19"/>
  <c r="C645" i="19"/>
  <c r="O645" i="19"/>
  <c r="B645" i="19"/>
  <c r="A645" i="19"/>
  <c r="P644" i="19"/>
  <c r="E644" i="19"/>
  <c r="C644" i="19"/>
  <c r="O644" i="19"/>
  <c r="A644" i="19"/>
  <c r="P643" i="19"/>
  <c r="E643" i="19"/>
  <c r="C643" i="19"/>
  <c r="O643" i="19"/>
  <c r="B643" i="19"/>
  <c r="A643" i="19"/>
  <c r="P642" i="19"/>
  <c r="E642" i="19"/>
  <c r="C642" i="19"/>
  <c r="O642" i="19"/>
  <c r="B642" i="19"/>
  <c r="A642" i="19"/>
  <c r="P640" i="19"/>
  <c r="E640" i="19"/>
  <c r="C640" i="19"/>
  <c r="O640" i="19"/>
  <c r="B640" i="19"/>
  <c r="A640" i="19"/>
  <c r="P639" i="19"/>
  <c r="E639" i="19"/>
  <c r="C639" i="19"/>
  <c r="O639" i="19"/>
  <c r="B639" i="19"/>
  <c r="A639" i="19"/>
  <c r="P638" i="19"/>
  <c r="E638" i="19"/>
  <c r="C638" i="19"/>
  <c r="O638" i="19"/>
  <c r="B638" i="19"/>
  <c r="A638" i="19"/>
  <c r="P637" i="19"/>
  <c r="E637" i="19"/>
  <c r="C637" i="19"/>
  <c r="O637" i="19"/>
  <c r="B637" i="19"/>
  <c r="A637" i="19"/>
  <c r="P636" i="19"/>
  <c r="E636" i="19"/>
  <c r="C636" i="19"/>
  <c r="O636" i="19"/>
  <c r="B636" i="19"/>
  <c r="A636" i="19"/>
  <c r="P635" i="19"/>
  <c r="E635" i="19"/>
  <c r="C635" i="19"/>
  <c r="O635" i="19"/>
  <c r="B635" i="19"/>
  <c r="A635" i="19"/>
  <c r="P634" i="19"/>
  <c r="E634" i="19"/>
  <c r="C634" i="19"/>
  <c r="O634" i="19"/>
  <c r="B634" i="19"/>
  <c r="A634" i="19"/>
  <c r="P633" i="19"/>
  <c r="E633" i="19"/>
  <c r="C633" i="19"/>
  <c r="O633" i="19"/>
  <c r="B633" i="19"/>
  <c r="A633" i="19"/>
  <c r="P632" i="19"/>
  <c r="E632" i="19"/>
  <c r="C632" i="19"/>
  <c r="O632" i="19"/>
  <c r="B632" i="19"/>
  <c r="A632" i="19"/>
  <c r="P631" i="19"/>
  <c r="E631" i="19"/>
  <c r="C631" i="19"/>
  <c r="O631" i="19"/>
  <c r="B631" i="19"/>
  <c r="A631" i="19"/>
  <c r="P630" i="19"/>
  <c r="E630" i="19"/>
  <c r="C630" i="19"/>
  <c r="O630" i="19"/>
  <c r="B630" i="19"/>
  <c r="A630" i="19"/>
  <c r="P626" i="19"/>
  <c r="E626" i="19"/>
  <c r="C626" i="19"/>
  <c r="O626" i="19"/>
  <c r="B626" i="19"/>
  <c r="A626" i="19"/>
  <c r="P625" i="19"/>
  <c r="E625" i="19"/>
  <c r="C625" i="19"/>
  <c r="O625" i="19"/>
  <c r="B625" i="19"/>
  <c r="A625" i="19"/>
  <c r="P624" i="19"/>
  <c r="E624" i="19"/>
  <c r="C624" i="19"/>
  <c r="O624" i="19"/>
  <c r="B624" i="19"/>
  <c r="A624" i="19"/>
  <c r="P623" i="19"/>
  <c r="E623" i="19"/>
  <c r="C623" i="19"/>
  <c r="O623" i="19"/>
  <c r="B623" i="19"/>
  <c r="A623" i="19"/>
  <c r="P622" i="19"/>
  <c r="E622" i="19"/>
  <c r="C622" i="19"/>
  <c r="O622" i="19"/>
  <c r="B622" i="19"/>
  <c r="A622" i="19"/>
  <c r="P621" i="19"/>
  <c r="E621" i="19"/>
  <c r="C621" i="19"/>
  <c r="O621" i="19"/>
  <c r="B621" i="19"/>
  <c r="A621" i="19"/>
  <c r="P620" i="19"/>
  <c r="E620" i="19"/>
  <c r="C620" i="19"/>
  <c r="O620" i="19"/>
  <c r="B620" i="19"/>
  <c r="A620" i="19"/>
  <c r="P619" i="19"/>
  <c r="E619" i="19"/>
  <c r="C619" i="19"/>
  <c r="O619" i="19"/>
  <c r="B619" i="19"/>
  <c r="A619" i="19"/>
  <c r="P618" i="19"/>
  <c r="E618" i="19"/>
  <c r="C618" i="19"/>
  <c r="O618" i="19"/>
  <c r="B618" i="19"/>
  <c r="A618" i="19"/>
  <c r="P617" i="19"/>
  <c r="E617" i="19"/>
  <c r="C617" i="19"/>
  <c r="O617" i="19"/>
  <c r="B617" i="19"/>
  <c r="A617" i="19"/>
  <c r="P616" i="19"/>
  <c r="E616" i="19"/>
  <c r="C616" i="19"/>
  <c r="O616" i="19"/>
  <c r="B616" i="19"/>
  <c r="A616" i="19"/>
  <c r="P615" i="19"/>
  <c r="E615" i="19"/>
  <c r="C615" i="19"/>
  <c r="O615" i="19"/>
  <c r="B615" i="19"/>
  <c r="A615" i="19"/>
  <c r="P614" i="19"/>
  <c r="E614" i="19"/>
  <c r="C614" i="19"/>
  <c r="O614" i="19"/>
  <c r="B614" i="19"/>
  <c r="A614" i="19"/>
  <c r="P613" i="19"/>
  <c r="E613" i="19"/>
  <c r="C613" i="19"/>
  <c r="O613" i="19"/>
  <c r="B613" i="19"/>
  <c r="A613" i="19"/>
  <c r="P612" i="19"/>
  <c r="E612" i="19"/>
  <c r="C612" i="19"/>
  <c r="O612" i="19"/>
  <c r="B612" i="19"/>
  <c r="A612" i="19"/>
  <c r="P611" i="19"/>
  <c r="E611" i="19"/>
  <c r="C611" i="19"/>
  <c r="O611" i="19"/>
  <c r="B611" i="19"/>
  <c r="A611" i="19"/>
  <c r="P610" i="19"/>
  <c r="E610" i="19"/>
  <c r="C610" i="19"/>
  <c r="O610" i="19"/>
  <c r="B610" i="19"/>
  <c r="A610" i="19"/>
  <c r="P609" i="19"/>
  <c r="E609" i="19"/>
  <c r="C609" i="19"/>
  <c r="O609" i="19"/>
  <c r="B609" i="19"/>
  <c r="A609" i="19"/>
  <c r="P608" i="19"/>
  <c r="E608" i="19"/>
  <c r="C608" i="19"/>
  <c r="O608" i="19"/>
  <c r="B608" i="19"/>
  <c r="A608" i="19"/>
  <c r="P596" i="19"/>
  <c r="E596" i="19"/>
  <c r="C596" i="19"/>
  <c r="O596" i="19"/>
  <c r="B596" i="19"/>
  <c r="A596" i="19"/>
  <c r="P591" i="19"/>
  <c r="E591" i="19"/>
  <c r="C591" i="19"/>
  <c r="O591" i="19"/>
  <c r="B591" i="19"/>
  <c r="A591" i="19"/>
  <c r="P604" i="19"/>
  <c r="E604" i="19"/>
  <c r="C604" i="19"/>
  <c r="O604" i="19"/>
  <c r="B604" i="19"/>
  <c r="A604" i="19"/>
  <c r="P603" i="19"/>
  <c r="E603" i="19"/>
  <c r="C603" i="19"/>
  <c r="O603" i="19"/>
  <c r="B603" i="19"/>
  <c r="A603" i="19"/>
  <c r="P602" i="19"/>
  <c r="E602" i="19"/>
  <c r="C602" i="19"/>
  <c r="O602" i="19"/>
  <c r="B602" i="19"/>
  <c r="A602" i="19"/>
  <c r="P601" i="19"/>
  <c r="E601" i="19"/>
  <c r="C601" i="19"/>
  <c r="O601" i="19"/>
  <c r="B601" i="19"/>
  <c r="A601" i="19"/>
  <c r="P600" i="19"/>
  <c r="E600" i="19"/>
  <c r="C600" i="19"/>
  <c r="O600" i="19"/>
  <c r="B600" i="19"/>
  <c r="A600" i="19"/>
  <c r="P599" i="19"/>
  <c r="E599" i="19"/>
  <c r="C599" i="19"/>
  <c r="O599" i="19"/>
  <c r="B599" i="19"/>
  <c r="A599" i="19"/>
  <c r="P598" i="19"/>
  <c r="E598" i="19"/>
  <c r="C598" i="19"/>
  <c r="O598" i="19"/>
  <c r="B598" i="19"/>
  <c r="A598" i="19"/>
  <c r="P597" i="19"/>
  <c r="E597" i="19"/>
  <c r="C597" i="19"/>
  <c r="O597" i="19"/>
  <c r="B597" i="19"/>
  <c r="A597" i="19"/>
  <c r="E595" i="19"/>
  <c r="C595" i="19"/>
  <c r="B595" i="19"/>
  <c r="A595" i="19"/>
  <c r="E594" i="19"/>
  <c r="C594" i="19"/>
  <c r="B594" i="19"/>
  <c r="A594" i="19"/>
  <c r="E593" i="19"/>
  <c r="C593" i="19"/>
  <c r="B593" i="19"/>
  <c r="A593" i="19"/>
  <c r="E592" i="19"/>
  <c r="C592" i="19"/>
  <c r="B592" i="19"/>
  <c r="A592" i="19"/>
  <c r="E590" i="19"/>
  <c r="C590" i="19"/>
  <c r="B590" i="19"/>
  <c r="A590" i="19"/>
  <c r="E589" i="19"/>
  <c r="C589" i="19"/>
  <c r="B589" i="19"/>
  <c r="A589" i="19"/>
  <c r="E588" i="19"/>
  <c r="C588" i="19"/>
  <c r="B588" i="19"/>
  <c r="A588" i="19"/>
  <c r="O607" i="19"/>
  <c r="C607" i="19"/>
  <c r="B16" i="9"/>
  <c r="P607" i="19"/>
  <c r="L607" i="19"/>
  <c r="D16" i="9"/>
  <c r="N15" i="19"/>
  <c r="A28" i="19"/>
  <c r="N119" i="19"/>
  <c r="C6" i="19"/>
  <c r="N454" i="19"/>
  <c r="N350" i="19"/>
  <c r="N571" i="19"/>
  <c r="N556" i="19"/>
  <c r="N550" i="19"/>
  <c r="N540" i="19"/>
  <c r="N532" i="19"/>
  <c r="N526" i="19"/>
  <c r="N507" i="19"/>
  <c r="N491" i="19"/>
  <c r="N464" i="19"/>
  <c r="N446" i="19"/>
  <c r="N445" i="19"/>
  <c r="N437" i="19"/>
  <c r="N430" i="19"/>
  <c r="N423" i="19"/>
  <c r="N410" i="19"/>
  <c r="N369" i="19"/>
  <c r="N380" i="19"/>
  <c r="P381" i="19"/>
  <c r="P367" i="19"/>
  <c r="N340" i="19"/>
  <c r="N326" i="19"/>
  <c r="N320" i="19"/>
  <c r="N309" i="19"/>
  <c r="N304" i="19"/>
  <c r="N297" i="19"/>
  <c r="N293" i="19"/>
  <c r="N285" i="19"/>
  <c r="N175" i="19"/>
  <c r="N170" i="19"/>
  <c r="N164" i="19"/>
  <c r="N152" i="19"/>
  <c r="N144" i="19"/>
  <c r="N145" i="19"/>
  <c r="N64" i="19"/>
  <c r="N241" i="19"/>
  <c r="N227" i="19"/>
  <c r="N223" i="19"/>
  <c r="N193" i="19"/>
  <c r="N189" i="19"/>
  <c r="N182" i="19"/>
  <c r="N139" i="19"/>
  <c r="P147" i="19"/>
  <c r="P148" i="19"/>
  <c r="P149" i="19"/>
  <c r="P150" i="19"/>
  <c r="P151" i="19"/>
  <c r="P146" i="19"/>
  <c r="P154" i="19"/>
  <c r="N123" i="19"/>
  <c r="N106" i="19"/>
  <c r="N107" i="19"/>
  <c r="C114" i="19"/>
  <c r="C113" i="19"/>
  <c r="C112" i="19"/>
  <c r="C111" i="19"/>
  <c r="C110" i="19"/>
  <c r="C115" i="19"/>
  <c r="C116" i="19"/>
  <c r="C117" i="19"/>
  <c r="C118" i="19"/>
  <c r="N103" i="19"/>
  <c r="N73" i="19"/>
  <c r="C69" i="19"/>
  <c r="N66" i="19"/>
  <c r="N65" i="19"/>
  <c r="P145" i="19"/>
  <c r="P508" i="19"/>
  <c r="P72" i="19"/>
  <c r="P26" i="19"/>
  <c r="P455" i="19"/>
  <c r="P545" i="19"/>
  <c r="P543" i="19"/>
  <c r="P541" i="19"/>
  <c r="P534" i="19"/>
  <c r="P533" i="19"/>
  <c r="P530" i="19"/>
  <c r="P529" i="19"/>
  <c r="P516" i="19"/>
  <c r="P515" i="19"/>
  <c r="P514" i="19"/>
  <c r="P513" i="19"/>
  <c r="P506" i="19"/>
  <c r="P505" i="19"/>
  <c r="P504" i="19"/>
  <c r="P503" i="19"/>
  <c r="P502" i="19"/>
  <c r="P501" i="19"/>
  <c r="P500" i="19"/>
  <c r="P499" i="19"/>
  <c r="P498" i="19"/>
  <c r="P497" i="19"/>
  <c r="P496" i="19"/>
  <c r="P495" i="19"/>
  <c r="P494" i="19"/>
  <c r="P493" i="19"/>
  <c r="P492" i="19"/>
  <c r="P490" i="19"/>
  <c r="P489" i="19"/>
  <c r="P488" i="19"/>
  <c r="P487" i="19"/>
  <c r="P486" i="19"/>
  <c r="P485" i="19"/>
  <c r="P484" i="19"/>
  <c r="P483" i="19"/>
  <c r="P482" i="19"/>
  <c r="P481" i="19"/>
  <c r="P480" i="19"/>
  <c r="P479" i="19"/>
  <c r="P478" i="19"/>
  <c r="P477" i="19"/>
  <c r="P476" i="19"/>
  <c r="P475" i="19"/>
  <c r="P474" i="19"/>
  <c r="P473" i="19"/>
  <c r="P472" i="19"/>
  <c r="P471" i="19"/>
  <c r="P470" i="19"/>
  <c r="P469" i="19"/>
  <c r="P468" i="19"/>
  <c r="P467" i="19"/>
  <c r="P466" i="19"/>
  <c r="P465" i="19"/>
  <c r="P462" i="19"/>
  <c r="P461" i="19"/>
  <c r="P460" i="19"/>
  <c r="P459" i="19"/>
  <c r="P458" i="19"/>
  <c r="P457" i="19"/>
  <c r="P456" i="19"/>
  <c r="P452" i="19"/>
  <c r="P451" i="19"/>
  <c r="P450" i="19"/>
  <c r="P668" i="19"/>
  <c r="P667" i="19"/>
  <c r="P665" i="19"/>
  <c r="P664" i="19"/>
  <c r="P663" i="19"/>
  <c r="P662" i="19"/>
  <c r="P660" i="19"/>
  <c r="P659" i="19"/>
  <c r="P595" i="19"/>
  <c r="P594" i="19"/>
  <c r="P593" i="19"/>
  <c r="P592" i="19"/>
  <c r="P590" i="19"/>
  <c r="P589" i="19"/>
  <c r="P588" i="19"/>
  <c r="P586" i="19"/>
  <c r="P585" i="19"/>
  <c r="P584" i="19"/>
  <c r="P583" i="19"/>
  <c r="P581" i="19"/>
  <c r="P580" i="19"/>
  <c r="P579" i="19"/>
  <c r="P578" i="19"/>
  <c r="P577" i="19"/>
  <c r="P576" i="19"/>
  <c r="P575" i="19"/>
  <c r="P574" i="19"/>
  <c r="P573" i="19"/>
  <c r="P572" i="19"/>
  <c r="P570" i="19"/>
  <c r="P569" i="19"/>
  <c r="P568" i="19"/>
  <c r="P567" i="19"/>
  <c r="P566" i="19"/>
  <c r="P565" i="19"/>
  <c r="P564" i="19"/>
  <c r="P563" i="19"/>
  <c r="P562" i="19"/>
  <c r="P561" i="19"/>
  <c r="P560" i="19"/>
  <c r="P559" i="19"/>
  <c r="P558" i="19"/>
  <c r="P555" i="19"/>
  <c r="P554" i="19"/>
  <c r="P553" i="19"/>
  <c r="P552" i="19"/>
  <c r="P551" i="19"/>
  <c r="P547" i="19"/>
  <c r="P546" i="19"/>
  <c r="P544" i="19"/>
  <c r="P542" i="19"/>
  <c r="P539" i="19"/>
  <c r="P538" i="19"/>
  <c r="P537" i="19"/>
  <c r="P536" i="19"/>
  <c r="P535" i="19"/>
  <c r="P531" i="19"/>
  <c r="P528" i="19"/>
  <c r="P527" i="19"/>
  <c r="P525" i="19"/>
  <c r="P524" i="19"/>
  <c r="P523" i="19"/>
  <c r="P522" i="19"/>
  <c r="P521" i="19"/>
  <c r="P520" i="19"/>
  <c r="P519" i="19"/>
  <c r="P518" i="19"/>
  <c r="P512" i="19"/>
  <c r="P511" i="19"/>
  <c r="P510" i="19"/>
  <c r="P509" i="19"/>
  <c r="P463" i="19"/>
  <c r="P453" i="19"/>
  <c r="P449" i="19"/>
  <c r="P448" i="19"/>
  <c r="P447" i="19"/>
  <c r="P444" i="19"/>
  <c r="P443" i="19"/>
  <c r="P442" i="19"/>
  <c r="P441" i="19"/>
  <c r="P440" i="19"/>
  <c r="P439" i="19"/>
  <c r="P438" i="19"/>
  <c r="P436" i="19"/>
  <c r="P435" i="19"/>
  <c r="P434" i="19"/>
  <c r="P433" i="19"/>
  <c r="P432" i="19"/>
  <c r="P431" i="19"/>
  <c r="P428" i="19"/>
  <c r="P427" i="19"/>
  <c r="P426" i="19"/>
  <c r="P425" i="19"/>
  <c r="P424" i="19"/>
  <c r="P422" i="19"/>
  <c r="P421" i="19"/>
  <c r="P420" i="19"/>
  <c r="P419" i="19"/>
  <c r="P418" i="19"/>
  <c r="P417" i="19"/>
  <c r="P416" i="19"/>
  <c r="P415" i="19"/>
  <c r="P414" i="19"/>
  <c r="P413" i="19"/>
  <c r="P412" i="19"/>
  <c r="P411" i="19"/>
  <c r="P409" i="19"/>
  <c r="P408" i="19"/>
  <c r="P407" i="19"/>
  <c r="P406" i="19"/>
  <c r="P405" i="19"/>
  <c r="P404" i="19"/>
  <c r="P403" i="19"/>
  <c r="P402" i="19"/>
  <c r="P401" i="19"/>
  <c r="P400" i="19"/>
  <c r="P399" i="19"/>
  <c r="P398" i="19"/>
  <c r="P397" i="19"/>
  <c r="P396" i="19"/>
  <c r="P395" i="19"/>
  <c r="P394" i="19"/>
  <c r="P391" i="19"/>
  <c r="P390" i="19"/>
  <c r="P389" i="19"/>
  <c r="P388" i="19"/>
  <c r="P387" i="19"/>
  <c r="P386" i="19"/>
  <c r="P385" i="19"/>
  <c r="P384" i="19"/>
  <c r="P383" i="19"/>
  <c r="P382" i="19"/>
  <c r="P379" i="19"/>
  <c r="P378" i="19"/>
  <c r="P377" i="19"/>
  <c r="P376" i="19"/>
  <c r="P375" i="19"/>
  <c r="P374" i="19"/>
  <c r="P373" i="19"/>
  <c r="P372" i="19"/>
  <c r="P371" i="19"/>
  <c r="P370" i="19"/>
  <c r="P366" i="19"/>
  <c r="P365" i="19"/>
  <c r="P364" i="19"/>
  <c r="P363" i="19"/>
  <c r="P362" i="19"/>
  <c r="P361" i="19"/>
  <c r="P360" i="19"/>
  <c r="P359" i="19"/>
  <c r="P358" i="19"/>
  <c r="P357" i="19"/>
  <c r="P356" i="19"/>
  <c r="P355" i="19"/>
  <c r="P354" i="19"/>
  <c r="P353" i="19"/>
  <c r="P352" i="19"/>
  <c r="P351" i="19"/>
  <c r="P349" i="19"/>
  <c r="P348" i="19"/>
  <c r="P347" i="19"/>
  <c r="P346" i="19"/>
  <c r="P345" i="19"/>
  <c r="P344" i="19"/>
  <c r="P343" i="19"/>
  <c r="P342" i="19"/>
  <c r="P341" i="19"/>
  <c r="P339" i="19"/>
  <c r="P338" i="19"/>
  <c r="P337" i="19"/>
  <c r="P336" i="19"/>
  <c r="P335" i="19"/>
  <c r="P334" i="19"/>
  <c r="P333" i="19"/>
  <c r="P331" i="19"/>
  <c r="P330" i="19"/>
  <c r="P329" i="19"/>
  <c r="P328" i="19"/>
  <c r="P327" i="19"/>
  <c r="P325" i="19"/>
  <c r="P324" i="19"/>
  <c r="P323" i="19"/>
  <c r="P322" i="19"/>
  <c r="P321" i="19"/>
  <c r="P316" i="19"/>
  <c r="P315" i="19"/>
  <c r="P314" i="19"/>
  <c r="P311" i="19"/>
  <c r="P310" i="19"/>
  <c r="P308" i="19"/>
  <c r="P307" i="19"/>
  <c r="P306" i="19"/>
  <c r="P305" i="19"/>
  <c r="P303" i="19"/>
  <c r="P302" i="19"/>
  <c r="P301" i="19"/>
  <c r="P300" i="19"/>
  <c r="P299" i="19"/>
  <c r="P298" i="19"/>
  <c r="P296" i="19"/>
  <c r="P295" i="19"/>
  <c r="P294" i="19"/>
  <c r="P292" i="19"/>
  <c r="P291" i="19"/>
  <c r="P290" i="19"/>
  <c r="P289" i="19"/>
  <c r="P288" i="19"/>
  <c r="P287" i="19"/>
  <c r="P286" i="19"/>
  <c r="P284" i="19"/>
  <c r="P283" i="19"/>
  <c r="P282" i="19"/>
  <c r="P281" i="19"/>
  <c r="P280" i="19"/>
  <c r="P279" i="19"/>
  <c r="P278" i="19"/>
  <c r="P277" i="19"/>
  <c r="P276" i="19"/>
  <c r="P275" i="19"/>
  <c r="P274" i="19"/>
  <c r="P273" i="19"/>
  <c r="P272" i="19"/>
  <c r="P271" i="19"/>
  <c r="P270" i="19"/>
  <c r="P269" i="19"/>
  <c r="P268" i="19"/>
  <c r="P267" i="19"/>
  <c r="P266" i="19"/>
  <c r="P265" i="19"/>
  <c r="P264" i="19"/>
  <c r="P263" i="19"/>
  <c r="P262" i="19"/>
  <c r="P261" i="19"/>
  <c r="P260" i="19"/>
  <c r="P259" i="19"/>
  <c r="P258" i="19"/>
  <c r="P257" i="19"/>
  <c r="P256" i="19"/>
  <c r="P255" i="19"/>
  <c r="P254" i="19"/>
  <c r="P253" i="19"/>
  <c r="P252" i="19"/>
  <c r="P251" i="19"/>
  <c r="P250" i="19"/>
  <c r="P248" i="19"/>
  <c r="P247" i="19"/>
  <c r="P246" i="19"/>
  <c r="P245" i="19"/>
  <c r="P244" i="19"/>
  <c r="P243" i="19"/>
  <c r="P242" i="19"/>
  <c r="P239" i="19"/>
  <c r="P238" i="19"/>
  <c r="P237" i="19"/>
  <c r="P236" i="19"/>
  <c r="P235" i="19"/>
  <c r="P234" i="19"/>
  <c r="P233" i="19"/>
  <c r="P232" i="19"/>
  <c r="P231" i="19"/>
  <c r="P230" i="19"/>
  <c r="P229" i="19"/>
  <c r="P228" i="19"/>
  <c r="P226" i="19"/>
  <c r="P225" i="19"/>
  <c r="P224" i="19"/>
  <c r="P222" i="19"/>
  <c r="P221" i="19"/>
  <c r="P220" i="19"/>
  <c r="P219" i="19"/>
  <c r="P218" i="19"/>
  <c r="P217" i="19"/>
  <c r="P216" i="19"/>
  <c r="P215" i="19"/>
  <c r="P214" i="19"/>
  <c r="P213" i="19"/>
  <c r="P212" i="19"/>
  <c r="P211" i="19"/>
  <c r="P210" i="19"/>
  <c r="P209" i="19"/>
  <c r="P208" i="19"/>
  <c r="P207" i="19"/>
  <c r="P206" i="19"/>
  <c r="P205" i="19"/>
  <c r="P204" i="19"/>
  <c r="P203" i="19"/>
  <c r="P202" i="19"/>
  <c r="P201" i="19"/>
  <c r="P200" i="19"/>
  <c r="P199" i="19"/>
  <c r="P198" i="19"/>
  <c r="P197" i="19"/>
  <c r="P196" i="19"/>
  <c r="P195" i="19"/>
  <c r="P194" i="19"/>
  <c r="P192" i="19"/>
  <c r="P191" i="19"/>
  <c r="P190" i="19"/>
  <c r="P188" i="19"/>
  <c r="P187" i="19"/>
  <c r="P186" i="19"/>
  <c r="P185" i="19"/>
  <c r="P184" i="19"/>
  <c r="P183" i="19"/>
  <c r="P181" i="19"/>
  <c r="P180" i="19"/>
  <c r="P179" i="19"/>
  <c r="P178" i="19"/>
  <c r="P177" i="19"/>
  <c r="P176" i="19"/>
  <c r="P174" i="19"/>
  <c r="P173" i="19"/>
  <c r="P172" i="19"/>
  <c r="P171" i="19"/>
  <c r="P169" i="19"/>
  <c r="P168" i="19"/>
  <c r="P167" i="19"/>
  <c r="P166" i="19"/>
  <c r="P165" i="19"/>
  <c r="P163" i="19"/>
  <c r="P162" i="19"/>
  <c r="P161" i="19"/>
  <c r="P160" i="19"/>
  <c r="P159" i="19"/>
  <c r="P158" i="19"/>
  <c r="P157" i="19"/>
  <c r="P156" i="19"/>
  <c r="P155" i="19"/>
  <c r="P153" i="19"/>
  <c r="P143" i="19"/>
  <c r="P142" i="19"/>
  <c r="P141" i="19"/>
  <c r="P140" i="19"/>
  <c r="P138" i="19"/>
  <c r="P137" i="19"/>
  <c r="P136" i="19"/>
  <c r="P135" i="19"/>
  <c r="P134" i="19"/>
  <c r="P132" i="19"/>
  <c r="P131" i="19"/>
  <c r="P130" i="19"/>
  <c r="P129" i="19"/>
  <c r="P126" i="19"/>
  <c r="P125" i="19"/>
  <c r="P124" i="19"/>
  <c r="P122" i="19"/>
  <c r="P121" i="19"/>
  <c r="P120" i="19"/>
  <c r="P118" i="19"/>
  <c r="P117" i="19"/>
  <c r="P116" i="19"/>
  <c r="P115" i="19"/>
  <c r="P114" i="19"/>
  <c r="P113" i="19"/>
  <c r="P112" i="19"/>
  <c r="P111" i="19"/>
  <c r="P110" i="19"/>
  <c r="P109" i="19"/>
  <c r="P108" i="19"/>
  <c r="P105" i="19"/>
  <c r="P104" i="19"/>
  <c r="P102" i="19"/>
  <c r="P101" i="19"/>
  <c r="P100" i="19"/>
  <c r="P99" i="19"/>
  <c r="P98" i="19"/>
  <c r="P97" i="19"/>
  <c r="P96" i="19"/>
  <c r="P95" i="19"/>
  <c r="P94" i="19"/>
  <c r="P93" i="19"/>
  <c r="P92" i="19"/>
  <c r="P90" i="19"/>
  <c r="P89" i="19"/>
  <c r="P88" i="19"/>
  <c r="P87" i="19"/>
  <c r="P86" i="19"/>
  <c r="P85" i="19"/>
  <c r="P84" i="19"/>
  <c r="P83" i="19"/>
  <c r="P82" i="19"/>
  <c r="P81" i="19"/>
  <c r="P80" i="19"/>
  <c r="P79" i="19"/>
  <c r="P78" i="19"/>
  <c r="P77" i="19"/>
  <c r="P76" i="19"/>
  <c r="P75" i="19"/>
  <c r="P74" i="19"/>
  <c r="P71" i="19"/>
  <c r="P70" i="19"/>
  <c r="P69" i="19"/>
  <c r="P68" i="19"/>
  <c r="P67" i="19"/>
  <c r="P63" i="19"/>
  <c r="P62" i="19"/>
  <c r="P61" i="19"/>
  <c r="P60" i="19"/>
  <c r="P59" i="19"/>
  <c r="P58" i="19"/>
  <c r="P57" i="19"/>
  <c r="P55" i="19"/>
  <c r="P54" i="19"/>
  <c r="P53" i="19"/>
  <c r="P52" i="19"/>
  <c r="P51" i="19"/>
  <c r="P50" i="19"/>
  <c r="P49" i="19"/>
  <c r="P48" i="19"/>
  <c r="P47" i="19"/>
  <c r="P46" i="19"/>
  <c r="P45" i="19"/>
  <c r="P44" i="19"/>
  <c r="P43" i="19"/>
  <c r="P41" i="19"/>
  <c r="P40" i="19"/>
  <c r="P39" i="19"/>
  <c r="P38" i="19"/>
  <c r="P37" i="19"/>
  <c r="P36" i="19"/>
  <c r="P35" i="19"/>
  <c r="P34" i="19"/>
  <c r="P33" i="19"/>
  <c r="P32" i="19"/>
  <c r="P31" i="19"/>
  <c r="P30" i="19"/>
  <c r="P28" i="19"/>
  <c r="P27" i="19"/>
  <c r="P25" i="19"/>
  <c r="P24" i="19"/>
  <c r="P23" i="19"/>
  <c r="P22" i="19"/>
  <c r="P21" i="19"/>
  <c r="P20" i="19"/>
  <c r="P19" i="19"/>
  <c r="P18" i="19"/>
  <c r="P17" i="19"/>
  <c r="P16" i="19"/>
  <c r="P14" i="19"/>
  <c r="P13" i="19"/>
  <c r="P12" i="19"/>
  <c r="P11" i="19"/>
  <c r="P10" i="19"/>
  <c r="P9" i="19"/>
  <c r="P8" i="19"/>
  <c r="P7" i="19"/>
  <c r="P6" i="19"/>
  <c r="N582" i="19"/>
  <c r="N557" i="19"/>
  <c r="A530" i="19"/>
  <c r="B530" i="19"/>
  <c r="C530" i="19"/>
  <c r="O530" i="19"/>
  <c r="E530" i="19"/>
  <c r="A531" i="19"/>
  <c r="B531" i="19"/>
  <c r="C531" i="19"/>
  <c r="O531" i="19"/>
  <c r="E531" i="19"/>
  <c r="N517" i="19"/>
  <c r="N429" i="19"/>
  <c r="N393" i="19"/>
  <c r="B244" i="19"/>
  <c r="N249" i="19"/>
  <c r="N133" i="19"/>
  <c r="N128" i="19"/>
  <c r="N91" i="19"/>
  <c r="N56" i="19"/>
  <c r="N127" i="19"/>
  <c r="N5" i="19"/>
  <c r="N392" i="19"/>
  <c r="N368" i="19"/>
  <c r="N319" i="19"/>
  <c r="P587" i="19"/>
  <c r="P123" i="19"/>
  <c r="P540" i="19"/>
  <c r="L540" i="19"/>
  <c r="P430" i="19"/>
  <c r="L430" i="19"/>
  <c r="P454" i="19"/>
  <c r="R454" i="19"/>
  <c r="P446" i="19"/>
  <c r="L446" i="19"/>
  <c r="R145" i="19"/>
  <c r="L145" i="19"/>
  <c r="P437" i="19"/>
  <c r="P517" i="19"/>
  <c r="P526" i="19"/>
  <c r="L526" i="19"/>
  <c r="P582" i="19"/>
  <c r="P464" i="19"/>
  <c r="P380" i="19"/>
  <c r="L380" i="19"/>
  <c r="P532" i="19"/>
  <c r="L532" i="19"/>
  <c r="P507" i="19"/>
  <c r="P393" i="19"/>
  <c r="P410" i="19"/>
  <c r="P557" i="19"/>
  <c r="P491" i="19"/>
  <c r="P340" i="19"/>
  <c r="P550" i="19"/>
  <c r="P350" i="19"/>
  <c r="P369" i="19"/>
  <c r="P423" i="19"/>
  <c r="L423" i="19"/>
  <c r="P571" i="19"/>
  <c r="P170" i="19"/>
  <c r="P189" i="19"/>
  <c r="P223" i="19"/>
  <c r="P293" i="19"/>
  <c r="P164" i="19"/>
  <c r="P152" i="19"/>
  <c r="P285" i="19"/>
  <c r="L285" i="19"/>
  <c r="P304" i="19"/>
  <c r="P182" i="19"/>
  <c r="P320" i="19"/>
  <c r="R320" i="19"/>
  <c r="P193" i="19"/>
  <c r="P227" i="19"/>
  <c r="P297" i="19"/>
  <c r="P175" i="19"/>
  <c r="P309" i="19"/>
  <c r="P249" i="19"/>
  <c r="P15" i="19"/>
  <c r="P241" i="19"/>
  <c r="P326" i="19"/>
  <c r="P128" i="19"/>
  <c r="P119" i="19"/>
  <c r="L119" i="19"/>
  <c r="P139" i="19"/>
  <c r="P73" i="19"/>
  <c r="P91" i="19"/>
  <c r="P66" i="19"/>
  <c r="P107" i="19"/>
  <c r="R107" i="19"/>
  <c r="P103" i="19"/>
  <c r="R103" i="19"/>
  <c r="P133" i="19"/>
  <c r="P29" i="19"/>
  <c r="P56" i="19"/>
  <c r="P42" i="19"/>
  <c r="P5" i="19"/>
  <c r="L5" i="19"/>
  <c r="P658" i="19"/>
  <c r="R658" i="19"/>
  <c r="L66" i="19"/>
  <c r="R66" i="19"/>
  <c r="R430" i="19"/>
  <c r="R380" i="19"/>
  <c r="R526" i="19"/>
  <c r="L454" i="19"/>
  <c r="R532" i="19"/>
  <c r="R446" i="19"/>
  <c r="R557" i="19"/>
  <c r="L557" i="19"/>
  <c r="R464" i="19"/>
  <c r="L464" i="19"/>
  <c r="R491" i="19"/>
  <c r="L491" i="19"/>
  <c r="R582" i="19"/>
  <c r="L582" i="19"/>
  <c r="R540" i="19"/>
  <c r="R571" i="19"/>
  <c r="L571" i="19"/>
  <c r="R550" i="19"/>
  <c r="L550" i="19"/>
  <c r="R507" i="19"/>
  <c r="L507" i="19"/>
  <c r="R517" i="19"/>
  <c r="L517" i="19"/>
  <c r="R91" i="19"/>
  <c r="L91" i="19"/>
  <c r="R249" i="19"/>
  <c r="L249" i="19"/>
  <c r="R304" i="19"/>
  <c r="L304" i="19"/>
  <c r="R309" i="19"/>
  <c r="L309" i="19"/>
  <c r="R340" i="19"/>
  <c r="L340" i="19"/>
  <c r="R437" i="19"/>
  <c r="L437" i="19"/>
  <c r="R56" i="19"/>
  <c r="L56" i="19"/>
  <c r="R175" i="19"/>
  <c r="L175" i="19"/>
  <c r="R139" i="19"/>
  <c r="L139" i="19"/>
  <c r="R164" i="19"/>
  <c r="L164" i="19"/>
  <c r="L103" i="19"/>
  <c r="R326" i="19"/>
  <c r="L326" i="19"/>
  <c r="R193" i="19"/>
  <c r="L193" i="19"/>
  <c r="R223" i="19"/>
  <c r="L223" i="19"/>
  <c r="R152" i="19"/>
  <c r="L152" i="19"/>
  <c r="R297" i="19"/>
  <c r="L297" i="19"/>
  <c r="R369" i="19"/>
  <c r="L369" i="19"/>
  <c r="R119" i="19"/>
  <c r="L107" i="19"/>
  <c r="R241" i="19"/>
  <c r="L241" i="19"/>
  <c r="L320" i="19"/>
  <c r="R189" i="19"/>
  <c r="L189" i="19"/>
  <c r="R410" i="19"/>
  <c r="L410" i="19"/>
  <c r="R73" i="19"/>
  <c r="L73" i="19"/>
  <c r="R133" i="19"/>
  <c r="L133" i="19"/>
  <c r="R227" i="19"/>
  <c r="L227" i="19"/>
  <c r="R293" i="19"/>
  <c r="L293" i="19"/>
  <c r="R350" i="19"/>
  <c r="L350" i="19"/>
  <c r="R128" i="19"/>
  <c r="L128" i="19"/>
  <c r="R423" i="19"/>
  <c r="R182" i="19"/>
  <c r="L182" i="19"/>
  <c r="R170" i="19"/>
  <c r="L170" i="19"/>
  <c r="R393" i="19"/>
  <c r="L393" i="19"/>
  <c r="R5" i="19"/>
  <c r="N4" i="19"/>
  <c r="B321" i="19"/>
  <c r="E425" i="19"/>
  <c r="E426" i="19"/>
  <c r="E427" i="19"/>
  <c r="E428" i="19"/>
  <c r="E424" i="19"/>
  <c r="E410" i="19"/>
  <c r="E411" i="19"/>
  <c r="E412" i="19"/>
  <c r="E413" i="19"/>
  <c r="E414" i="19"/>
  <c r="E415" i="19"/>
  <c r="E416" i="19"/>
  <c r="E417" i="19"/>
  <c r="E418" i="19"/>
  <c r="E419" i="19"/>
  <c r="E420" i="19"/>
  <c r="E421" i="19"/>
  <c r="E422" i="19"/>
  <c r="E423" i="19"/>
  <c r="E404" i="19"/>
  <c r="E405" i="19"/>
  <c r="E406" i="19"/>
  <c r="E407" i="19"/>
  <c r="E408" i="19"/>
  <c r="E409" i="19"/>
  <c r="E395" i="19"/>
  <c r="E396" i="19"/>
  <c r="E397" i="19"/>
  <c r="E398" i="19"/>
  <c r="E399" i="19"/>
  <c r="E400" i="19"/>
  <c r="E401" i="19"/>
  <c r="E402" i="19"/>
  <c r="E403" i="19"/>
  <c r="E394" i="19"/>
  <c r="E371" i="19"/>
  <c r="E372" i="19"/>
  <c r="E373" i="19"/>
  <c r="E374" i="19"/>
  <c r="E375" i="19"/>
  <c r="E376" i="19"/>
  <c r="E377" i="19"/>
  <c r="E378" i="19"/>
  <c r="E379" i="19"/>
  <c r="E380" i="19"/>
  <c r="E381" i="19"/>
  <c r="E382" i="19"/>
  <c r="E383" i="19"/>
  <c r="E384" i="19"/>
  <c r="E385" i="19"/>
  <c r="E386" i="19"/>
  <c r="E387" i="19"/>
  <c r="E388" i="19"/>
  <c r="E389" i="19"/>
  <c r="E390" i="19"/>
  <c r="E391" i="19"/>
  <c r="E370" i="19"/>
  <c r="E359" i="19"/>
  <c r="E360" i="19"/>
  <c r="E361" i="19"/>
  <c r="E362" i="19"/>
  <c r="E363" i="19"/>
  <c r="E364" i="19"/>
  <c r="E365" i="19"/>
  <c r="E366" i="19"/>
  <c r="E367" i="19"/>
  <c r="E352" i="19"/>
  <c r="E353" i="19"/>
  <c r="E354" i="19"/>
  <c r="E355" i="19"/>
  <c r="E356" i="19"/>
  <c r="E357" i="19"/>
  <c r="E358" i="19"/>
  <c r="E351" i="19"/>
  <c r="E347" i="19"/>
  <c r="E348" i="19"/>
  <c r="E349" i="19"/>
  <c r="E342" i="19"/>
  <c r="E343" i="19"/>
  <c r="E344" i="19"/>
  <c r="E345" i="19"/>
  <c r="E346" i="19"/>
  <c r="E341" i="19"/>
  <c r="E340" i="19"/>
  <c r="E350" i="19"/>
  <c r="E327" i="19"/>
  <c r="E328" i="19"/>
  <c r="E329" i="19"/>
  <c r="E330" i="19"/>
  <c r="E331" i="19"/>
  <c r="E333" i="19"/>
  <c r="E334" i="19"/>
  <c r="E335" i="19"/>
  <c r="E336" i="19"/>
  <c r="E316" i="19"/>
  <c r="E337" i="19"/>
  <c r="E338" i="19"/>
  <c r="E339" i="19"/>
  <c r="E322" i="19"/>
  <c r="E323" i="19"/>
  <c r="E324" i="19"/>
  <c r="E325" i="19"/>
  <c r="E311" i="19"/>
  <c r="E314" i="19"/>
  <c r="E315" i="19"/>
  <c r="E310" i="19"/>
  <c r="E306" i="19"/>
  <c r="E307" i="19"/>
  <c r="E308" i="19"/>
  <c r="E305" i="19"/>
  <c r="E299" i="19"/>
  <c r="E300" i="19"/>
  <c r="E301" i="19"/>
  <c r="E302" i="19"/>
  <c r="E303" i="19"/>
  <c r="E298" i="19"/>
  <c r="E295" i="19"/>
  <c r="E296" i="19"/>
  <c r="E294" i="19"/>
  <c r="E287" i="19"/>
  <c r="E288" i="19"/>
  <c r="E289" i="19"/>
  <c r="E290" i="19"/>
  <c r="E291" i="19"/>
  <c r="E292" i="19"/>
  <c r="E286" i="19"/>
  <c r="E267" i="19"/>
  <c r="E268" i="19"/>
  <c r="E269" i="19"/>
  <c r="E270" i="19"/>
  <c r="E271" i="19"/>
  <c r="E272" i="19"/>
  <c r="E273" i="19"/>
  <c r="E274" i="19"/>
  <c r="E275" i="19"/>
  <c r="E276" i="19"/>
  <c r="E277" i="19"/>
  <c r="E278" i="19"/>
  <c r="E279" i="19"/>
  <c r="E280" i="19"/>
  <c r="E281" i="19"/>
  <c r="E282" i="19"/>
  <c r="E283" i="19"/>
  <c r="E284" i="19"/>
  <c r="E251" i="19"/>
  <c r="E252" i="19"/>
  <c r="E253" i="19"/>
  <c r="E254" i="19"/>
  <c r="E255" i="19"/>
  <c r="E256" i="19"/>
  <c r="E257" i="19"/>
  <c r="E258" i="19"/>
  <c r="E259" i="19"/>
  <c r="E260" i="19"/>
  <c r="E261" i="19"/>
  <c r="E262" i="19"/>
  <c r="E263" i="19"/>
  <c r="E264" i="19"/>
  <c r="E265" i="19"/>
  <c r="E266" i="19"/>
  <c r="E250" i="19"/>
  <c r="E243" i="19"/>
  <c r="E244" i="19"/>
  <c r="E245" i="19"/>
  <c r="E246" i="19"/>
  <c r="E247" i="19"/>
  <c r="E248" i="19"/>
  <c r="E242" i="19"/>
  <c r="E229" i="19"/>
  <c r="E230" i="19"/>
  <c r="E231" i="19"/>
  <c r="E232" i="19"/>
  <c r="E233" i="19"/>
  <c r="E234" i="19"/>
  <c r="E235" i="19"/>
  <c r="E236" i="19"/>
  <c r="E237" i="19"/>
  <c r="E238" i="19"/>
  <c r="E239" i="19"/>
  <c r="E228" i="19"/>
  <c r="E225" i="19"/>
  <c r="E226" i="19"/>
  <c r="E224" i="19"/>
  <c r="E222" i="19"/>
  <c r="E203" i="19"/>
  <c r="E204" i="19"/>
  <c r="E205" i="19"/>
  <c r="E206" i="19"/>
  <c r="E207" i="19"/>
  <c r="E208" i="19"/>
  <c r="E209" i="19"/>
  <c r="E210" i="19"/>
  <c r="E211" i="19"/>
  <c r="E212" i="19"/>
  <c r="E213" i="19"/>
  <c r="E214" i="19"/>
  <c r="E215" i="19"/>
  <c r="E216" i="19"/>
  <c r="E217" i="19"/>
  <c r="E218" i="19"/>
  <c r="E219" i="19"/>
  <c r="E220" i="19"/>
  <c r="E221" i="19"/>
  <c r="E195" i="19"/>
  <c r="E196" i="19"/>
  <c r="E197" i="19"/>
  <c r="E198" i="19"/>
  <c r="E199" i="19"/>
  <c r="E200" i="19"/>
  <c r="E201" i="19"/>
  <c r="E202" i="19"/>
  <c r="E194" i="19"/>
  <c r="E191" i="19"/>
  <c r="E192" i="19"/>
  <c r="E190" i="19"/>
  <c r="E184" i="19"/>
  <c r="E185" i="19"/>
  <c r="E186" i="19"/>
  <c r="E187" i="19"/>
  <c r="E188" i="19"/>
  <c r="E183" i="19"/>
  <c r="E177" i="19"/>
  <c r="E178" i="19"/>
  <c r="E179" i="19"/>
  <c r="E180" i="19"/>
  <c r="E181" i="19"/>
  <c r="E176" i="19"/>
  <c r="E172" i="19"/>
  <c r="E173" i="19"/>
  <c r="E174" i="19"/>
  <c r="E171" i="19"/>
  <c r="E166" i="19"/>
  <c r="E167" i="19"/>
  <c r="E168" i="19"/>
  <c r="E169" i="19"/>
  <c r="E165" i="19"/>
  <c r="E163" i="19"/>
  <c r="E154" i="19"/>
  <c r="E155" i="19"/>
  <c r="E156" i="19"/>
  <c r="E157" i="19"/>
  <c r="E158" i="19"/>
  <c r="E159" i="19"/>
  <c r="E160" i="19"/>
  <c r="E161" i="19"/>
  <c r="E162" i="19"/>
  <c r="E153" i="19"/>
  <c r="E147" i="19"/>
  <c r="E148" i="19"/>
  <c r="E149" i="19"/>
  <c r="E150" i="19"/>
  <c r="E151" i="19"/>
  <c r="E146" i="19"/>
  <c r="E141" i="19"/>
  <c r="E142" i="19"/>
  <c r="E143" i="19"/>
  <c r="E140" i="19"/>
  <c r="E135" i="19"/>
  <c r="E136" i="19"/>
  <c r="E137" i="19"/>
  <c r="E138" i="19"/>
  <c r="E130" i="19"/>
  <c r="E131" i="19"/>
  <c r="E132" i="19"/>
  <c r="E129" i="19"/>
  <c r="E125" i="19"/>
  <c r="E126" i="19"/>
  <c r="E124" i="19"/>
  <c r="E120" i="19"/>
  <c r="E109" i="19"/>
  <c r="E110" i="19"/>
  <c r="E111" i="19"/>
  <c r="E112" i="19"/>
  <c r="E113" i="19"/>
  <c r="E114" i="19"/>
  <c r="E115" i="19"/>
  <c r="E116" i="19"/>
  <c r="E117" i="19"/>
  <c r="E118" i="19"/>
  <c r="E105" i="19"/>
  <c r="E93" i="19"/>
  <c r="E94" i="19"/>
  <c r="E95" i="19"/>
  <c r="E96" i="19"/>
  <c r="E97" i="19"/>
  <c r="E98" i="19"/>
  <c r="E99" i="19"/>
  <c r="E100" i="19"/>
  <c r="E101" i="19"/>
  <c r="E102" i="19"/>
  <c r="E92" i="19"/>
  <c r="E84" i="19"/>
  <c r="E85" i="19"/>
  <c r="E86" i="19"/>
  <c r="E87" i="19"/>
  <c r="E88" i="19"/>
  <c r="E89" i="19"/>
  <c r="E90" i="19"/>
  <c r="E75" i="19"/>
  <c r="E76" i="19"/>
  <c r="E77" i="19"/>
  <c r="E78" i="19"/>
  <c r="E79" i="19"/>
  <c r="E80" i="19"/>
  <c r="E81" i="19"/>
  <c r="E82" i="19"/>
  <c r="E83" i="19"/>
  <c r="E74" i="19"/>
  <c r="E68" i="19"/>
  <c r="E69" i="19"/>
  <c r="E70" i="19"/>
  <c r="E71" i="19"/>
  <c r="E72" i="19"/>
  <c r="E58" i="19"/>
  <c r="E59" i="19"/>
  <c r="E60" i="19"/>
  <c r="E61" i="19"/>
  <c r="E62" i="19"/>
  <c r="E63" i="19"/>
  <c r="E57" i="19"/>
  <c r="E44" i="19"/>
  <c r="E45" i="19"/>
  <c r="E46" i="19"/>
  <c r="E47" i="19"/>
  <c r="E48" i="19"/>
  <c r="E49" i="19"/>
  <c r="E50" i="19"/>
  <c r="E51" i="19"/>
  <c r="E52" i="19"/>
  <c r="E53" i="19"/>
  <c r="E54" i="19"/>
  <c r="E55" i="19"/>
  <c r="E31" i="19"/>
  <c r="E32" i="19"/>
  <c r="E33" i="19"/>
  <c r="E34" i="19"/>
  <c r="E35" i="19"/>
  <c r="E36" i="19"/>
  <c r="E37" i="19"/>
  <c r="E38" i="19"/>
  <c r="E39" i="19"/>
  <c r="E40" i="19"/>
  <c r="E41" i="19"/>
  <c r="E30" i="19"/>
  <c r="E17" i="19"/>
  <c r="E18" i="19"/>
  <c r="E19" i="19"/>
  <c r="E20" i="19"/>
  <c r="E21" i="19"/>
  <c r="E22" i="19"/>
  <c r="E23" i="19"/>
  <c r="E24" i="19"/>
  <c r="E25" i="19"/>
  <c r="E26" i="19"/>
  <c r="E27" i="19"/>
  <c r="E28" i="19"/>
  <c r="E16" i="19"/>
  <c r="E7" i="19"/>
  <c r="E8" i="19"/>
  <c r="E9" i="19"/>
  <c r="E10" i="19"/>
  <c r="E11" i="19"/>
  <c r="E12" i="19"/>
  <c r="E13" i="19"/>
  <c r="E14" i="19"/>
  <c r="E6" i="19"/>
  <c r="P144" i="19"/>
  <c r="L144" i="19"/>
  <c r="D7" i="9"/>
  <c r="E7" i="9"/>
  <c r="L658" i="19"/>
  <c r="P127" i="19"/>
  <c r="R127" i="19"/>
  <c r="P65" i="19"/>
  <c r="R65" i="19"/>
  <c r="P429" i="19"/>
  <c r="L429" i="19"/>
  <c r="D12" i="9"/>
  <c r="E12" i="9"/>
  <c r="E16" i="9"/>
  <c r="P368" i="19"/>
  <c r="L368" i="19"/>
  <c r="D10" i="9"/>
  <c r="E10" i="9"/>
  <c r="P556" i="19"/>
  <c r="L556" i="19"/>
  <c r="D14" i="9"/>
  <c r="E14" i="9"/>
  <c r="L587" i="19"/>
  <c r="D15" i="9"/>
  <c r="E15" i="9"/>
  <c r="P319" i="19"/>
  <c r="L319" i="19"/>
  <c r="D9" i="9"/>
  <c r="E9" i="9"/>
  <c r="P445" i="19"/>
  <c r="P392" i="19"/>
  <c r="L392" i="19"/>
  <c r="D11" i="9"/>
  <c r="E11" i="9"/>
  <c r="C460" i="19"/>
  <c r="O460" i="19"/>
  <c r="C519" i="19"/>
  <c r="O519" i="19"/>
  <c r="C520" i="19"/>
  <c r="O520" i="19"/>
  <c r="C521" i="19"/>
  <c r="O521" i="19"/>
  <c r="C522" i="19"/>
  <c r="O522" i="19"/>
  <c r="C523" i="19"/>
  <c r="O523" i="19"/>
  <c r="C524" i="19"/>
  <c r="O524" i="19"/>
  <c r="C525" i="19"/>
  <c r="O525" i="19"/>
  <c r="C518" i="19"/>
  <c r="O518" i="19"/>
  <c r="C509" i="19"/>
  <c r="O509" i="19"/>
  <c r="C510" i="19"/>
  <c r="O510" i="19"/>
  <c r="C511" i="19"/>
  <c r="O511" i="19"/>
  <c r="C512" i="19"/>
  <c r="O512" i="19"/>
  <c r="C513" i="19"/>
  <c r="O513" i="19"/>
  <c r="C514" i="19"/>
  <c r="O514" i="19"/>
  <c r="C515" i="19"/>
  <c r="O515" i="19"/>
  <c r="C516" i="19"/>
  <c r="O516" i="19"/>
  <c r="C508" i="19"/>
  <c r="O508" i="19"/>
  <c r="C493" i="19"/>
  <c r="O493" i="19"/>
  <c r="C494" i="19"/>
  <c r="O494" i="19"/>
  <c r="C495" i="19"/>
  <c r="O495" i="19"/>
  <c r="C496" i="19"/>
  <c r="O496" i="19"/>
  <c r="C497" i="19"/>
  <c r="O497" i="19"/>
  <c r="C498" i="19"/>
  <c r="O498" i="19"/>
  <c r="C499" i="19"/>
  <c r="O499" i="19"/>
  <c r="C500" i="19"/>
  <c r="O500" i="19"/>
  <c r="C501" i="19"/>
  <c r="O501" i="19"/>
  <c r="C502" i="19"/>
  <c r="O502" i="19"/>
  <c r="C503" i="19"/>
  <c r="O503" i="19"/>
  <c r="C504" i="19"/>
  <c r="O504" i="19"/>
  <c r="C505" i="19"/>
  <c r="O505" i="19"/>
  <c r="C506" i="19"/>
  <c r="O506" i="19"/>
  <c r="C492" i="19"/>
  <c r="O492" i="19"/>
  <c r="C490" i="19"/>
  <c r="O490" i="19"/>
  <c r="C481" i="19"/>
  <c r="O481" i="19"/>
  <c r="C482" i="19"/>
  <c r="O482" i="19"/>
  <c r="C483" i="19"/>
  <c r="O483" i="19"/>
  <c r="C484" i="19"/>
  <c r="O484" i="19"/>
  <c r="C485" i="19"/>
  <c r="O485" i="19"/>
  <c r="C486" i="19"/>
  <c r="O486" i="19"/>
  <c r="C487" i="19"/>
  <c r="O487" i="19"/>
  <c r="C488" i="19"/>
  <c r="O488" i="19"/>
  <c r="C489" i="19"/>
  <c r="O489" i="19"/>
  <c r="C466" i="19"/>
  <c r="O466" i="19"/>
  <c r="C467" i="19"/>
  <c r="O467" i="19"/>
  <c r="C468" i="19"/>
  <c r="O468" i="19"/>
  <c r="C469" i="19"/>
  <c r="O469" i="19"/>
  <c r="C470" i="19"/>
  <c r="O470" i="19"/>
  <c r="C471" i="19"/>
  <c r="O471" i="19"/>
  <c r="C472" i="19"/>
  <c r="O472" i="19"/>
  <c r="C473" i="19"/>
  <c r="O473" i="19"/>
  <c r="C474" i="19"/>
  <c r="O474" i="19"/>
  <c r="C475" i="19"/>
  <c r="O475" i="19"/>
  <c r="C476" i="19"/>
  <c r="O476" i="19"/>
  <c r="C477" i="19"/>
  <c r="O477" i="19"/>
  <c r="C478" i="19"/>
  <c r="O478" i="19"/>
  <c r="C479" i="19"/>
  <c r="O479" i="19"/>
  <c r="C480" i="19"/>
  <c r="O480" i="19"/>
  <c r="C465" i="19"/>
  <c r="O465" i="19"/>
  <c r="C456" i="19"/>
  <c r="O456" i="19"/>
  <c r="C457" i="19"/>
  <c r="O457" i="19"/>
  <c r="C458" i="19"/>
  <c r="O458" i="19"/>
  <c r="C459" i="19"/>
  <c r="O459" i="19"/>
  <c r="C461" i="19"/>
  <c r="O461" i="19"/>
  <c r="C462" i="19"/>
  <c r="O462" i="19"/>
  <c r="C463" i="19"/>
  <c r="O463" i="19"/>
  <c r="C455" i="19"/>
  <c r="O455" i="19"/>
  <c r="C448" i="19"/>
  <c r="O448" i="19"/>
  <c r="C449" i="19"/>
  <c r="O449" i="19"/>
  <c r="C450" i="19"/>
  <c r="O450" i="19"/>
  <c r="C451" i="19"/>
  <c r="O451" i="19"/>
  <c r="C452" i="19"/>
  <c r="O452" i="19"/>
  <c r="C453" i="19"/>
  <c r="O453" i="19"/>
  <c r="C447" i="19"/>
  <c r="O447" i="19"/>
  <c r="L65" i="19"/>
  <c r="L127" i="19"/>
  <c r="P629" i="19"/>
  <c r="L629" i="19"/>
  <c r="D17" i="9"/>
  <c r="E17" i="9"/>
  <c r="L445" i="19"/>
  <c r="D13" i="9"/>
  <c r="E13" i="9"/>
  <c r="O454" i="19"/>
  <c r="O464" i="19"/>
  <c r="O446" i="19"/>
  <c r="O507" i="19"/>
  <c r="O491" i="19"/>
  <c r="O517" i="19"/>
  <c r="C367" i="19"/>
  <c r="O367" i="19"/>
  <c r="C104" i="19"/>
  <c r="O104" i="19"/>
  <c r="C105" i="19"/>
  <c r="O105" i="19"/>
  <c r="C454" i="19"/>
  <c r="Q454" i="19"/>
  <c r="Q446" i="19"/>
  <c r="C446" i="19"/>
  <c r="Q517" i="19"/>
  <c r="C517" i="19"/>
  <c r="Q491" i="19"/>
  <c r="C491" i="19"/>
  <c r="Q507" i="19"/>
  <c r="C507" i="19"/>
  <c r="Q464" i="19"/>
  <c r="C464" i="19"/>
  <c r="O103" i="19"/>
  <c r="Q103" i="19"/>
  <c r="O111" i="19"/>
  <c r="O114" i="19"/>
  <c r="C109" i="19"/>
  <c r="O109" i="19"/>
  <c r="C103" i="19"/>
  <c r="B430" i="19"/>
  <c r="B309" i="19"/>
  <c r="B308" i="19"/>
  <c r="A309" i="19"/>
  <c r="B304" i="19"/>
  <c r="A304" i="19"/>
  <c r="B297" i="19"/>
  <c r="B296" i="19"/>
  <c r="A297" i="19"/>
  <c r="B293" i="19"/>
  <c r="A293" i="19"/>
  <c r="A285" i="19"/>
  <c r="B285" i="19"/>
  <c r="E571" i="19"/>
  <c r="E572" i="19"/>
  <c r="E573" i="19"/>
  <c r="E574" i="19"/>
  <c r="E575" i="19"/>
  <c r="E576" i="19"/>
  <c r="E577" i="19"/>
  <c r="E578" i="19"/>
  <c r="E579" i="19"/>
  <c r="E580" i="19"/>
  <c r="E581" i="19"/>
  <c r="E582" i="19"/>
  <c r="E583" i="19"/>
  <c r="E584" i="19"/>
  <c r="E585" i="19"/>
  <c r="E586" i="19"/>
  <c r="E570" i="19"/>
  <c r="E559" i="19"/>
  <c r="E560" i="19"/>
  <c r="E561" i="19"/>
  <c r="E562" i="19"/>
  <c r="E563" i="19"/>
  <c r="E564" i="19"/>
  <c r="E565" i="19"/>
  <c r="E566" i="19"/>
  <c r="E567" i="19"/>
  <c r="E568" i="19"/>
  <c r="E569" i="19"/>
  <c r="E558" i="19"/>
  <c r="E555" i="19"/>
  <c r="E448" i="19"/>
  <c r="E449" i="19"/>
  <c r="E450" i="19"/>
  <c r="E451" i="19"/>
  <c r="E452" i="19"/>
  <c r="E453" i="19"/>
  <c r="E454" i="19"/>
  <c r="E455" i="19"/>
  <c r="E456" i="19"/>
  <c r="E457" i="19"/>
  <c r="E458" i="19"/>
  <c r="E459" i="19"/>
  <c r="E460" i="19"/>
  <c r="E461" i="19"/>
  <c r="E462" i="19"/>
  <c r="E463" i="19"/>
  <c r="E464" i="19"/>
  <c r="E465" i="19"/>
  <c r="E466" i="19"/>
  <c r="E467" i="19"/>
  <c r="E468" i="19"/>
  <c r="E469" i="19"/>
  <c r="E470" i="19"/>
  <c r="E471" i="19"/>
  <c r="E472" i="19"/>
  <c r="E473" i="19"/>
  <c r="E474" i="19"/>
  <c r="E475" i="19"/>
  <c r="E476" i="19"/>
  <c r="E477" i="19"/>
  <c r="E478" i="19"/>
  <c r="E479" i="19"/>
  <c r="E480" i="19"/>
  <c r="E481" i="19"/>
  <c r="E482" i="19"/>
  <c r="E483" i="19"/>
  <c r="E484" i="19"/>
  <c r="E485" i="19"/>
  <c r="E486" i="19"/>
  <c r="E487" i="19"/>
  <c r="E488" i="19"/>
  <c r="E489" i="19"/>
  <c r="E490" i="19"/>
  <c r="E491" i="19"/>
  <c r="E492" i="19"/>
  <c r="E493" i="19"/>
  <c r="E494" i="19"/>
  <c r="E495" i="19"/>
  <c r="E496" i="19"/>
  <c r="E497" i="19"/>
  <c r="E498" i="19"/>
  <c r="E499" i="19"/>
  <c r="E500" i="19"/>
  <c r="E501" i="19"/>
  <c r="E502" i="19"/>
  <c r="E503" i="19"/>
  <c r="E504" i="19"/>
  <c r="E505" i="19"/>
  <c r="E506" i="19"/>
  <c r="E507" i="19"/>
  <c r="E508" i="19"/>
  <c r="E509" i="19"/>
  <c r="E510" i="19"/>
  <c r="E511" i="19"/>
  <c r="E512" i="19"/>
  <c r="E513" i="19"/>
  <c r="E514" i="19"/>
  <c r="E515" i="19"/>
  <c r="E516" i="19"/>
  <c r="E517" i="19"/>
  <c r="E518" i="19"/>
  <c r="E519" i="19"/>
  <c r="E520" i="19"/>
  <c r="E521" i="19"/>
  <c r="E522" i="19"/>
  <c r="E523" i="19"/>
  <c r="E524" i="19"/>
  <c r="E525" i="19"/>
  <c r="E526" i="19"/>
  <c r="E527" i="19"/>
  <c r="E528" i="19"/>
  <c r="E529" i="19"/>
  <c r="E532" i="19"/>
  <c r="E533" i="19"/>
  <c r="E534" i="19"/>
  <c r="E535" i="19"/>
  <c r="E536" i="19"/>
  <c r="E537" i="19"/>
  <c r="E538" i="19"/>
  <c r="E539" i="19"/>
  <c r="E540" i="19"/>
  <c r="E541" i="19"/>
  <c r="E542" i="19"/>
  <c r="E543" i="19"/>
  <c r="E544" i="19"/>
  <c r="E545" i="19"/>
  <c r="E546" i="19"/>
  <c r="E547" i="19"/>
  <c r="E550" i="19"/>
  <c r="E551" i="19"/>
  <c r="E552" i="19"/>
  <c r="E553" i="19"/>
  <c r="E554" i="19"/>
  <c r="E447" i="19"/>
  <c r="E432" i="19"/>
  <c r="E433" i="19"/>
  <c r="E434" i="19"/>
  <c r="E435" i="19"/>
  <c r="E436" i="19"/>
  <c r="E437" i="19"/>
  <c r="E438" i="19"/>
  <c r="E439" i="19"/>
  <c r="E440" i="19"/>
  <c r="E441" i="19"/>
  <c r="E442" i="19"/>
  <c r="E443" i="19"/>
  <c r="E444" i="19"/>
  <c r="E431" i="19"/>
  <c r="E326" i="19"/>
  <c r="E321" i="19"/>
  <c r="E285" i="19"/>
  <c r="A286" i="19"/>
  <c r="B286" i="19"/>
  <c r="C286" i="19"/>
  <c r="O286" i="19"/>
  <c r="A287" i="19"/>
  <c r="B287" i="19"/>
  <c r="C287" i="19"/>
  <c r="O287" i="19"/>
  <c r="A288" i="19"/>
  <c r="B288" i="19"/>
  <c r="C288" i="19"/>
  <c r="O288" i="19"/>
  <c r="A289" i="19"/>
  <c r="B289" i="19"/>
  <c r="C289" i="19"/>
  <c r="O289" i="19"/>
  <c r="A290" i="19"/>
  <c r="B290" i="19"/>
  <c r="C290" i="19"/>
  <c r="O290" i="19"/>
  <c r="A291" i="19"/>
  <c r="B291" i="19"/>
  <c r="C291" i="19"/>
  <c r="O291" i="19"/>
  <c r="A292" i="19"/>
  <c r="B292" i="19"/>
  <c r="C292" i="19"/>
  <c r="O292" i="19"/>
  <c r="E293" i="19"/>
  <c r="A294" i="19"/>
  <c r="B294" i="19"/>
  <c r="C294" i="19"/>
  <c r="O294" i="19"/>
  <c r="A295" i="19"/>
  <c r="B295" i="19"/>
  <c r="C295" i="19"/>
  <c r="O295" i="19"/>
  <c r="A296" i="19"/>
  <c r="C296" i="19"/>
  <c r="O296" i="19"/>
  <c r="E297" i="19"/>
  <c r="A298" i="19"/>
  <c r="B298" i="19"/>
  <c r="C298" i="19"/>
  <c r="O298" i="19"/>
  <c r="A299" i="19"/>
  <c r="B299" i="19"/>
  <c r="C299" i="19"/>
  <c r="O299" i="19"/>
  <c r="A300" i="19"/>
  <c r="B300" i="19"/>
  <c r="C300" i="19"/>
  <c r="O300" i="19"/>
  <c r="A301" i="19"/>
  <c r="B301" i="19"/>
  <c r="C301" i="19"/>
  <c r="O301" i="19"/>
  <c r="A302" i="19"/>
  <c r="B302" i="19"/>
  <c r="C302" i="19"/>
  <c r="O302" i="19"/>
  <c r="A303" i="19"/>
  <c r="B303" i="19"/>
  <c r="C303" i="19"/>
  <c r="O303" i="19"/>
  <c r="E304" i="19"/>
  <c r="A305" i="19"/>
  <c r="B305" i="19"/>
  <c r="C305" i="19"/>
  <c r="O305" i="19"/>
  <c r="A306" i="19"/>
  <c r="B306" i="19"/>
  <c r="C306" i="19"/>
  <c r="O306" i="19"/>
  <c r="A307" i="19"/>
  <c r="B307" i="19"/>
  <c r="C307" i="19"/>
  <c r="O307" i="19"/>
  <c r="A308" i="19"/>
  <c r="C308" i="19"/>
  <c r="O308" i="19"/>
  <c r="E309" i="19"/>
  <c r="A310" i="19"/>
  <c r="B310" i="19"/>
  <c r="C310" i="19"/>
  <c r="O310" i="19"/>
  <c r="A311" i="19"/>
  <c r="B311" i="19"/>
  <c r="C311" i="19"/>
  <c r="O311" i="19"/>
  <c r="A314" i="19"/>
  <c r="B314" i="19"/>
  <c r="C314" i="19"/>
  <c r="O314" i="19"/>
  <c r="A315" i="19"/>
  <c r="B315" i="19"/>
  <c r="C315" i="19"/>
  <c r="O315" i="19"/>
  <c r="A316" i="19"/>
  <c r="B316" i="19"/>
  <c r="C316" i="19"/>
  <c r="O316" i="19"/>
  <c r="A284" i="19"/>
  <c r="B284" i="19"/>
  <c r="C284" i="19"/>
  <c r="O284" i="19"/>
  <c r="B258" i="19"/>
  <c r="E249" i="19"/>
  <c r="E152" i="19"/>
  <c r="E164" i="19"/>
  <c r="E170" i="19"/>
  <c r="E175" i="19"/>
  <c r="E182" i="19"/>
  <c r="E189" i="19"/>
  <c r="E193" i="19"/>
  <c r="E223" i="19"/>
  <c r="E227" i="19"/>
  <c r="E73" i="19"/>
  <c r="E91" i="19"/>
  <c r="E103" i="19"/>
  <c r="E104" i="19"/>
  <c r="E106" i="19"/>
  <c r="E107" i="19"/>
  <c r="E108" i="19"/>
  <c r="E119" i="19"/>
  <c r="E121" i="19"/>
  <c r="E122" i="19"/>
  <c r="E123" i="19"/>
  <c r="E127" i="19"/>
  <c r="E128" i="19"/>
  <c r="E133" i="19"/>
  <c r="E134" i="19"/>
  <c r="E139" i="19"/>
  <c r="E67" i="19"/>
  <c r="E43" i="19"/>
  <c r="O6" i="19"/>
  <c r="O293" i="19"/>
  <c r="O297" i="19"/>
  <c r="O304" i="19"/>
  <c r="O309" i="19"/>
  <c r="O285" i="19"/>
  <c r="C285" i="19"/>
  <c r="Q309" i="19"/>
  <c r="C309" i="19"/>
  <c r="Q297" i="19"/>
  <c r="C297" i="19"/>
  <c r="Q304" i="19"/>
  <c r="C304" i="19"/>
  <c r="Q293" i="19"/>
  <c r="C293" i="19"/>
  <c r="C228" i="19"/>
  <c r="O228" i="19"/>
  <c r="B224" i="19"/>
  <c r="B223" i="19"/>
  <c r="A199" i="19"/>
  <c r="B199" i="19"/>
  <c r="C199" i="19"/>
  <c r="O199" i="19"/>
  <c r="A200" i="19"/>
  <c r="A208" i="19"/>
  <c r="B208" i="19"/>
  <c r="C208" i="19"/>
  <c r="O208" i="19"/>
  <c r="A206" i="19"/>
  <c r="B206" i="19"/>
  <c r="C206" i="19"/>
  <c r="O206" i="19"/>
  <c r="A204" i="19"/>
  <c r="B204" i="19"/>
  <c r="C204" i="19"/>
  <c r="O204" i="19"/>
  <c r="A202" i="19"/>
  <c r="B202" i="19"/>
  <c r="C202" i="19"/>
  <c r="O202" i="19"/>
  <c r="B200" i="19"/>
  <c r="C200" i="19"/>
  <c r="O200" i="19"/>
  <c r="A213" i="19"/>
  <c r="B213" i="19"/>
  <c r="C213" i="19"/>
  <c r="O213" i="19"/>
  <c r="A211" i="19"/>
  <c r="B211" i="19"/>
  <c r="C211" i="19"/>
  <c r="O211" i="19"/>
  <c r="A209" i="19"/>
  <c r="B209" i="19"/>
  <c r="C209" i="19"/>
  <c r="O209" i="19"/>
  <c r="A205" i="19"/>
  <c r="B205" i="19"/>
  <c r="C205" i="19"/>
  <c r="O205" i="19"/>
  <c r="A201" i="19"/>
  <c r="B201" i="19"/>
  <c r="C201" i="19"/>
  <c r="O201" i="19"/>
  <c r="A233" i="13"/>
  <c r="A234" i="13"/>
  <c r="A235" i="13"/>
  <c r="A236" i="13"/>
  <c r="A238" i="13"/>
  <c r="A239" i="13"/>
  <c r="A240" i="13"/>
  <c r="A241" i="13"/>
  <c r="A242" i="13"/>
  <c r="A243" i="13"/>
  <c r="L15" i="19"/>
  <c r="C10" i="19"/>
  <c r="O10" i="19"/>
  <c r="R15" i="19"/>
  <c r="N42" i="19"/>
  <c r="N29" i="19"/>
  <c r="R42" i="19"/>
  <c r="L42" i="19"/>
  <c r="R29" i="19"/>
  <c r="L29" i="19"/>
  <c r="O668" i="19"/>
  <c r="O667" i="19"/>
  <c r="O663" i="19"/>
  <c r="O662" i="19"/>
  <c r="O665" i="19"/>
  <c r="O664" i="19"/>
  <c r="O659" i="19"/>
  <c r="O660" i="19"/>
  <c r="O588" i="19"/>
  <c r="O589" i="19"/>
  <c r="O590" i="19"/>
  <c r="O592" i="19"/>
  <c r="O593" i="19"/>
  <c r="O594" i="19"/>
  <c r="O595" i="19"/>
  <c r="O584" i="19"/>
  <c r="C585" i="19"/>
  <c r="O585" i="19"/>
  <c r="C586" i="19"/>
  <c r="O586" i="19"/>
  <c r="O583" i="19"/>
  <c r="C581" i="19"/>
  <c r="O581" i="19"/>
  <c r="C573" i="19"/>
  <c r="O573" i="19"/>
  <c r="C574" i="19"/>
  <c r="O574" i="19"/>
  <c r="C575" i="19"/>
  <c r="O575" i="19"/>
  <c r="C576" i="19"/>
  <c r="O576" i="19"/>
  <c r="C577" i="19"/>
  <c r="O577" i="19"/>
  <c r="C578" i="19"/>
  <c r="O578" i="19"/>
  <c r="C579" i="19"/>
  <c r="O579" i="19"/>
  <c r="C580" i="19"/>
  <c r="O580" i="19"/>
  <c r="C572" i="19"/>
  <c r="O572" i="19"/>
  <c r="C559" i="19"/>
  <c r="O559" i="19"/>
  <c r="C560" i="19"/>
  <c r="O560" i="19"/>
  <c r="C561" i="19"/>
  <c r="O561" i="19"/>
  <c r="C562" i="19"/>
  <c r="O562" i="19"/>
  <c r="C563" i="19"/>
  <c r="O563" i="19"/>
  <c r="C564" i="19"/>
  <c r="O564" i="19"/>
  <c r="C565" i="19"/>
  <c r="O565" i="19"/>
  <c r="C566" i="19"/>
  <c r="O566" i="19"/>
  <c r="C567" i="19"/>
  <c r="O567" i="19"/>
  <c r="C568" i="19"/>
  <c r="O568" i="19"/>
  <c r="C569" i="19"/>
  <c r="O569" i="19"/>
  <c r="C570" i="19"/>
  <c r="O570" i="19"/>
  <c r="C558" i="19"/>
  <c r="O558" i="19"/>
  <c r="C555" i="19"/>
  <c r="O555" i="19"/>
  <c r="C552" i="19"/>
  <c r="O552" i="19"/>
  <c r="C553" i="19"/>
  <c r="O553" i="19"/>
  <c r="C554" i="19"/>
  <c r="O554" i="19"/>
  <c r="C551" i="19"/>
  <c r="O551" i="19"/>
  <c r="B550" i="19"/>
  <c r="C542" i="19"/>
  <c r="O542" i="19"/>
  <c r="C543" i="19"/>
  <c r="O543" i="19"/>
  <c r="C544" i="19"/>
  <c r="O544" i="19"/>
  <c r="C545" i="19"/>
  <c r="O545" i="19"/>
  <c r="C546" i="19"/>
  <c r="O546" i="19"/>
  <c r="C547" i="19"/>
  <c r="O547" i="19"/>
  <c r="C541" i="19"/>
  <c r="O541" i="19"/>
  <c r="B540" i="19"/>
  <c r="C534" i="19"/>
  <c r="O534" i="19"/>
  <c r="C535" i="19"/>
  <c r="O535" i="19"/>
  <c r="C536" i="19"/>
  <c r="O536" i="19"/>
  <c r="C537" i="19"/>
  <c r="O537" i="19"/>
  <c r="C538" i="19"/>
  <c r="O538" i="19"/>
  <c r="C539" i="19"/>
  <c r="O539" i="19"/>
  <c r="C533" i="19"/>
  <c r="O533" i="19"/>
  <c r="B532" i="19"/>
  <c r="C528" i="19"/>
  <c r="O528" i="19"/>
  <c r="C529" i="19"/>
  <c r="O529" i="19"/>
  <c r="C527" i="19"/>
  <c r="O527" i="19"/>
  <c r="B526" i="19"/>
  <c r="B517" i="19"/>
  <c r="B507" i="19"/>
  <c r="B491" i="19"/>
  <c r="B464" i="19"/>
  <c r="B454" i="19"/>
  <c r="C439" i="19"/>
  <c r="O439" i="19"/>
  <c r="C440" i="19"/>
  <c r="O440" i="19"/>
  <c r="C441" i="19"/>
  <c r="O441" i="19"/>
  <c r="C442" i="19"/>
  <c r="O442" i="19"/>
  <c r="C443" i="19"/>
  <c r="O443" i="19"/>
  <c r="C444" i="19"/>
  <c r="O444" i="19"/>
  <c r="C438" i="19"/>
  <c r="O438" i="19"/>
  <c r="C435" i="19"/>
  <c r="O435" i="19"/>
  <c r="C436" i="19"/>
  <c r="O436" i="19"/>
  <c r="C432" i="19"/>
  <c r="O432" i="19"/>
  <c r="C433" i="19"/>
  <c r="O433" i="19"/>
  <c r="C434" i="19"/>
  <c r="O434" i="19"/>
  <c r="C431" i="19"/>
  <c r="O431" i="19"/>
  <c r="C425" i="19"/>
  <c r="O425" i="19"/>
  <c r="C426" i="19"/>
  <c r="O426" i="19"/>
  <c r="C427" i="19"/>
  <c r="O427" i="19"/>
  <c r="C428" i="19"/>
  <c r="O428" i="19"/>
  <c r="C424" i="19"/>
  <c r="O424" i="19"/>
  <c r="B423" i="19"/>
  <c r="C412" i="19"/>
  <c r="O412" i="19"/>
  <c r="C413" i="19"/>
  <c r="O413" i="19"/>
  <c r="C414" i="19"/>
  <c r="O414" i="19"/>
  <c r="C415" i="19"/>
  <c r="O415" i="19"/>
  <c r="C416" i="19"/>
  <c r="O416" i="19"/>
  <c r="C417" i="19"/>
  <c r="O417" i="19"/>
  <c r="C418" i="19"/>
  <c r="O418" i="19"/>
  <c r="C419" i="19"/>
  <c r="O419" i="19"/>
  <c r="C420" i="19"/>
  <c r="O420" i="19"/>
  <c r="C421" i="19"/>
  <c r="O421" i="19"/>
  <c r="C422" i="19"/>
  <c r="O422" i="19"/>
  <c r="C411" i="19"/>
  <c r="O411" i="19"/>
  <c r="B410" i="19"/>
  <c r="C395" i="19"/>
  <c r="O395" i="19"/>
  <c r="C396" i="19"/>
  <c r="O396" i="19"/>
  <c r="C397" i="19"/>
  <c r="O397" i="19"/>
  <c r="C398" i="19"/>
  <c r="O398" i="19"/>
  <c r="C399" i="19"/>
  <c r="O399" i="19"/>
  <c r="C400" i="19"/>
  <c r="O400" i="19"/>
  <c r="C401" i="19"/>
  <c r="O401" i="19"/>
  <c r="C402" i="19"/>
  <c r="O402" i="19"/>
  <c r="C403" i="19"/>
  <c r="O403" i="19"/>
  <c r="C404" i="19"/>
  <c r="O404" i="19"/>
  <c r="C405" i="19"/>
  <c r="O405" i="19"/>
  <c r="C406" i="19"/>
  <c r="O406" i="19"/>
  <c r="C407" i="19"/>
  <c r="O407" i="19"/>
  <c r="C408" i="19"/>
  <c r="O408" i="19"/>
  <c r="C409" i="19"/>
  <c r="O409" i="19"/>
  <c r="C394" i="19"/>
  <c r="O394" i="19"/>
  <c r="C391" i="19"/>
  <c r="O391" i="19"/>
  <c r="C382" i="19"/>
  <c r="O382" i="19"/>
  <c r="C383" i="19"/>
  <c r="O383" i="19"/>
  <c r="C384" i="19"/>
  <c r="O384" i="19"/>
  <c r="C385" i="19"/>
  <c r="O385" i="19"/>
  <c r="C386" i="19"/>
  <c r="O386" i="19"/>
  <c r="C387" i="19"/>
  <c r="O387" i="19"/>
  <c r="C388" i="19"/>
  <c r="O388" i="19"/>
  <c r="C389" i="19"/>
  <c r="O389" i="19"/>
  <c r="C390" i="19"/>
  <c r="O390" i="19"/>
  <c r="C381" i="19"/>
  <c r="O381" i="19"/>
  <c r="C371" i="19"/>
  <c r="O371" i="19"/>
  <c r="C372" i="19"/>
  <c r="O372" i="19"/>
  <c r="C373" i="19"/>
  <c r="O373" i="19"/>
  <c r="C374" i="19"/>
  <c r="O374" i="19"/>
  <c r="C375" i="19"/>
  <c r="O375" i="19"/>
  <c r="C376" i="19"/>
  <c r="O376" i="19"/>
  <c r="C377" i="19"/>
  <c r="O377" i="19"/>
  <c r="C378" i="19"/>
  <c r="O378" i="19"/>
  <c r="C379" i="19"/>
  <c r="O379" i="19"/>
  <c r="C370" i="19"/>
  <c r="O370" i="19"/>
  <c r="C352" i="19"/>
  <c r="O352" i="19"/>
  <c r="C353" i="19"/>
  <c r="O353" i="19"/>
  <c r="C354" i="19"/>
  <c r="O354" i="19"/>
  <c r="C355" i="19"/>
  <c r="O355" i="19"/>
  <c r="C356" i="19"/>
  <c r="O356" i="19"/>
  <c r="C357" i="19"/>
  <c r="O357" i="19"/>
  <c r="C358" i="19"/>
  <c r="O358" i="19"/>
  <c r="C359" i="19"/>
  <c r="O359" i="19"/>
  <c r="C360" i="19"/>
  <c r="O360" i="19"/>
  <c r="C361" i="19"/>
  <c r="O361" i="19"/>
  <c r="C362" i="19"/>
  <c r="O362" i="19"/>
  <c r="C363" i="19"/>
  <c r="O363" i="19"/>
  <c r="C364" i="19"/>
  <c r="O364" i="19"/>
  <c r="C365" i="19"/>
  <c r="O365" i="19"/>
  <c r="C366" i="19"/>
  <c r="O366" i="19"/>
  <c r="C351" i="19"/>
  <c r="O351" i="19"/>
  <c r="C342" i="19"/>
  <c r="O342" i="19"/>
  <c r="C343" i="19"/>
  <c r="O343" i="19"/>
  <c r="C344" i="19"/>
  <c r="O344" i="19"/>
  <c r="C345" i="19"/>
  <c r="O345" i="19"/>
  <c r="C346" i="19"/>
  <c r="O346" i="19"/>
  <c r="C347" i="19"/>
  <c r="O347" i="19"/>
  <c r="C348" i="19"/>
  <c r="O348" i="19"/>
  <c r="C349" i="19"/>
  <c r="O349" i="19"/>
  <c r="C341" i="19"/>
  <c r="O341" i="19"/>
  <c r="C328" i="19"/>
  <c r="O328" i="19"/>
  <c r="C329" i="19"/>
  <c r="O329" i="19"/>
  <c r="C330" i="19"/>
  <c r="O330" i="19"/>
  <c r="C331" i="19"/>
  <c r="O331" i="19"/>
  <c r="C333" i="19"/>
  <c r="O333" i="19"/>
  <c r="C334" i="19"/>
  <c r="O334" i="19"/>
  <c r="C335" i="19"/>
  <c r="O335" i="19"/>
  <c r="C336" i="19"/>
  <c r="O336" i="19"/>
  <c r="C337" i="19"/>
  <c r="O337" i="19"/>
  <c r="C338" i="19"/>
  <c r="O338" i="19"/>
  <c r="C339" i="19"/>
  <c r="O339" i="19"/>
  <c r="C327" i="19"/>
  <c r="O327" i="19"/>
  <c r="C322" i="19"/>
  <c r="O322" i="19"/>
  <c r="C323" i="19"/>
  <c r="O323" i="19"/>
  <c r="C324" i="19"/>
  <c r="O324" i="19"/>
  <c r="C325" i="19"/>
  <c r="O325" i="19"/>
  <c r="C321" i="19"/>
  <c r="O321" i="19"/>
  <c r="C279" i="19"/>
  <c r="O279" i="19"/>
  <c r="C280" i="19"/>
  <c r="O280" i="19"/>
  <c r="C281" i="19"/>
  <c r="O281" i="19"/>
  <c r="C282" i="19"/>
  <c r="O282" i="19"/>
  <c r="C283" i="19"/>
  <c r="O283" i="19"/>
  <c r="C273" i="19"/>
  <c r="O273" i="19"/>
  <c r="C274" i="19"/>
  <c r="O274" i="19"/>
  <c r="C275" i="19"/>
  <c r="O275" i="19"/>
  <c r="C276" i="19"/>
  <c r="O276" i="19"/>
  <c r="C277" i="19"/>
  <c r="O277" i="19"/>
  <c r="C278" i="19"/>
  <c r="O278" i="19"/>
  <c r="C263" i="19"/>
  <c r="O263" i="19"/>
  <c r="C264" i="19"/>
  <c r="O264" i="19"/>
  <c r="C265" i="19"/>
  <c r="O265" i="19"/>
  <c r="C266" i="19"/>
  <c r="O266" i="19"/>
  <c r="C267" i="19"/>
  <c r="O267" i="19"/>
  <c r="C268" i="19"/>
  <c r="O268" i="19"/>
  <c r="C269" i="19"/>
  <c r="O269" i="19"/>
  <c r="C270" i="19"/>
  <c r="O270" i="19"/>
  <c r="C271" i="19"/>
  <c r="O271" i="19"/>
  <c r="C272" i="19"/>
  <c r="O272" i="19"/>
  <c r="C251" i="19"/>
  <c r="O251" i="19"/>
  <c r="C252" i="19"/>
  <c r="O252" i="19"/>
  <c r="C253" i="19"/>
  <c r="O253" i="19"/>
  <c r="C254" i="19"/>
  <c r="O254" i="19"/>
  <c r="C255" i="19"/>
  <c r="O255" i="19"/>
  <c r="C256" i="19"/>
  <c r="O256" i="19"/>
  <c r="C257" i="19"/>
  <c r="O257" i="19"/>
  <c r="C258" i="19"/>
  <c r="O258" i="19"/>
  <c r="C259" i="19"/>
  <c r="O259" i="19"/>
  <c r="C260" i="19"/>
  <c r="O260" i="19"/>
  <c r="C261" i="19"/>
  <c r="O261" i="19"/>
  <c r="C262" i="19"/>
  <c r="O262" i="19"/>
  <c r="C250" i="19"/>
  <c r="O250" i="19"/>
  <c r="C243" i="19"/>
  <c r="O243" i="19"/>
  <c r="C244" i="19"/>
  <c r="O244" i="19"/>
  <c r="C245" i="19"/>
  <c r="O245" i="19"/>
  <c r="C246" i="19"/>
  <c r="O246" i="19"/>
  <c r="C247" i="19"/>
  <c r="O247" i="19"/>
  <c r="C248" i="19"/>
  <c r="O248" i="19"/>
  <c r="C242" i="19"/>
  <c r="O242" i="19"/>
  <c r="C229" i="19"/>
  <c r="O229" i="19"/>
  <c r="C230" i="19"/>
  <c r="O230" i="19"/>
  <c r="C231" i="19"/>
  <c r="O231" i="19"/>
  <c r="C232" i="19"/>
  <c r="O232" i="19"/>
  <c r="C233" i="19"/>
  <c r="O233" i="19"/>
  <c r="C234" i="19"/>
  <c r="O234" i="19"/>
  <c r="C235" i="19"/>
  <c r="O235" i="19"/>
  <c r="C236" i="19"/>
  <c r="O236" i="19"/>
  <c r="C237" i="19"/>
  <c r="O237" i="19"/>
  <c r="C238" i="19"/>
  <c r="O238" i="19"/>
  <c r="C239" i="19"/>
  <c r="O239" i="19"/>
  <c r="C225" i="19"/>
  <c r="O225" i="19"/>
  <c r="C226" i="19"/>
  <c r="O226" i="19"/>
  <c r="C224" i="19"/>
  <c r="O224" i="19"/>
  <c r="C194" i="19"/>
  <c r="O194" i="19"/>
  <c r="C195" i="19"/>
  <c r="O195" i="19"/>
  <c r="C196" i="19"/>
  <c r="O196" i="19"/>
  <c r="C197" i="19"/>
  <c r="O197" i="19"/>
  <c r="C198" i="19"/>
  <c r="O198" i="19"/>
  <c r="C203" i="19"/>
  <c r="O203" i="19"/>
  <c r="C207" i="19"/>
  <c r="O207" i="19"/>
  <c r="C210" i="19"/>
  <c r="O210" i="19"/>
  <c r="C212" i="19"/>
  <c r="O212" i="19"/>
  <c r="C214" i="19"/>
  <c r="O214" i="19"/>
  <c r="C215" i="19"/>
  <c r="O215" i="19"/>
  <c r="C216" i="19"/>
  <c r="O216" i="19"/>
  <c r="C217" i="19"/>
  <c r="O217" i="19"/>
  <c r="C218" i="19"/>
  <c r="O218" i="19"/>
  <c r="C219" i="19"/>
  <c r="O219" i="19"/>
  <c r="C220" i="19"/>
  <c r="O220" i="19"/>
  <c r="C221" i="19"/>
  <c r="O221" i="19"/>
  <c r="C222" i="19"/>
  <c r="O222" i="19"/>
  <c r="C191" i="19"/>
  <c r="O191" i="19"/>
  <c r="C192" i="19"/>
  <c r="O192" i="19"/>
  <c r="C190" i="19"/>
  <c r="O190" i="19"/>
  <c r="C184" i="19"/>
  <c r="O184" i="19"/>
  <c r="C185" i="19"/>
  <c r="O185" i="19"/>
  <c r="C186" i="19"/>
  <c r="O186" i="19"/>
  <c r="C187" i="19"/>
  <c r="O187" i="19"/>
  <c r="C188" i="19"/>
  <c r="O188" i="19"/>
  <c r="C183" i="19"/>
  <c r="O183" i="19"/>
  <c r="C177" i="19"/>
  <c r="O177" i="19"/>
  <c r="C178" i="19"/>
  <c r="O178" i="19"/>
  <c r="C179" i="19"/>
  <c r="O179" i="19"/>
  <c r="C180" i="19"/>
  <c r="O180" i="19"/>
  <c r="C181" i="19"/>
  <c r="O181" i="19"/>
  <c r="C176" i="19"/>
  <c r="O176" i="19"/>
  <c r="C174" i="19"/>
  <c r="O174" i="19"/>
  <c r="C172" i="19"/>
  <c r="O172" i="19"/>
  <c r="C173" i="19"/>
  <c r="O173" i="19"/>
  <c r="C171" i="19"/>
  <c r="O171" i="19"/>
  <c r="C169" i="19"/>
  <c r="O169" i="19"/>
  <c r="C166" i="19"/>
  <c r="O166" i="19"/>
  <c r="C167" i="19"/>
  <c r="O167" i="19"/>
  <c r="C168" i="19"/>
  <c r="O168" i="19"/>
  <c r="C165" i="19"/>
  <c r="O165" i="19"/>
  <c r="C154" i="19"/>
  <c r="O154" i="19"/>
  <c r="C155" i="19"/>
  <c r="O155" i="19"/>
  <c r="C156" i="19"/>
  <c r="O156" i="19"/>
  <c r="C157" i="19"/>
  <c r="O157" i="19"/>
  <c r="C158" i="19"/>
  <c r="O158" i="19"/>
  <c r="C159" i="19"/>
  <c r="O159" i="19"/>
  <c r="C160" i="19"/>
  <c r="O160" i="19"/>
  <c r="C161" i="19"/>
  <c r="O161" i="19"/>
  <c r="C162" i="19"/>
  <c r="O162" i="19"/>
  <c r="C163" i="19"/>
  <c r="O163" i="19"/>
  <c r="C153" i="19"/>
  <c r="O153" i="19"/>
  <c r="C147" i="19"/>
  <c r="O147" i="19"/>
  <c r="C148" i="19"/>
  <c r="O148" i="19"/>
  <c r="C149" i="19"/>
  <c r="O149" i="19"/>
  <c r="C150" i="19"/>
  <c r="O150" i="19"/>
  <c r="C151" i="19"/>
  <c r="O151" i="19"/>
  <c r="C146" i="19"/>
  <c r="O146" i="19"/>
  <c r="C141" i="19"/>
  <c r="O141" i="19"/>
  <c r="C142" i="19"/>
  <c r="O142" i="19"/>
  <c r="C143" i="19"/>
  <c r="O143" i="19"/>
  <c r="C140" i="19"/>
  <c r="O140" i="19"/>
  <c r="C135" i="19"/>
  <c r="O135" i="19"/>
  <c r="C136" i="19"/>
  <c r="O136" i="19"/>
  <c r="C137" i="19"/>
  <c r="O137" i="19"/>
  <c r="C138" i="19"/>
  <c r="O138" i="19"/>
  <c r="C134" i="19"/>
  <c r="O134" i="19"/>
  <c r="C132" i="19"/>
  <c r="O132" i="19"/>
  <c r="C130" i="19"/>
  <c r="O130" i="19"/>
  <c r="C131" i="19"/>
  <c r="O131" i="19"/>
  <c r="C129" i="19"/>
  <c r="O129" i="19"/>
  <c r="C121" i="19"/>
  <c r="O121" i="19"/>
  <c r="C122" i="19"/>
  <c r="O122" i="19"/>
  <c r="C124" i="19"/>
  <c r="O124" i="19"/>
  <c r="C125" i="19"/>
  <c r="O125" i="19"/>
  <c r="C126" i="19"/>
  <c r="O126" i="19"/>
  <c r="C120" i="19"/>
  <c r="O120" i="19"/>
  <c r="C108" i="19"/>
  <c r="O108" i="19"/>
  <c r="O110" i="19"/>
  <c r="O112" i="19"/>
  <c r="O113" i="19"/>
  <c r="O115" i="19"/>
  <c r="O116" i="19"/>
  <c r="O117" i="19"/>
  <c r="O118" i="19"/>
  <c r="C96" i="19"/>
  <c r="O96" i="19"/>
  <c r="C97" i="19"/>
  <c r="O97" i="19"/>
  <c r="C98" i="19"/>
  <c r="O98" i="19"/>
  <c r="C99" i="19"/>
  <c r="O99" i="19"/>
  <c r="C100" i="19"/>
  <c r="O100" i="19"/>
  <c r="C101" i="19"/>
  <c r="O101" i="19"/>
  <c r="C102" i="19"/>
  <c r="O102" i="19"/>
  <c r="C92" i="19"/>
  <c r="O92" i="19"/>
  <c r="C93" i="19"/>
  <c r="O93" i="19"/>
  <c r="C94" i="19"/>
  <c r="O94" i="19"/>
  <c r="C95" i="19"/>
  <c r="O95" i="19"/>
  <c r="C81" i="19"/>
  <c r="O81" i="19"/>
  <c r="C82" i="19"/>
  <c r="O82" i="19"/>
  <c r="C83" i="19"/>
  <c r="O83" i="19"/>
  <c r="C84" i="19"/>
  <c r="O84" i="19"/>
  <c r="C85" i="19"/>
  <c r="O85" i="19"/>
  <c r="C86" i="19"/>
  <c r="O86" i="19"/>
  <c r="C87" i="19"/>
  <c r="O87" i="19"/>
  <c r="C88" i="19"/>
  <c r="O88" i="19"/>
  <c r="C89" i="19"/>
  <c r="O89" i="19"/>
  <c r="C90" i="19"/>
  <c r="O90" i="19"/>
  <c r="C75" i="19"/>
  <c r="O75" i="19"/>
  <c r="C76" i="19"/>
  <c r="O76" i="19"/>
  <c r="C77" i="19"/>
  <c r="O77" i="19"/>
  <c r="C78" i="19"/>
  <c r="O78" i="19"/>
  <c r="C79" i="19"/>
  <c r="O79" i="19"/>
  <c r="C80" i="19"/>
  <c r="O80" i="19"/>
  <c r="C74" i="19"/>
  <c r="O74" i="19"/>
  <c r="C68" i="19"/>
  <c r="O68" i="19"/>
  <c r="O69" i="19"/>
  <c r="C70" i="19"/>
  <c r="O70" i="19"/>
  <c r="C71" i="19"/>
  <c r="O71" i="19"/>
  <c r="C72" i="19"/>
  <c r="O72" i="19"/>
  <c r="C67" i="19"/>
  <c r="O67" i="19"/>
  <c r="C63" i="19"/>
  <c r="O63" i="19"/>
  <c r="C58" i="19"/>
  <c r="O58" i="19"/>
  <c r="C59" i="19"/>
  <c r="O59" i="19"/>
  <c r="C60" i="19"/>
  <c r="O60" i="19"/>
  <c r="C61" i="19"/>
  <c r="O61" i="19"/>
  <c r="C62" i="19"/>
  <c r="O62" i="19"/>
  <c r="C57" i="19"/>
  <c r="O57" i="19"/>
  <c r="C55" i="19"/>
  <c r="O55" i="19"/>
  <c r="C44" i="19"/>
  <c r="O44" i="19"/>
  <c r="C45" i="19"/>
  <c r="O45" i="19"/>
  <c r="C46" i="19"/>
  <c r="O46" i="19"/>
  <c r="C47" i="19"/>
  <c r="O47" i="19"/>
  <c r="C48" i="19"/>
  <c r="O48" i="19"/>
  <c r="C49" i="19"/>
  <c r="O49" i="19"/>
  <c r="C50" i="19"/>
  <c r="O50" i="19"/>
  <c r="C51" i="19"/>
  <c r="O51" i="19"/>
  <c r="C52" i="19"/>
  <c r="O52" i="19"/>
  <c r="C53" i="19"/>
  <c r="O53" i="19"/>
  <c r="C54" i="19"/>
  <c r="O54" i="19"/>
  <c r="C43" i="19"/>
  <c r="O43" i="19"/>
  <c r="C35" i="19"/>
  <c r="O35" i="19"/>
  <c r="C36" i="19"/>
  <c r="O36" i="19"/>
  <c r="C37" i="19"/>
  <c r="O37" i="19"/>
  <c r="C38" i="19"/>
  <c r="O38" i="19"/>
  <c r="C39" i="19"/>
  <c r="O39" i="19"/>
  <c r="C40" i="19"/>
  <c r="O40" i="19"/>
  <c r="C41" i="19"/>
  <c r="O41" i="19"/>
  <c r="C33" i="19"/>
  <c r="O33" i="19"/>
  <c r="C34" i="19"/>
  <c r="O34" i="19"/>
  <c r="C31" i="19"/>
  <c r="O31" i="19"/>
  <c r="C32" i="19"/>
  <c r="O32" i="19"/>
  <c r="C30" i="19"/>
  <c r="O30" i="19"/>
  <c r="C18" i="19"/>
  <c r="O18" i="19"/>
  <c r="C19" i="19"/>
  <c r="O19" i="19"/>
  <c r="C20" i="19"/>
  <c r="O20" i="19"/>
  <c r="C21" i="19"/>
  <c r="O21" i="19"/>
  <c r="C22" i="19"/>
  <c r="O22" i="19"/>
  <c r="C23" i="19"/>
  <c r="O23" i="19"/>
  <c r="C24" i="19"/>
  <c r="O24" i="19"/>
  <c r="C25" i="19"/>
  <c r="O25" i="19"/>
  <c r="C26" i="19"/>
  <c r="O26" i="19"/>
  <c r="C27" i="19"/>
  <c r="O27" i="19"/>
  <c r="C28" i="19"/>
  <c r="O28" i="19"/>
  <c r="C17" i="19"/>
  <c r="O17" i="19"/>
  <c r="C16" i="19"/>
  <c r="O16" i="19"/>
  <c r="C7" i="19"/>
  <c r="O7" i="19"/>
  <c r="C8" i="19"/>
  <c r="O8" i="19"/>
  <c r="C9" i="19"/>
  <c r="O9" i="19"/>
  <c r="C11" i="19"/>
  <c r="O11" i="19"/>
  <c r="C12" i="19"/>
  <c r="O12" i="19"/>
  <c r="C13" i="19"/>
  <c r="O13" i="19"/>
  <c r="C14" i="19"/>
  <c r="O14" i="19"/>
  <c r="B13" i="19"/>
  <c r="B587" i="19"/>
  <c r="B582" i="19"/>
  <c r="B571" i="19"/>
  <c r="A558" i="19"/>
  <c r="B557" i="19"/>
  <c r="B556" i="19"/>
  <c r="B393" i="19"/>
  <c r="B369" i="19"/>
  <c r="B320" i="19"/>
  <c r="B241" i="19"/>
  <c r="B445" i="19"/>
  <c r="B446" i="19"/>
  <c r="B437" i="19"/>
  <c r="B429" i="19"/>
  <c r="B392" i="19"/>
  <c r="B380" i="19"/>
  <c r="B368" i="19"/>
  <c r="B350" i="19"/>
  <c r="B340" i="19"/>
  <c r="B326" i="19"/>
  <c r="B319" i="19"/>
  <c r="B249" i="19"/>
  <c r="B240" i="19"/>
  <c r="A8" i="9"/>
  <c r="B227" i="19"/>
  <c r="B193" i="19"/>
  <c r="B189" i="19"/>
  <c r="B182" i="19"/>
  <c r="B175" i="19"/>
  <c r="B170" i="19"/>
  <c r="B164" i="19"/>
  <c r="B152" i="19"/>
  <c r="B144" i="19"/>
  <c r="B127" i="19"/>
  <c r="B106" i="19"/>
  <c r="B65" i="19"/>
  <c r="B64" i="19"/>
  <c r="A64" i="19"/>
  <c r="A65" i="19"/>
  <c r="B66" i="19"/>
  <c r="B56" i="19"/>
  <c r="A56" i="19"/>
  <c r="B42" i="19"/>
  <c r="A42" i="19"/>
  <c r="B29" i="19"/>
  <c r="A29" i="19"/>
  <c r="A152" i="19"/>
  <c r="B43" i="19"/>
  <c r="B44" i="19"/>
  <c r="B45" i="19"/>
  <c r="B46" i="19"/>
  <c r="B47" i="19"/>
  <c r="B48" i="19"/>
  <c r="B49" i="19"/>
  <c r="B50" i="19"/>
  <c r="B51" i="19"/>
  <c r="B52" i="19"/>
  <c r="B53" i="19"/>
  <c r="B54" i="19"/>
  <c r="B55" i="19"/>
  <c r="B57" i="19"/>
  <c r="B58" i="19"/>
  <c r="B59" i="19"/>
  <c r="B60" i="19"/>
  <c r="B61" i="19"/>
  <c r="B62" i="19"/>
  <c r="B63"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7" i="19"/>
  <c r="B108" i="19"/>
  <c r="B109" i="19"/>
  <c r="B110" i="19"/>
  <c r="B111" i="19"/>
  <c r="B112" i="19"/>
  <c r="B113" i="19"/>
  <c r="B114" i="19"/>
  <c r="B115" i="19"/>
  <c r="B116" i="19"/>
  <c r="B117" i="19"/>
  <c r="B118" i="19"/>
  <c r="B119" i="19"/>
  <c r="B120" i="19"/>
  <c r="B121" i="19"/>
  <c r="B122" i="19"/>
  <c r="B123" i="19"/>
  <c r="B124" i="19"/>
  <c r="B125" i="19"/>
  <c r="B126" i="19"/>
  <c r="B128" i="19"/>
  <c r="B129" i="19"/>
  <c r="B130" i="19"/>
  <c r="B131" i="19"/>
  <c r="B132" i="19"/>
  <c r="B133" i="19"/>
  <c r="B134" i="19"/>
  <c r="B135" i="19"/>
  <c r="B136" i="19"/>
  <c r="B137" i="19"/>
  <c r="B138" i="19"/>
  <c r="B139" i="19"/>
  <c r="B140" i="19"/>
  <c r="B141" i="19"/>
  <c r="B142" i="19"/>
  <c r="B143" i="19"/>
  <c r="B146" i="19"/>
  <c r="B147" i="19"/>
  <c r="B148" i="19"/>
  <c r="B149" i="19"/>
  <c r="B150" i="19"/>
  <c r="B151" i="19"/>
  <c r="B153" i="19"/>
  <c r="B154" i="19"/>
  <c r="B155" i="19"/>
  <c r="B156" i="19"/>
  <c r="B157" i="19"/>
  <c r="B158" i="19"/>
  <c r="B159" i="19"/>
  <c r="B160" i="19"/>
  <c r="B161" i="19"/>
  <c r="B162" i="19"/>
  <c r="B163" i="19"/>
  <c r="B165" i="19"/>
  <c r="B166" i="19"/>
  <c r="B167" i="19"/>
  <c r="B168" i="19"/>
  <c r="B169" i="19"/>
  <c r="B171" i="19"/>
  <c r="B172" i="19"/>
  <c r="B173" i="19"/>
  <c r="B174" i="19"/>
  <c r="B176" i="19"/>
  <c r="B177" i="19"/>
  <c r="B178" i="19"/>
  <c r="B179" i="19"/>
  <c r="B180" i="19"/>
  <c r="B181" i="19"/>
  <c r="B183" i="19"/>
  <c r="B184" i="19"/>
  <c r="B185" i="19"/>
  <c r="B186" i="19"/>
  <c r="B187" i="19"/>
  <c r="B188" i="19"/>
  <c r="B190" i="19"/>
  <c r="B191" i="19"/>
  <c r="B192" i="19"/>
  <c r="B194" i="19"/>
  <c r="B195" i="19"/>
  <c r="B196" i="19"/>
  <c r="B197" i="19"/>
  <c r="B198" i="19"/>
  <c r="B203" i="19"/>
  <c r="B207" i="19"/>
  <c r="B210" i="19"/>
  <c r="B212" i="19"/>
  <c r="B214" i="19"/>
  <c r="B215" i="19"/>
  <c r="B216" i="19"/>
  <c r="B217" i="19"/>
  <c r="B218" i="19"/>
  <c r="B219" i="19"/>
  <c r="B220" i="19"/>
  <c r="B221" i="19"/>
  <c r="B222" i="19"/>
  <c r="B225" i="19"/>
  <c r="B226" i="19"/>
  <c r="B228" i="19"/>
  <c r="B229" i="19"/>
  <c r="B230" i="19"/>
  <c r="B231" i="19"/>
  <c r="B232" i="19"/>
  <c r="B233" i="19"/>
  <c r="B234" i="19"/>
  <c r="B235" i="19"/>
  <c r="B236" i="19"/>
  <c r="B237" i="19"/>
  <c r="B238" i="19"/>
  <c r="B239" i="19"/>
  <c r="B242" i="19"/>
  <c r="B243" i="19"/>
  <c r="B245" i="19"/>
  <c r="B246" i="19"/>
  <c r="B247" i="19"/>
  <c r="B248" i="19"/>
  <c r="B250" i="19"/>
  <c r="B251" i="19"/>
  <c r="B252" i="19"/>
  <c r="B253" i="19"/>
  <c r="B254" i="19"/>
  <c r="B255" i="19"/>
  <c r="B256" i="19"/>
  <c r="B257" i="19"/>
  <c r="B259" i="19"/>
  <c r="B260" i="19"/>
  <c r="B261" i="19"/>
  <c r="B262" i="19"/>
  <c r="B263" i="19"/>
  <c r="B264" i="19"/>
  <c r="B265" i="19"/>
  <c r="B266" i="19"/>
  <c r="B267" i="19"/>
  <c r="B268" i="19"/>
  <c r="B269" i="19"/>
  <c r="B270" i="19"/>
  <c r="B271" i="19"/>
  <c r="B272" i="19"/>
  <c r="B273" i="19"/>
  <c r="B274" i="19"/>
  <c r="B275" i="19"/>
  <c r="B276" i="19"/>
  <c r="B277" i="19"/>
  <c r="B278" i="19"/>
  <c r="B279" i="19"/>
  <c r="B280" i="19"/>
  <c r="B281" i="19"/>
  <c r="B282" i="19"/>
  <c r="B283" i="19"/>
  <c r="B322" i="19"/>
  <c r="B323" i="19"/>
  <c r="B324" i="19"/>
  <c r="B325" i="19"/>
  <c r="B327" i="19"/>
  <c r="B328" i="19"/>
  <c r="B329" i="19"/>
  <c r="B330" i="19"/>
  <c r="B331" i="19"/>
  <c r="B333" i="19"/>
  <c r="B334" i="19"/>
  <c r="B335" i="19"/>
  <c r="B336" i="19"/>
  <c r="B337" i="19"/>
  <c r="B338" i="19"/>
  <c r="B339" i="19"/>
  <c r="B341" i="19"/>
  <c r="B342" i="19"/>
  <c r="B343" i="19"/>
  <c r="B344" i="19"/>
  <c r="B345" i="19"/>
  <c r="B346" i="19"/>
  <c r="B347" i="19"/>
  <c r="B348" i="19"/>
  <c r="B349" i="19"/>
  <c r="B351" i="19"/>
  <c r="B352" i="19"/>
  <c r="B353" i="19"/>
  <c r="B354" i="19"/>
  <c r="B355" i="19"/>
  <c r="B356" i="19"/>
  <c r="B357" i="19"/>
  <c r="B358" i="19"/>
  <c r="B359" i="19"/>
  <c r="B360" i="19"/>
  <c r="B361" i="19"/>
  <c r="B362" i="19"/>
  <c r="B363" i="19"/>
  <c r="B364" i="19"/>
  <c r="B365" i="19"/>
  <c r="B366" i="19"/>
  <c r="B367" i="19"/>
  <c r="B370" i="19"/>
  <c r="B371" i="19"/>
  <c r="B372" i="19"/>
  <c r="B373" i="19"/>
  <c r="B374" i="19"/>
  <c r="B375" i="19"/>
  <c r="B376" i="19"/>
  <c r="B377" i="19"/>
  <c r="B378" i="19"/>
  <c r="B379" i="19"/>
  <c r="B381" i="19"/>
  <c r="B382" i="19"/>
  <c r="B383" i="19"/>
  <c r="B384" i="19"/>
  <c r="B385" i="19"/>
  <c r="B386" i="19"/>
  <c r="B387" i="19"/>
  <c r="B388" i="19"/>
  <c r="B389" i="19"/>
  <c r="B390" i="19"/>
  <c r="B391" i="19"/>
  <c r="B394" i="19"/>
  <c r="B395" i="19"/>
  <c r="B396" i="19"/>
  <c r="B397" i="19"/>
  <c r="B398" i="19"/>
  <c r="B399" i="19"/>
  <c r="B400" i="19"/>
  <c r="B401" i="19"/>
  <c r="B402" i="19"/>
  <c r="B403" i="19"/>
  <c r="B404" i="19"/>
  <c r="B405" i="19"/>
  <c r="B406" i="19"/>
  <c r="B407" i="19"/>
  <c r="B408" i="19"/>
  <c r="B409" i="19"/>
  <c r="B411" i="19"/>
  <c r="B412" i="19"/>
  <c r="B413" i="19"/>
  <c r="B414" i="19"/>
  <c r="B415" i="19"/>
  <c r="B416" i="19"/>
  <c r="B417" i="19"/>
  <c r="B418" i="19"/>
  <c r="B419" i="19"/>
  <c r="B420" i="19"/>
  <c r="B421" i="19"/>
  <c r="B422" i="19"/>
  <c r="B424" i="19"/>
  <c r="B425" i="19"/>
  <c r="B426" i="19"/>
  <c r="B427" i="19"/>
  <c r="B428" i="19"/>
  <c r="B431" i="19"/>
  <c r="B432" i="19"/>
  <c r="B433" i="19"/>
  <c r="B434" i="19"/>
  <c r="B435" i="19"/>
  <c r="B436" i="19"/>
  <c r="B438" i="19"/>
  <c r="B439" i="19"/>
  <c r="B440" i="19"/>
  <c r="B441" i="19"/>
  <c r="B442" i="19"/>
  <c r="B443" i="19"/>
  <c r="B444" i="19"/>
  <c r="B447" i="19"/>
  <c r="B448" i="19"/>
  <c r="B449" i="19"/>
  <c r="B450" i="19"/>
  <c r="B451" i="19"/>
  <c r="B452" i="19"/>
  <c r="B453" i="19"/>
  <c r="B455" i="19"/>
  <c r="B456" i="19"/>
  <c r="B457" i="19"/>
  <c r="B458" i="19"/>
  <c r="B459" i="19"/>
  <c r="B460" i="19"/>
  <c r="B461" i="19"/>
  <c r="B462" i="19"/>
  <c r="B463" i="19"/>
  <c r="B465" i="19"/>
  <c r="B466" i="19"/>
  <c r="B467" i="19"/>
  <c r="B468" i="19"/>
  <c r="B469" i="19"/>
  <c r="B470" i="19"/>
  <c r="B471" i="19"/>
  <c r="B472" i="19"/>
  <c r="B473" i="19"/>
  <c r="B474" i="19"/>
  <c r="B475" i="19"/>
  <c r="B476" i="19"/>
  <c r="B477" i="19"/>
  <c r="B478" i="19"/>
  <c r="B479" i="19"/>
  <c r="B480" i="19"/>
  <c r="B481" i="19"/>
  <c r="B482" i="19"/>
  <c r="B483" i="19"/>
  <c r="B484" i="19"/>
  <c r="B485" i="19"/>
  <c r="B486" i="19"/>
  <c r="B487" i="19"/>
  <c r="B488" i="19"/>
  <c r="B489" i="19"/>
  <c r="B490" i="19"/>
  <c r="B492" i="19"/>
  <c r="B493" i="19"/>
  <c r="B494" i="19"/>
  <c r="B495" i="19"/>
  <c r="B496" i="19"/>
  <c r="B497" i="19"/>
  <c r="B498" i="19"/>
  <c r="B499" i="19"/>
  <c r="B500" i="19"/>
  <c r="B501" i="19"/>
  <c r="B502" i="19"/>
  <c r="B503" i="19"/>
  <c r="B504" i="19"/>
  <c r="B505" i="19"/>
  <c r="B506" i="19"/>
  <c r="B508" i="19"/>
  <c r="B509" i="19"/>
  <c r="B510" i="19"/>
  <c r="B511" i="19"/>
  <c r="B512" i="19"/>
  <c r="B513" i="19"/>
  <c r="B514" i="19"/>
  <c r="B515" i="19"/>
  <c r="B516" i="19"/>
  <c r="B518" i="19"/>
  <c r="B519" i="19"/>
  <c r="B520" i="19"/>
  <c r="B521" i="19"/>
  <c r="B522" i="19"/>
  <c r="B523" i="19"/>
  <c r="B524" i="19"/>
  <c r="B525" i="19"/>
  <c r="B527" i="19"/>
  <c r="B528" i="19"/>
  <c r="B529" i="19"/>
  <c r="B533" i="19"/>
  <c r="B534" i="19"/>
  <c r="B535" i="19"/>
  <c r="B536" i="19"/>
  <c r="B537" i="19"/>
  <c r="B538" i="19"/>
  <c r="B539" i="19"/>
  <c r="B541" i="19"/>
  <c r="B542" i="19"/>
  <c r="B543" i="19"/>
  <c r="B544" i="19"/>
  <c r="B545" i="19"/>
  <c r="B546" i="19"/>
  <c r="B547" i="19"/>
  <c r="B551" i="19"/>
  <c r="B552" i="19"/>
  <c r="B553" i="19"/>
  <c r="B554" i="19"/>
  <c r="B555" i="19"/>
  <c r="B558" i="19"/>
  <c r="B559" i="19"/>
  <c r="B560" i="19"/>
  <c r="B561" i="19"/>
  <c r="B562" i="19"/>
  <c r="B563" i="19"/>
  <c r="B564" i="19"/>
  <c r="B565" i="19"/>
  <c r="B566" i="19"/>
  <c r="B567" i="19"/>
  <c r="B568" i="19"/>
  <c r="B569" i="19"/>
  <c r="B570" i="19"/>
  <c r="B572" i="19"/>
  <c r="B573" i="19"/>
  <c r="B574" i="19"/>
  <c r="B575" i="19"/>
  <c r="B576" i="19"/>
  <c r="B577" i="19"/>
  <c r="B578" i="19"/>
  <c r="B579" i="19"/>
  <c r="B580" i="19"/>
  <c r="B581" i="19"/>
  <c r="B583" i="19"/>
  <c r="B584" i="19"/>
  <c r="B585" i="19"/>
  <c r="B586" i="19"/>
  <c r="B19" i="19"/>
  <c r="B20" i="19"/>
  <c r="B21" i="19"/>
  <c r="B22" i="19"/>
  <c r="B23" i="19"/>
  <c r="B24" i="19"/>
  <c r="B25" i="19"/>
  <c r="B26" i="19"/>
  <c r="B27" i="19"/>
  <c r="B28" i="19"/>
  <c r="B30" i="19"/>
  <c r="B31" i="19"/>
  <c r="B32" i="19"/>
  <c r="B33" i="19"/>
  <c r="B34" i="19"/>
  <c r="B35" i="19"/>
  <c r="B36" i="19"/>
  <c r="B37" i="19"/>
  <c r="B38" i="19"/>
  <c r="B39" i="19"/>
  <c r="B40" i="19"/>
  <c r="B41" i="19"/>
  <c r="B18" i="19"/>
  <c r="B17" i="19"/>
  <c r="B16" i="19"/>
  <c r="B15" i="19"/>
  <c r="B14" i="19"/>
  <c r="B7" i="19"/>
  <c r="B8" i="19"/>
  <c r="B9" i="19"/>
  <c r="B10" i="19"/>
  <c r="B11" i="19"/>
  <c r="B12" i="19"/>
  <c r="B6" i="19"/>
  <c r="R664" i="19"/>
  <c r="L664" i="19"/>
  <c r="R662" i="19"/>
  <c r="L662" i="19"/>
  <c r="R667" i="19"/>
  <c r="L667" i="19"/>
  <c r="O550" i="19"/>
  <c r="C550" i="19"/>
  <c r="O587" i="19"/>
  <c r="O119" i="19"/>
  <c r="P4" i="19"/>
  <c r="L4" i="19"/>
  <c r="D5" i="9"/>
  <c r="E5" i="9"/>
  <c r="O123" i="19"/>
  <c r="O5" i="19"/>
  <c r="C5" i="19"/>
  <c r="A6" i="9"/>
  <c r="O145" i="19"/>
  <c r="O540" i="19"/>
  <c r="C540" i="19"/>
  <c r="O340" i="19"/>
  <c r="C340" i="19"/>
  <c r="O532" i="19"/>
  <c r="C532" i="19"/>
  <c r="O350" i="19"/>
  <c r="O430" i="19"/>
  <c r="Q430" i="19"/>
  <c r="O410" i="19"/>
  <c r="O437" i="19"/>
  <c r="O369" i="19"/>
  <c r="O571" i="19"/>
  <c r="O380" i="19"/>
  <c r="O423" i="19"/>
  <c r="O526" i="19"/>
  <c r="O582" i="19"/>
  <c r="O557" i="19"/>
  <c r="O393" i="19"/>
  <c r="O128" i="19"/>
  <c r="O182" i="19"/>
  <c r="O227" i="19"/>
  <c r="C227" i="19"/>
  <c r="O249" i="19"/>
  <c r="O164" i="19"/>
  <c r="O241" i="19"/>
  <c r="O66" i="19"/>
  <c r="O175" i="19"/>
  <c r="O193" i="19"/>
  <c r="O320" i="19"/>
  <c r="Q320" i="19"/>
  <c r="O223" i="19"/>
  <c r="O152" i="19"/>
  <c r="O170" i="19"/>
  <c r="O189" i="19"/>
  <c r="O326" i="19"/>
  <c r="O139" i="19"/>
  <c r="O107" i="19"/>
  <c r="Q107" i="19"/>
  <c r="O91" i="19"/>
  <c r="O73" i="19"/>
  <c r="O133" i="19"/>
  <c r="O29" i="19"/>
  <c r="O15" i="19"/>
  <c r="O42" i="19"/>
  <c r="O56" i="19"/>
  <c r="A587" i="19"/>
  <c r="A15" i="9"/>
  <c r="A581" i="19"/>
  <c r="A582" i="19"/>
  <c r="A583" i="19"/>
  <c r="A571" i="19"/>
  <c r="A572" i="19"/>
  <c r="A579" i="19"/>
  <c r="A223" i="19"/>
  <c r="A224" i="19"/>
  <c r="A225" i="19"/>
  <c r="A226" i="19"/>
  <c r="A227" i="19"/>
  <c r="A228" i="19"/>
  <c r="A229" i="19"/>
  <c r="A230" i="19"/>
  <c r="A231" i="19"/>
  <c r="A232" i="19"/>
  <c r="A233" i="19"/>
  <c r="A234" i="19"/>
  <c r="A235" i="19"/>
  <c r="A236" i="19"/>
  <c r="A237" i="19"/>
  <c r="A238" i="19"/>
  <c r="A239" i="19"/>
  <c r="A241" i="19"/>
  <c r="A242" i="19"/>
  <c r="A249" i="19"/>
  <c r="A250" i="19"/>
  <c r="A276" i="19"/>
  <c r="A319" i="19"/>
  <c r="A9" i="9"/>
  <c r="A320" i="19"/>
  <c r="A321" i="19"/>
  <c r="A322" i="19"/>
  <c r="A323" i="19"/>
  <c r="A324" i="19"/>
  <c r="A325" i="19"/>
  <c r="A326" i="19"/>
  <c r="A327" i="19"/>
  <c r="A328" i="19"/>
  <c r="A329" i="19"/>
  <c r="A330" i="19"/>
  <c r="A331" i="19"/>
  <c r="A333" i="19"/>
  <c r="A334" i="19"/>
  <c r="A335" i="19"/>
  <c r="A336" i="19"/>
  <c r="A337" i="19"/>
  <c r="A338" i="19"/>
  <c r="A339" i="19"/>
  <c r="A340" i="19"/>
  <c r="A341" i="19"/>
  <c r="A342" i="19"/>
  <c r="A343" i="19"/>
  <c r="A344" i="19"/>
  <c r="A345" i="19"/>
  <c r="A346" i="19"/>
  <c r="A347" i="19"/>
  <c r="A348" i="19"/>
  <c r="A349" i="19"/>
  <c r="A350" i="19"/>
  <c r="A351" i="19"/>
  <c r="A358" i="19"/>
  <c r="A359" i="19"/>
  <c r="A360" i="19"/>
  <c r="A367" i="19"/>
  <c r="A368" i="19"/>
  <c r="A10" i="9"/>
  <c r="A369" i="19"/>
  <c r="A370" i="19"/>
  <c r="A371" i="19"/>
  <c r="A372" i="19"/>
  <c r="A377" i="19"/>
  <c r="A378" i="19"/>
  <c r="A379" i="19"/>
  <c r="A380" i="19"/>
  <c r="A381" i="19"/>
  <c r="A382" i="19"/>
  <c r="A383" i="19"/>
  <c r="A384" i="19"/>
  <c r="A392" i="19"/>
  <c r="A11" i="9"/>
  <c r="A393" i="19"/>
  <c r="A394" i="19"/>
  <c r="A395" i="19"/>
  <c r="A396" i="19"/>
  <c r="A397" i="19"/>
  <c r="A398" i="19"/>
  <c r="A399" i="19"/>
  <c r="A400" i="19"/>
  <c r="A401" i="19"/>
  <c r="A402" i="19"/>
  <c r="A403" i="19"/>
  <c r="A408" i="19"/>
  <c r="A409" i="19"/>
  <c r="A410" i="19"/>
  <c r="A411" i="19"/>
  <c r="A412" i="19"/>
  <c r="A413" i="19"/>
  <c r="A416" i="19"/>
  <c r="A417" i="19"/>
  <c r="A418" i="19"/>
  <c r="A419" i="19"/>
  <c r="A423" i="19"/>
  <c r="A424" i="19"/>
  <c r="A429" i="19"/>
  <c r="A12" i="9"/>
  <c r="A430" i="19"/>
  <c r="A431" i="19"/>
  <c r="A432" i="19"/>
  <c r="A433" i="19"/>
  <c r="A434" i="19"/>
  <c r="A437" i="19"/>
  <c r="A438" i="19"/>
  <c r="A440" i="19"/>
  <c r="A441" i="19"/>
  <c r="A445" i="19"/>
  <c r="A13" i="9"/>
  <c r="A446" i="19"/>
  <c r="A447" i="19"/>
  <c r="A454" i="19"/>
  <c r="A455" i="19"/>
  <c r="A459" i="19"/>
  <c r="A464" i="19"/>
  <c r="A465" i="19"/>
  <c r="A491" i="19"/>
  <c r="A492" i="19"/>
  <c r="A507" i="19"/>
  <c r="A508" i="19"/>
  <c r="A517" i="19"/>
  <c r="A518" i="19"/>
  <c r="A519" i="19"/>
  <c r="A523" i="19"/>
  <c r="A524" i="19"/>
  <c r="A525" i="19"/>
  <c r="A526" i="19"/>
  <c r="A527" i="19"/>
  <c r="A532" i="19"/>
  <c r="A533" i="19"/>
  <c r="A540" i="19"/>
  <c r="A541" i="19"/>
  <c r="A550" i="19"/>
  <c r="A551" i="19"/>
  <c r="A556" i="19"/>
  <c r="A14" i="9"/>
  <c r="A557" i="19"/>
  <c r="A560" i="19"/>
  <c r="A565" i="19"/>
  <c r="A30" i="19"/>
  <c r="A33" i="19"/>
  <c r="A41" i="19"/>
  <c r="A43" i="19"/>
  <c r="A49" i="19"/>
  <c r="A53" i="19"/>
  <c r="A55" i="19"/>
  <c r="A57" i="19"/>
  <c r="A60" i="19"/>
  <c r="A62"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7" i="9"/>
  <c r="A145" i="19"/>
  <c r="A146" i="19"/>
  <c r="A147" i="19"/>
  <c r="A148" i="19"/>
  <c r="A149" i="19"/>
  <c r="A150" i="19"/>
  <c r="A151"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5" i="19"/>
  <c r="A16" i="19"/>
  <c r="A6" i="19"/>
  <c r="B5" i="19"/>
  <c r="B4" i="19"/>
  <c r="A5" i="9"/>
  <c r="A31" i="19"/>
  <c r="A13" i="19"/>
  <c r="A63" i="19"/>
  <c r="A61" i="19"/>
  <c r="A59" i="19"/>
  <c r="A54" i="19"/>
  <c r="A52" i="19"/>
  <c r="A48" i="19"/>
  <c r="A27" i="19"/>
  <c r="P657" i="19"/>
  <c r="L657" i="19"/>
  <c r="D18" i="9"/>
  <c r="E18" i="9"/>
  <c r="Q664" i="19"/>
  <c r="C664" i="19"/>
  <c r="O658" i="19"/>
  <c r="C658" i="19"/>
  <c r="Q550" i="19"/>
  <c r="C667" i="19"/>
  <c r="Q667" i="19"/>
  <c r="C66" i="19"/>
  <c r="Q66" i="19"/>
  <c r="Q5" i="19"/>
  <c r="Q340" i="19"/>
  <c r="Q540" i="19"/>
  <c r="C145" i="19"/>
  <c r="Q145" i="19"/>
  <c r="Q227" i="19"/>
  <c r="Q532" i="19"/>
  <c r="C430" i="19"/>
  <c r="Q73" i="19"/>
  <c r="C73" i="19"/>
  <c r="Q189" i="19"/>
  <c r="C189" i="19"/>
  <c r="Q241" i="19"/>
  <c r="C241" i="19"/>
  <c r="Q582" i="19"/>
  <c r="C582" i="19"/>
  <c r="Q350" i="19"/>
  <c r="C350" i="19"/>
  <c r="Q119" i="19"/>
  <c r="C119" i="19"/>
  <c r="Q170" i="19"/>
  <c r="C170" i="19"/>
  <c r="Q164" i="19"/>
  <c r="C164" i="19"/>
  <c r="Q526" i="19"/>
  <c r="C526" i="19"/>
  <c r="Q91" i="19"/>
  <c r="C91" i="19"/>
  <c r="Q152" i="19"/>
  <c r="C152" i="19"/>
  <c r="Q249" i="19"/>
  <c r="C249" i="19"/>
  <c r="Q423" i="19"/>
  <c r="C423" i="19"/>
  <c r="Q437" i="19"/>
  <c r="O429" i="19"/>
  <c r="C429" i="19"/>
  <c r="B12" i="9"/>
  <c r="C12" i="9"/>
  <c r="C437" i="19"/>
  <c r="Q223" i="19"/>
  <c r="C223" i="19"/>
  <c r="Q380" i="19"/>
  <c r="C380" i="19"/>
  <c r="Q410" i="19"/>
  <c r="C410" i="19"/>
  <c r="C107" i="19"/>
  <c r="C320" i="19"/>
  <c r="Q182" i="19"/>
  <c r="C182" i="19"/>
  <c r="Q139" i="19"/>
  <c r="C139" i="19"/>
  <c r="Q193" i="19"/>
  <c r="C193" i="19"/>
  <c r="Q128" i="19"/>
  <c r="C128" i="19"/>
  <c r="Q571" i="19"/>
  <c r="C571" i="19"/>
  <c r="Q326" i="19"/>
  <c r="C326" i="19"/>
  <c r="Q175" i="19"/>
  <c r="C175" i="19"/>
  <c r="Q393" i="19"/>
  <c r="C393" i="19"/>
  <c r="Q133" i="19"/>
  <c r="C133" i="19"/>
  <c r="Q123" i="19"/>
  <c r="C123" i="19"/>
  <c r="Q557" i="19"/>
  <c r="C557" i="19"/>
  <c r="Q369" i="19"/>
  <c r="C369" i="19"/>
  <c r="Q56" i="19"/>
  <c r="C56" i="19"/>
  <c r="Q42" i="19"/>
  <c r="C42" i="19"/>
  <c r="Q15" i="19"/>
  <c r="C15" i="19"/>
  <c r="Q29" i="19"/>
  <c r="C29" i="19"/>
  <c r="A44" i="19"/>
  <c r="A47" i="19"/>
  <c r="A46" i="19"/>
  <c r="A35" i="19"/>
  <c r="A8" i="19"/>
  <c r="A18" i="19"/>
  <c r="A21" i="19"/>
  <c r="A7" i="19"/>
  <c r="A20" i="19"/>
  <c r="A45" i="19"/>
  <c r="A12" i="19"/>
  <c r="A17" i="19"/>
  <c r="A51" i="19"/>
  <c r="A34" i="19"/>
  <c r="A25" i="19"/>
  <c r="A32" i="19"/>
  <c r="A11" i="19"/>
  <c r="A50" i="19"/>
  <c r="A24" i="19"/>
  <c r="A10" i="19"/>
  <c r="A58" i="19"/>
  <c r="A23" i="19"/>
  <c r="A26" i="19"/>
  <c r="A9" i="19"/>
  <c r="A19" i="19"/>
  <c r="A22" i="19"/>
  <c r="Q662" i="19"/>
  <c r="Q658" i="19"/>
  <c r="C662" i="19"/>
  <c r="O144" i="19"/>
  <c r="C144" i="19"/>
  <c r="B7" i="9"/>
  <c r="C7" i="9"/>
  <c r="O106" i="19"/>
  <c r="O127" i="19"/>
  <c r="Q127" i="19"/>
  <c r="O65" i="19"/>
  <c r="Q65" i="19"/>
  <c r="C16" i="9"/>
  <c r="G16" i="9"/>
  <c r="C587" i="19"/>
  <c r="B15" i="9"/>
  <c r="C15" i="9"/>
  <c r="O445" i="19"/>
  <c r="C445" i="19"/>
  <c r="B13" i="9"/>
  <c r="C13" i="9"/>
  <c r="O556" i="19"/>
  <c r="C556" i="19"/>
  <c r="B14" i="9"/>
  <c r="C14" i="9"/>
  <c r="O319" i="19"/>
  <c r="O4" i="19"/>
  <c r="C4" i="19"/>
  <c r="B5" i="9"/>
  <c r="C5" i="9"/>
  <c r="O392" i="19"/>
  <c r="C392" i="19"/>
  <c r="B11" i="9"/>
  <c r="C11" i="9"/>
  <c r="O368" i="19"/>
  <c r="C368" i="19"/>
  <c r="B10" i="9"/>
  <c r="C10" i="9"/>
  <c r="A14" i="19"/>
  <c r="A36" i="19"/>
  <c r="O657" i="19"/>
  <c r="C657" i="19"/>
  <c r="B18" i="9"/>
  <c r="C18" i="9"/>
  <c r="G18" i="9"/>
  <c r="C127" i="19"/>
  <c r="C319" i="19"/>
  <c r="B9" i="9"/>
  <c r="C9" i="9"/>
  <c r="O629" i="19"/>
  <c r="C629" i="19"/>
  <c r="B17" i="9"/>
  <c r="C17" i="9"/>
  <c r="G17" i="9"/>
  <c r="C65" i="19"/>
  <c r="A37" i="19"/>
  <c r="C317" i="19"/>
  <c r="Q317" i="19"/>
  <c r="A509" i="19"/>
  <c r="A277" i="19"/>
  <c r="A38" i="19"/>
  <c r="A40" i="19"/>
  <c r="A39" i="19"/>
  <c r="A278" i="19"/>
  <c r="A511" i="19"/>
  <c r="A510" i="19"/>
  <c r="A243" i="19"/>
  <c r="A435" i="19"/>
  <c r="A279" i="19"/>
  <c r="A244" i="19"/>
  <c r="A584" i="19"/>
  <c r="A573" i="19"/>
  <c r="A566" i="19"/>
  <c r="A561" i="19"/>
  <c r="A552" i="19"/>
  <c r="A542" i="19"/>
  <c r="A534" i="19"/>
  <c r="A528" i="19"/>
  <c r="A520" i="19"/>
  <c r="A493" i="19"/>
  <c r="A280" i="19"/>
  <c r="A559" i="19"/>
  <c r="A580" i="19"/>
  <c r="A535" i="19"/>
  <c r="A553" i="19"/>
  <c r="A585" i="19"/>
  <c r="A543" i="19"/>
  <c r="A562" i="19"/>
  <c r="A494" i="19"/>
  <c r="A567" i="19"/>
  <c r="A521" i="19"/>
  <c r="A574" i="19"/>
  <c r="A529" i="19"/>
  <c r="A245" i="19"/>
  <c r="A466" i="19"/>
  <c r="A281" i="19"/>
  <c r="A456" i="19"/>
  <c r="A449" i="19"/>
  <c r="A448" i="19"/>
  <c r="A460" i="19"/>
  <c r="A563" i="19"/>
  <c r="A554" i="19"/>
  <c r="A495" i="19"/>
  <c r="A575" i="19"/>
  <c r="A544" i="19"/>
  <c r="A467" i="19"/>
  <c r="A568" i="19"/>
  <c r="A536" i="19"/>
  <c r="A246" i="19"/>
  <c r="A439" i="19"/>
  <c r="A420" i="19"/>
  <c r="A251" i="19"/>
  <c r="E233" i="13"/>
  <c r="E234" i="13"/>
  <c r="D229" i="19"/>
  <c r="A450" i="19"/>
  <c r="A361" i="19"/>
  <c r="A461" i="19"/>
  <c r="A385" i="19"/>
  <c r="A404" i="19"/>
  <c r="A586" i="19"/>
  <c r="A414" i="19"/>
  <c r="A374" i="19"/>
  <c r="A373" i="19"/>
  <c r="A457" i="19"/>
  <c r="A451" i="19"/>
  <c r="A425" i="19"/>
  <c r="A195" i="19"/>
  <c r="A352" i="19"/>
  <c r="A436" i="19"/>
  <c r="A522" i="19"/>
  <c r="A283" i="19"/>
  <c r="A282" i="19"/>
  <c r="A545" i="19"/>
  <c r="A569" i="19"/>
  <c r="A576" i="19"/>
  <c r="A468" i="19"/>
  <c r="A496" i="19"/>
  <c r="A537" i="19"/>
  <c r="A512" i="19"/>
  <c r="A247" i="19"/>
  <c r="A405" i="19"/>
  <c r="A362" i="19"/>
  <c r="A386" i="19"/>
  <c r="E235" i="13"/>
  <c r="D230" i="19"/>
  <c r="A452" i="19"/>
  <c r="A462" i="19"/>
  <c r="A253" i="19"/>
  <c r="A252" i="19"/>
  <c r="A555" i="19"/>
  <c r="A426" i="19"/>
  <c r="A458" i="19"/>
  <c r="A415" i="19"/>
  <c r="A353" i="19"/>
  <c r="A421" i="19"/>
  <c r="A564" i="19"/>
  <c r="A442" i="19"/>
  <c r="A375" i="19"/>
  <c r="A196" i="19"/>
  <c r="A469" i="19"/>
  <c r="A497" i="19"/>
  <c r="A577" i="19"/>
  <c r="A538" i="19"/>
  <c r="A546" i="19"/>
  <c r="A513" i="19"/>
  <c r="A406" i="19"/>
  <c r="A387" i="19"/>
  <c r="E236" i="13"/>
  <c r="D232" i="19"/>
  <c r="D231" i="19"/>
  <c r="A248" i="19"/>
  <c r="A570" i="19"/>
  <c r="A443" i="19"/>
  <c r="A363" i="19"/>
  <c r="A453" i="19"/>
  <c r="A376" i="19"/>
  <c r="A422" i="19"/>
  <c r="A197" i="19"/>
  <c r="A463" i="19"/>
  <c r="A354" i="19"/>
  <c r="A254" i="19"/>
  <c r="A427" i="19"/>
  <c r="A498" i="19"/>
  <c r="A470" i="19"/>
  <c r="A514" i="19"/>
  <c r="A364" i="19"/>
  <c r="A255" i="19"/>
  <c r="A388" i="19"/>
  <c r="A355" i="19"/>
  <c r="A428" i="19"/>
  <c r="A444" i="19"/>
  <c r="A578" i="19"/>
  <c r="A407" i="19"/>
  <c r="A198" i="19"/>
  <c r="A539" i="19"/>
  <c r="A547" i="19"/>
  <c r="A471" i="19"/>
  <c r="A499" i="19"/>
  <c r="A515" i="19"/>
  <c r="A365" i="19"/>
  <c r="A256" i="19"/>
  <c r="A389" i="19"/>
  <c r="A356" i="19"/>
  <c r="A500" i="19"/>
  <c r="A472" i="19"/>
  <c r="A257" i="19"/>
  <c r="A390" i="19"/>
  <c r="A357" i="19"/>
  <c r="A516" i="19"/>
  <c r="A366" i="19"/>
  <c r="A473" i="19"/>
  <c r="A501" i="19"/>
  <c r="A258" i="19"/>
  <c r="A391" i="19"/>
  <c r="A502" i="19"/>
  <c r="A474" i="19"/>
  <c r="A259" i="19"/>
  <c r="A203" i="19"/>
  <c r="A475" i="19"/>
  <c r="A503" i="19"/>
  <c r="A260" i="19"/>
  <c r="A504" i="19"/>
  <c r="A476" i="19"/>
  <c r="A261" i="19"/>
  <c r="A477" i="19"/>
  <c r="A505" i="19"/>
  <c r="A262" i="19"/>
  <c r="A478" i="19"/>
  <c r="A263" i="19"/>
  <c r="A207" i="19"/>
  <c r="A506" i="19"/>
  <c r="A479" i="19"/>
  <c r="A264" i="19"/>
  <c r="G12" i="9"/>
  <c r="A480" i="19"/>
  <c r="A265" i="19"/>
  <c r="G5" i="9"/>
  <c r="G9" i="9"/>
  <c r="G10" i="9"/>
  <c r="G15" i="9"/>
  <c r="G14" i="9"/>
  <c r="A481" i="19"/>
  <c r="A266" i="19"/>
  <c r="G11" i="9"/>
  <c r="G13" i="9"/>
  <c r="G7" i="9"/>
  <c r="A210" i="19"/>
  <c r="A482" i="19"/>
  <c r="A267" i="19"/>
  <c r="A483" i="19"/>
  <c r="A212" i="19"/>
  <c r="A269" i="19"/>
  <c r="A268" i="19"/>
  <c r="A484" i="19"/>
  <c r="A485" i="19"/>
  <c r="A270" i="19"/>
  <c r="A214" i="19"/>
  <c r="A486" i="19"/>
  <c r="A271" i="19"/>
  <c r="A215" i="19"/>
  <c r="A487" i="19"/>
  <c r="A216" i="19"/>
  <c r="A272" i="19"/>
  <c r="A488" i="19"/>
  <c r="A273" i="19"/>
  <c r="A217" i="19"/>
  <c r="A489" i="19"/>
  <c r="A218" i="19"/>
  <c r="A275" i="19"/>
  <c r="A274" i="19"/>
  <c r="A219" i="19"/>
  <c r="A490" i="19"/>
  <c r="A220" i="19"/>
  <c r="A221" i="19"/>
  <c r="A222" i="19"/>
  <c r="Q106" i="19"/>
  <c r="C106" i="19"/>
  <c r="Q285" i="19"/>
  <c r="R285" i="19"/>
  <c r="P240" i="19"/>
  <c r="L240" i="19"/>
  <c r="D8" i="9"/>
  <c r="E8" i="9"/>
  <c r="O240" i="19"/>
  <c r="C240" i="19"/>
  <c r="B8" i="9"/>
  <c r="C8" i="9"/>
  <c r="O64" i="19"/>
  <c r="C64" i="19"/>
  <c r="B6" i="9"/>
  <c r="C6" i="9"/>
  <c r="L123" i="19"/>
  <c r="R123" i="19"/>
  <c r="P106" i="19"/>
  <c r="R106" i="19"/>
  <c r="G8" i="9"/>
  <c r="P64" i="19"/>
  <c r="L64" i="19"/>
  <c r="D6" i="9"/>
  <c r="E6" i="9"/>
  <c r="G6" i="9"/>
  <c r="L106"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Gloor René (GRV)</author>
  </authors>
  <commentList>
    <comment ref="G6" authorId="0" shapeId="0" xr:uid="{00000000-0006-0000-0300-000001000000}">
      <text>
        <r>
          <rPr>
            <b/>
            <sz val="9"/>
            <color indexed="81"/>
            <rFont val="Segoe UI"/>
            <family val="2"/>
          </rPr>
          <t>Carta di valori dell'azienda</t>
        </r>
      </text>
    </comment>
    <comment ref="G11" authorId="0" shapeId="0" xr:uid="{00000000-0006-0000-0300-000002000000}">
      <text>
        <r>
          <rPr>
            <b/>
            <sz val="9"/>
            <color indexed="81"/>
            <rFont val="Segoe UI"/>
            <family val="2"/>
          </rPr>
          <t>Principi direttivi dell'azienda</t>
        </r>
      </text>
    </comment>
    <comment ref="G43" authorId="0" shapeId="0" xr:uid="{00000000-0006-0000-0300-000003000000}">
      <text>
        <r>
          <rPr>
            <b/>
            <sz val="9"/>
            <color indexed="81"/>
            <rFont val="Segoe UI"/>
            <family val="2"/>
          </rPr>
          <t>Definizione scritta degli obiettivi di sicurezza dell'azienda</t>
        </r>
      </text>
    </comment>
    <comment ref="G69" authorId="0" shapeId="0" xr:uid="{00000000-0006-0000-0300-000004000000}">
      <text>
        <r>
          <rPr>
            <b/>
            <sz val="9"/>
            <color indexed="81"/>
            <rFont val="Segoe UI"/>
            <family val="2"/>
          </rPr>
          <t>Organigrammi dell'azienda</t>
        </r>
      </text>
    </comment>
    <comment ref="G77" authorId="0" shapeId="0" xr:uid="{00000000-0006-0000-0300-000005000000}">
      <text>
        <r>
          <rPr>
            <b/>
            <sz val="9"/>
            <color indexed="81"/>
            <rFont val="Segoe UI"/>
            <family val="2"/>
          </rPr>
          <t>- Descrizione del lavoro per:
- i superiori 
- posizione senza compiti dirigenziali
-  l'addetto alla sicurezza</t>
        </r>
      </text>
    </comment>
    <comment ref="G80" authorId="0" shapeId="0" xr:uid="{00000000-0006-0000-0300-000006000000}">
      <text>
        <r>
          <rPr>
            <b/>
            <sz val="9"/>
            <color indexed="81"/>
            <rFont val="Segoe UI"/>
            <family val="2"/>
          </rPr>
          <t>Regolamento del collaboratore aziendale</t>
        </r>
      </text>
    </comment>
    <comment ref="G86" authorId="0" shapeId="0" xr:uid="{00000000-0006-0000-0300-000007000000}">
      <text>
        <r>
          <rPr>
            <b/>
            <sz val="9"/>
            <color indexed="81"/>
            <rFont val="Segoe UI"/>
            <family val="2"/>
          </rPr>
          <t>Altri documenti riguardo compiti, doveri e responsabilità in materia di sicurezza e tutela della salute</t>
        </r>
      </text>
    </comment>
    <comment ref="G104" authorId="0" shapeId="0" xr:uid="{00000000-0006-0000-0300-000008000000}">
      <text>
        <r>
          <rPr>
            <b/>
            <sz val="9"/>
            <color indexed="81"/>
            <rFont val="Segoe UI"/>
            <family val="2"/>
          </rPr>
          <t>esempio di una istruzione di lavoro scritta</t>
        </r>
      </text>
    </comment>
    <comment ref="G106" authorId="0" shapeId="0" xr:uid="{00000000-0006-0000-0300-000009000000}">
      <text>
        <r>
          <rPr>
            <b/>
            <sz val="9"/>
            <color indexed="81"/>
            <rFont val="Segoe UI"/>
            <family val="2"/>
          </rPr>
          <t>Regolamento aziendale</t>
        </r>
      </text>
    </comment>
    <comment ref="G112" authorId="0" shapeId="0" xr:uid="{00000000-0006-0000-0300-00000A000000}">
      <text>
        <r>
          <rPr>
            <b/>
            <sz val="9"/>
            <color indexed="81"/>
            <rFont val="Segoe UI"/>
            <family val="2"/>
          </rPr>
          <t>Organigrammi dell'organizzazione della sicurezza</t>
        </r>
      </text>
    </comment>
    <comment ref="G122" authorId="0" shapeId="0" xr:uid="{00000000-0006-0000-0300-00000B000000}">
      <text>
        <r>
          <rPr>
            <b/>
            <sz val="9"/>
            <color indexed="81"/>
            <rFont val="Segoe UI"/>
            <family val="2"/>
          </rPr>
          <t>Piano di sicurezza aziendale</t>
        </r>
      </text>
    </comment>
    <comment ref="G126" authorId="0" shapeId="0" xr:uid="{00000000-0006-0000-0300-00000C000000}">
      <text>
        <r>
          <rPr>
            <b/>
            <sz val="9"/>
            <color indexed="81"/>
            <rFont val="Segoe UI"/>
            <family val="2"/>
          </rPr>
          <t>Attestazioni di formazione sulla sicurezza dei dipendenti</t>
        </r>
      </text>
    </comment>
    <comment ref="G143" authorId="0" shapeId="0" xr:uid="{00000000-0006-0000-0300-00000D000000}">
      <text>
        <r>
          <rPr>
            <b/>
            <sz val="9"/>
            <color indexed="81"/>
            <rFont val="Segoe UI"/>
            <family val="2"/>
          </rPr>
          <t>Manuale di sicurezza / documenti di sicurezza per i dipendenti</t>
        </r>
      </text>
    </comment>
    <comment ref="G160" authorId="0" shapeId="0" xr:uid="{00000000-0006-0000-0300-00000E000000}">
      <text>
        <r>
          <rPr>
            <b/>
            <sz val="9"/>
            <color indexed="81"/>
            <rFont val="Segoe UI"/>
            <family val="2"/>
          </rPr>
          <t>Programma di introduzione per i dipendenti neo-assunti</t>
        </r>
      </text>
    </comment>
    <comment ref="G167" authorId="0" shapeId="0" xr:uid="{00000000-0006-0000-0300-00000F000000}">
      <text>
        <r>
          <rPr>
            <b/>
            <sz val="9"/>
            <color indexed="81"/>
            <rFont val="Segoe UI"/>
            <family val="2"/>
          </rPr>
          <t>Formulario periodo di prova</t>
        </r>
      </text>
    </comment>
    <comment ref="G172" authorId="0" shapeId="0" xr:uid="{00000000-0006-0000-0300-000010000000}">
      <text>
        <r>
          <rPr>
            <b/>
            <sz val="9"/>
            <color indexed="81"/>
            <rFont val="Segoe UI"/>
            <family val="2"/>
          </rPr>
          <t>Piano per la promozione del personale, se considera aspetti della sicurezza e della salute</t>
        </r>
      </text>
    </comment>
    <comment ref="G187" authorId="0" shapeId="0" xr:uid="{00000000-0006-0000-0300-000011000000}">
      <text>
        <r>
          <rPr>
            <b/>
            <sz val="9"/>
            <color indexed="81"/>
            <rFont val="Segoe UI"/>
            <family val="2"/>
          </rPr>
          <t>Documentazione / Formulario per valutazioni del personale</t>
        </r>
      </text>
    </comment>
    <comment ref="G214" authorId="0" shapeId="0" xr:uid="{00000000-0006-0000-0300-000012000000}">
      <text>
        <r>
          <rPr>
            <b/>
            <sz val="9"/>
            <color indexed="81"/>
            <rFont val="Segoe UI"/>
            <family val="2"/>
          </rPr>
          <t>Rivista interna / rivista del personale</t>
        </r>
      </text>
    </comment>
    <comment ref="G242" authorId="0" shapeId="0" xr:uid="{00000000-0006-0000-0300-000013000000}">
      <text>
        <r>
          <rPr>
            <b/>
            <sz val="9"/>
            <color indexed="81"/>
            <rFont val="Segoe UI"/>
            <family val="2"/>
          </rPr>
          <t>Documentazione / Formulario valutazione del fornitore</t>
        </r>
      </text>
    </comment>
    <comment ref="G252" authorId="0" shapeId="0" xr:uid="{00000000-0006-0000-0300-000014000000}">
      <text>
        <r>
          <rPr>
            <b/>
            <sz val="9"/>
            <color indexed="81"/>
            <rFont val="Segoe UI"/>
            <family val="2"/>
          </rPr>
          <t>direttive interne in materia di sicurezza sul lavoro e tutela della salute a completamento degli opuscoli  ufficiali</t>
        </r>
      </text>
    </comment>
    <comment ref="G301" authorId="0" shapeId="0" xr:uid="{00000000-0006-0000-0300-000015000000}">
      <text>
        <r>
          <rPr>
            <b/>
            <sz val="9"/>
            <color indexed="81"/>
            <rFont val="Segoe UI"/>
            <family val="2"/>
          </rPr>
          <t>Direttive interne sul'esercizio normale e particolare di impianti, macchinari e apparecchi</t>
        </r>
      </text>
    </comment>
    <comment ref="G306" authorId="0" shapeId="0" xr:uid="{00000000-0006-0000-0300-000016000000}">
      <text>
        <r>
          <rPr>
            <b/>
            <sz val="9"/>
            <color indexed="81"/>
            <rFont val="Segoe UI"/>
            <family val="2"/>
          </rPr>
          <t>Direttive interne sulla manutenzione delle attrezzature di lavoro</t>
        </r>
      </text>
    </comment>
    <comment ref="G313" authorId="0" shapeId="0" xr:uid="{00000000-0006-0000-0300-000017000000}">
      <text>
        <r>
          <rPr>
            <b/>
            <sz val="9"/>
            <color indexed="81"/>
            <rFont val="Segoe UI"/>
            <family val="2"/>
          </rPr>
          <t>Norme di sicurezza o regolamenti riguardanti la manutenzione di edifici e impianti</t>
        </r>
      </text>
    </comment>
    <comment ref="G317" authorId="0" shapeId="0" xr:uid="{00000000-0006-0000-0300-000018000000}">
      <text>
        <r>
          <rPr>
            <b/>
            <sz val="9"/>
            <color indexed="81"/>
            <rFont val="Segoe UI"/>
            <family val="2"/>
          </rPr>
          <t>Liste di controllo, elenchi di parole chiave o direttive interne per valutare la sicurezza del prodotto da acquistare</t>
        </r>
      </text>
    </comment>
    <comment ref="G333" authorId="0" shapeId="0" xr:uid="{00000000-0006-0000-0300-000019000000}">
      <text>
        <r>
          <rPr>
            <b/>
            <sz val="9"/>
            <color indexed="81"/>
            <rFont val="Segoe UI"/>
            <family val="2"/>
          </rPr>
          <t>Procedura di individuazione dei pericoli</t>
        </r>
      </text>
    </comment>
    <comment ref="G347" authorId="0" shapeId="0" xr:uid="{00000000-0006-0000-0300-00001A000000}">
      <text>
        <r>
          <rPr>
            <b/>
            <sz val="9"/>
            <color indexed="81"/>
            <rFont val="Segoe UI"/>
            <family val="2"/>
          </rPr>
          <t>Procedura valutazione die rischi</t>
        </r>
      </text>
    </comment>
    <comment ref="G354" authorId="0" shapeId="0" xr:uid="{00000000-0006-0000-0300-00001B000000}">
      <text>
        <r>
          <rPr>
            <b/>
            <sz val="9"/>
            <color indexed="81"/>
            <rFont val="Segoe UI"/>
            <family val="2"/>
          </rPr>
          <t>Esempio di un risultati della valutazione dei rischi</t>
        </r>
      </text>
    </comment>
    <comment ref="G365" authorId="0" shapeId="0" xr:uid="{00000000-0006-0000-0300-00001C000000}">
      <text>
        <r>
          <rPr>
            <b/>
            <sz val="9"/>
            <color indexed="81"/>
            <rFont val="Segoe UI"/>
            <family val="2"/>
          </rPr>
          <t>Procedura per l'esame degli eventi inattesi</t>
        </r>
      </text>
    </comment>
    <comment ref="G379" authorId="0" shapeId="0" xr:uid="{00000000-0006-0000-0300-00001D000000}">
      <text>
        <r>
          <rPr>
            <b/>
            <sz val="9"/>
            <color indexed="81"/>
            <rFont val="Segoe UI"/>
            <family val="2"/>
          </rPr>
          <t>Strategia di applicazione del misure di sicurezza</t>
        </r>
      </text>
    </comment>
    <comment ref="G404" authorId="0" shapeId="0" xr:uid="{00000000-0006-0000-0300-00001E000000}">
      <text>
        <r>
          <rPr>
            <b/>
            <sz val="9"/>
            <color indexed="81"/>
            <rFont val="Segoe UI"/>
            <family val="2"/>
          </rPr>
          <t>Piano per far fronte alle emergenze aziendali</t>
        </r>
      </text>
    </comment>
    <comment ref="G422" authorId="0" shapeId="0" xr:uid="{00000000-0006-0000-0300-00001F000000}">
      <text>
        <r>
          <rPr>
            <b/>
            <sz val="9"/>
            <color indexed="81"/>
            <rFont val="Segoe UI"/>
            <family val="2"/>
          </rPr>
          <t>Tessera di emergenza per i collaboratori</t>
        </r>
      </text>
    </comment>
    <comment ref="G434" authorId="0" shapeId="0" xr:uid="{00000000-0006-0000-0300-000020000000}">
      <text>
        <r>
          <rPr>
            <b/>
            <sz val="9"/>
            <color indexed="81"/>
            <rFont val="Segoe UI"/>
            <family val="2"/>
          </rPr>
          <t>Organizzazione lotta antincendio</t>
        </r>
      </text>
    </comment>
    <comment ref="G450" authorId="0" shapeId="0" xr:uid="{00000000-0006-0000-0300-000021000000}">
      <text>
        <r>
          <rPr>
            <b/>
            <sz val="9"/>
            <color indexed="81"/>
            <rFont val="Segoe UI"/>
            <family val="2"/>
          </rPr>
          <t>Documentazione del sistema di proposte aziendale</t>
        </r>
      </text>
    </comment>
    <comment ref="G550" authorId="0" shapeId="0" xr:uid="{00000000-0006-0000-0300-000022000000}">
      <text>
        <r>
          <rPr>
            <b/>
            <sz val="9"/>
            <color indexed="81"/>
            <rFont val="Segoe UI"/>
            <family val="2"/>
          </rPr>
          <t>Documentazione per trattare con schede di sicurezza</t>
        </r>
      </text>
    </comment>
    <comment ref="G574" authorId="0" shapeId="0" xr:uid="{00000000-0006-0000-0300-000023000000}">
      <text>
        <r>
          <rPr>
            <b/>
            <sz val="9"/>
            <color indexed="81"/>
            <rFont val="Segoe UI"/>
            <family val="2"/>
          </rPr>
          <t>Piano di controllo e sorveglianza in materia di sicurezza e salute</t>
        </r>
      </text>
    </comment>
    <comment ref="G581" authorId="0" shapeId="0" xr:uid="{00000000-0006-0000-0300-000024000000}">
      <text>
        <r>
          <rPr>
            <b/>
            <sz val="9"/>
            <color indexed="81"/>
            <rFont val="Segoe UI"/>
            <family val="2"/>
          </rPr>
          <t>Procedura Audits di sicurezza</t>
        </r>
      </text>
    </comment>
    <comment ref="G584" authorId="0" shapeId="0" xr:uid="{00000000-0006-0000-0300-000025000000}">
      <text>
        <r>
          <rPr>
            <b/>
            <sz val="9"/>
            <color indexed="81"/>
            <rFont val="Segoe UI"/>
            <family val="2"/>
          </rPr>
          <t>Esempio di un protocollo di audit di sicurezza</t>
        </r>
      </text>
    </comment>
    <comment ref="G612" authorId="0" shapeId="0" xr:uid="{00000000-0006-0000-0300-000026000000}">
      <text>
        <r>
          <rPr>
            <b/>
            <sz val="9"/>
            <color indexed="81"/>
            <rFont val="Segoe UI"/>
            <family val="2"/>
          </rPr>
          <t>Direttive gestione delle assenze</t>
        </r>
      </text>
    </comment>
    <comment ref="G614" authorId="0" shapeId="0" xr:uid="{00000000-0006-0000-0300-000027000000}">
      <text>
        <r>
          <rPr>
            <b/>
            <sz val="9"/>
            <color indexed="81"/>
            <rFont val="Segoe UI"/>
            <family val="2"/>
          </rPr>
          <t>Obiettivi, indicatori di performance della gestione delle assenze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Herger Lorenz (H1L)</author>
    <author>Gloor René (GRV)</author>
  </authors>
  <commentList>
    <comment ref="A2" authorId="0" shapeId="0" xr:uid="{00000000-0006-0000-0800-000001000000}">
      <text>
        <r>
          <rPr>
            <b/>
            <sz val="9"/>
            <color indexed="81"/>
            <rFont val="Segoe UI"/>
            <family val="2"/>
          </rPr>
          <t>Farbkonzept: 
Gelb: Automatisch aus SB übernommen
Grün: Durch PM ausfüllbar (0-1)
Grau: Rechenwerk für Spider
Dunkelgrau: Rechenwerk für spider, Punkte werden für "Nein" Vergeben
Braun: Auswertung Kapitel
Orange: Auswertung Unterkapitel</t>
        </r>
        <r>
          <rPr>
            <sz val="9"/>
            <color indexed="81"/>
            <rFont val="Segoe UI"/>
            <family val="2"/>
          </rPr>
          <t xml:space="preserve">
</t>
        </r>
      </text>
    </comment>
    <comment ref="D3" authorId="1" shapeId="0" xr:uid="{60547FCE-CE0F-42BE-835F-13CD1A57A10F}">
      <text>
        <r>
          <rPr>
            <b/>
            <sz val="9"/>
            <color indexed="81"/>
            <rFont val="Segoe UI"/>
            <family val="2"/>
          </rPr>
          <t xml:space="preserve">*: Frage wurde nicht beantwortet. (Ja-Feld und Nein-Feld sind leer)
</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Herger Lorenz (H1L)</author>
  </authors>
  <commentList>
    <comment ref="A3" authorId="0" shapeId="0" xr:uid="{00000000-0006-0000-0900-000001000000}">
      <text>
        <r>
          <rPr>
            <b/>
            <sz val="9"/>
            <color indexed="81"/>
            <rFont val="Segoe UI"/>
            <family val="2"/>
          </rPr>
          <t xml:space="preserve">Farbkonzept: 
Grün: Durch PM ausfüllbar (0%-100%)
Grau: Rechenwerk für Spider
</t>
        </r>
      </text>
    </comment>
    <comment ref="A9" authorId="0" shapeId="0" xr:uid="{00000000-0006-0000-0900-000002000000}">
      <text>
        <r>
          <rPr>
            <b/>
            <sz val="9"/>
            <color indexed="81"/>
            <rFont val="Segoe UI"/>
            <family val="2"/>
          </rPr>
          <t>Zelle hat Punkte wegen negierter Fragestellung (leer bedeutet nein, bedeutet erfüllt).</t>
        </r>
      </text>
    </comment>
    <comment ref="A13" authorId="0" shapeId="0" xr:uid="{00000000-0006-0000-0900-000003000000}">
      <text>
        <r>
          <rPr>
            <b/>
            <sz val="9"/>
            <color indexed="81"/>
            <rFont val="Segoe UI"/>
            <family val="2"/>
          </rPr>
          <t>Zelle hat Punkte wegen negierter Fragestellung (leer bedeutet nein, bedeutet erfüllt).</t>
        </r>
      </text>
    </comment>
  </commentList>
</comments>
</file>

<file path=xl/sharedStrings.xml><?xml version="1.0" encoding="utf-8"?>
<sst xmlns="http://schemas.openxmlformats.org/spreadsheetml/2006/main" count="1774" uniqueCount="1639">
  <si>
    <t>Istruzioni per il questionario "Autovalutazione"</t>
  </si>
  <si>
    <r>
      <rPr>
        <b/>
        <sz val="11"/>
        <color theme="1"/>
        <rFont val="Arial"/>
        <family val="2"/>
      </rPr>
      <t>Introduzione</t>
    </r>
    <r>
      <rPr>
        <sz val="11"/>
        <color theme="1"/>
        <rFont val="Arial"/>
        <family val="2"/>
      </rPr>
      <t xml:space="preserve">
Avete deciso di migliorare sistematicamente la sicurezza sul lavoro e la tutela della salute nella vostra azienda facendo ricorso al progetto "sicurezza integrata". Il presente questionario costituisce un elemento centrale del progetto perché permette di verificare lo stato della sicurezza sul lavoro e tutela della salute nella vostra azienda e di raccogliere le informazioni necessarie per il progetto. Le seguenti note servono ad aiutarvi nella compilazione del questionario.</t>
    </r>
  </si>
  <si>
    <r>
      <rPr>
        <b/>
        <sz val="11"/>
        <color theme="1"/>
        <rFont val="Arial"/>
        <family val="2"/>
      </rPr>
      <t>1. Struttura del questionario</t>
    </r>
    <r>
      <rPr>
        <sz val="11"/>
        <color theme="1"/>
        <rFont val="Arial"/>
        <family val="2"/>
      </rPr>
      <t xml:space="preserve">
- Fogli di lavoro:
  -  Dati aziendali
  - Figure chiave per la sicurezza sul lavoro
  - Autovalutazione cliente
  - Allegati (informazione)</t>
    </r>
  </si>
  <si>
    <r>
      <rPr>
        <b/>
        <sz val="11"/>
        <color theme="1"/>
        <rFont val="Arial"/>
        <family val="2"/>
      </rPr>
      <t xml:space="preserve">2. Struttura dei singoli fogli di lavoro
</t>
    </r>
    <r>
      <rPr>
        <sz val="11"/>
        <color theme="1"/>
        <rFont val="Arial"/>
        <family val="2"/>
      </rPr>
      <t>- È possibile compilare solo le celle previste a questo scopo; tutte le altre sono bloccate.
  - Le celle da compilare sono evidenziate in grigio.
  - Se necessario, è possibile compilare tutti gli altri campi sbloccati.
- Utilizzare il tabulatore per passare da un campo all'altro.</t>
    </r>
  </si>
  <si>
    <r>
      <t xml:space="preserve">3. Foglio di lavoro "Dati aziendali"
</t>
    </r>
    <r>
      <rPr>
        <sz val="11"/>
        <color theme="1"/>
        <rFont val="Arial"/>
        <family val="2"/>
      </rPr>
      <t>- Inserire le informazioni richieste nella colonna "Annotazioni cliente".</t>
    </r>
  </si>
  <si>
    <r>
      <rPr>
        <b/>
        <sz val="11"/>
        <color theme="1"/>
        <rFont val="Arial"/>
        <family val="2"/>
      </rPr>
      <t xml:space="preserve">4. Foglio di lavoro "Figure chiave per la sicurezza"
</t>
    </r>
    <r>
      <rPr>
        <sz val="11"/>
        <color theme="1"/>
        <rFont val="Arial"/>
        <family val="2"/>
      </rPr>
      <t>- Indicare le funzioni presenti in azienda nella colonna "Funzione / competenza".
- Compilare la colonna "Cognome / nome" per tutte le "funzioni / competenze" presenti in
  azienda.</t>
    </r>
  </si>
  <si>
    <r>
      <rPr>
        <b/>
        <sz val="11"/>
        <color theme="1"/>
        <rFont val="Arial"/>
        <family val="2"/>
      </rPr>
      <t>5. Foglio di lavoro "Autovalutazione cliente"</t>
    </r>
    <r>
      <rPr>
        <sz val="11"/>
        <color theme="1"/>
        <rFont val="Arial"/>
        <family val="2"/>
      </rPr>
      <t xml:space="preserve">
- Rispondere con "sì" o "no" a tutte le domande, mettendo una "x"  sulla relativa casella
- I commenti si possono scrivere nella colonna "Osservazione cliente".
- A seconda della risposta, può risultare necessario inserire un commento alla risposta sì/no 
  (colonna "Osservazione cliente" evidenziata in grigio).
- Alcune domande si compongono di varie domande parziali. 
  - In questi casi la domanda è evidenziata su sfondo azzurro.</t>
    </r>
  </si>
  <si>
    <r>
      <rPr>
        <b/>
        <sz val="11"/>
        <color theme="1"/>
        <rFont val="Arial"/>
        <family val="2"/>
      </rPr>
      <t>6. Allegati</t>
    </r>
    <r>
      <rPr>
        <sz val="11"/>
        <color theme="1"/>
        <rFont val="Arial"/>
        <family val="2"/>
      </rPr>
      <t xml:space="preserve">
- Per alcune domande nel foglio di lavoro "Autovalutazione cliente" si richiede 
  obbligatoriamente di allegare la documentazione (se presente).
  - Il numero del rispettivo allegato va indicato nella colonna "Allegati richiesti".
  - Nel foglio di lavoro "Allegati" si illustrano i codici degli allegati. 
- Se necessario, si possono aggiungere altri allegati.
- Si prega di inviare gli allegati nel formato PDF.</t>
    </r>
  </si>
  <si>
    <t>FO.250.i.V14</t>
  </si>
  <si>
    <t>Dati aziendali</t>
  </si>
  <si>
    <t>Annotazione cliente:</t>
  </si>
  <si>
    <t>1. Nome</t>
  </si>
  <si>
    <t>Muster AG</t>
  </si>
  <si>
    <t>2. Sede principale</t>
  </si>
  <si>
    <t>3. Fondazione</t>
  </si>
  <si>
    <t>4. Altre sedi</t>
  </si>
  <si>
    <t>5. Forma giuridica</t>
  </si>
  <si>
    <t>6. Propietario</t>
  </si>
  <si>
    <t>7. Organi</t>
  </si>
  <si>
    <t>8. Prodotti</t>
  </si>
  <si>
    <t>9. Clienti</t>
  </si>
  <si>
    <t xml:space="preserve">10. Certificati tutela ambiente e qualità
</t>
  </si>
  <si>
    <t>11. Documenti aziendali</t>
  </si>
  <si>
    <t>12. Unità organizzative dell'azienda e
numero di dipendenti in ogni
unità organizzative</t>
  </si>
  <si>
    <r>
      <t>13. Ampiezza di supervisione* nella vostra azienda
*</t>
    </r>
    <r>
      <rPr>
        <b/>
        <sz val="9"/>
        <color theme="1"/>
        <rFont val="Arial"/>
        <family val="2"/>
      </rPr>
      <t>Ampiezza di supervisione:
Numero dei diretti subordinati di un superiore</t>
    </r>
  </si>
  <si>
    <t>a livello di top management</t>
  </si>
  <si>
    <t>a livello dirigenziale superiore</t>
  </si>
  <si>
    <t>a livello dirigenziale inferiore</t>
  </si>
  <si>
    <t>14. Numero di dipendenti</t>
  </si>
  <si>
    <t xml:space="preserve">Direzione </t>
  </si>
  <si>
    <t>Quadri</t>
  </si>
  <si>
    <t>Collaboratori</t>
  </si>
  <si>
    <t>Apprendisti</t>
  </si>
  <si>
    <t>dipendenti totale</t>
  </si>
  <si>
    <t>15. Tendenza di sviluppo 
      numero di dipendenti
      (aumento /
      costante / diminuzione)</t>
  </si>
  <si>
    <t>Totale</t>
  </si>
  <si>
    <t>16. Livello d’istruzione dei  
      dipendenti (in %)</t>
  </si>
  <si>
    <t>Diploma universitario</t>
  </si>
  <si>
    <t>Formazione superiore (scuola politecnica / SUPSI)</t>
  </si>
  <si>
    <t>Formazione professionale</t>
  </si>
  <si>
    <t>Formazione breve</t>
  </si>
  <si>
    <t>17. Nazionalità del personale</t>
  </si>
  <si>
    <t>18. Lingua madre del personale</t>
  </si>
  <si>
    <t>19. Pericoli principali in azienda</t>
  </si>
  <si>
    <t>Persone chiavi per la sicurezza</t>
  </si>
  <si>
    <t>Funzione/competenza</t>
  </si>
  <si>
    <t xml:space="preserve">Cognome/nome </t>
  </si>
  <si>
    <t>Direzione</t>
  </si>
  <si>
    <t>Capo divisione (se non indicato nell'organigramma)</t>
  </si>
  <si>
    <t xml:space="preserve">Resp. progetto (capo progetto) / team SI </t>
  </si>
  <si>
    <t>Organizzazione della sicurezza</t>
  </si>
  <si>
    <t>Addetto/preposto alla sicurezza</t>
  </si>
  <si>
    <t>Ingegnere di sicurezza</t>
  </si>
  <si>
    <t>Esperto nell'ambito della sicurezza</t>
  </si>
  <si>
    <t>Assistente alla sicurezza</t>
  </si>
  <si>
    <t>Esperto in ergonomia</t>
  </si>
  <si>
    <t>Esperto di prodotti chimici</t>
  </si>
  <si>
    <t>Resp. radioprotezione</t>
  </si>
  <si>
    <t>Specialista MSSL</t>
  </si>
  <si>
    <t>Servizio del personale</t>
  </si>
  <si>
    <t>Capo del personale</t>
  </si>
  <si>
    <t>Controllo delle assenze</t>
  </si>
  <si>
    <t>Proposte di miglioramento</t>
  </si>
  <si>
    <t>Promozione del personale</t>
  </si>
  <si>
    <t>Formazione del personale</t>
  </si>
  <si>
    <t>Formazione per carrellisti</t>
  </si>
  <si>
    <t>Formazione per apprendisti</t>
  </si>
  <si>
    <t>Rappresentanza del personale</t>
  </si>
  <si>
    <t>Rappresentanti del personale</t>
  </si>
  <si>
    <t>Commissione aziendale</t>
  </si>
  <si>
    <t>Associazione del personale</t>
  </si>
  <si>
    <t>Informazione / comunicazione</t>
  </si>
  <si>
    <t>Responsabile informazione</t>
  </si>
  <si>
    <t>Redazione rivista per le aziende</t>
  </si>
  <si>
    <t xml:space="preserve">Redazione rivista per il personale </t>
  </si>
  <si>
    <t>Riviste specializzate/infoteca</t>
  </si>
  <si>
    <t>Bacheche/affissioni</t>
  </si>
  <si>
    <t>Informatica/EED</t>
  </si>
  <si>
    <t>Responsabile informatico</t>
  </si>
  <si>
    <t>Attrezzature di lavoro</t>
  </si>
  <si>
    <t>Acquisto attrezzature di lavoro</t>
  </si>
  <si>
    <t>Acquisto DPI</t>
  </si>
  <si>
    <t>Sostanze</t>
  </si>
  <si>
    <t>Respons. merci pericolose</t>
  </si>
  <si>
    <t>Carburanti</t>
  </si>
  <si>
    <t>Esplosivi</t>
  </si>
  <si>
    <t>Ricerca e sviluppo</t>
  </si>
  <si>
    <t>Sviluppo dell'organizzazione</t>
  </si>
  <si>
    <t>Sviluppo tecnologico</t>
  </si>
  <si>
    <t>Protezione dell'ambiente</t>
  </si>
  <si>
    <t>Respons. tutela dell'ambiente</t>
  </si>
  <si>
    <t>Gestione dei rifiuti</t>
  </si>
  <si>
    <t>Preparazione dei lavori</t>
  </si>
  <si>
    <t>Pianificazione, organizzazione</t>
  </si>
  <si>
    <t>Perito aziendale</t>
  </si>
  <si>
    <t>Controllo qualità</t>
  </si>
  <si>
    <t>QM/TQM</t>
  </si>
  <si>
    <t>Laboratorio</t>
  </si>
  <si>
    <t>Logistica</t>
  </si>
  <si>
    <t>Trasporti/autisti</t>
  </si>
  <si>
    <t>Mezzi di trasporto/autoveicoli</t>
  </si>
  <si>
    <t>Capo magazziniere</t>
  </si>
  <si>
    <t>Servizio tecnico</t>
  </si>
  <si>
    <t>Officina</t>
  </si>
  <si>
    <t>Manutenzione</t>
  </si>
  <si>
    <t>Riparazione</t>
  </si>
  <si>
    <t>Elettricità</t>
  </si>
  <si>
    <t>Servizio di sorveglianza</t>
  </si>
  <si>
    <t>Organizzazione emergenze</t>
  </si>
  <si>
    <t>Pompieri</t>
  </si>
  <si>
    <t>Servizio sanitario</t>
  </si>
  <si>
    <t>Medico aziendale</t>
  </si>
  <si>
    <t>Sanitari aziendali</t>
  </si>
  <si>
    <t>Infermeria/materiale sanitario</t>
  </si>
  <si>
    <t>Servizio portineria</t>
  </si>
  <si>
    <t>Responsabile immobile</t>
  </si>
  <si>
    <t>Manutenzione immobile</t>
  </si>
  <si>
    <t>Pulizia immobile</t>
  </si>
  <si>
    <t>Custode</t>
  </si>
  <si>
    <t>Altre figure chiave (se necessario compilare)</t>
  </si>
  <si>
    <t>Autovalutazione cliente</t>
  </si>
  <si>
    <t>N°</t>
  </si>
  <si>
    <t>Descrizione domanda</t>
  </si>
  <si>
    <t>Sì</t>
  </si>
  <si>
    <t>No</t>
  </si>
  <si>
    <t>Osservazione cliente</t>
  </si>
  <si>
    <t>Allegato richiesto</t>
  </si>
  <si>
    <t>1.</t>
  </si>
  <si>
    <t>Principi, obiettivi e strategie</t>
  </si>
  <si>
    <t>Sigla collaboratore capitolo 1:</t>
  </si>
  <si>
    <t>1.1.</t>
  </si>
  <si>
    <t>Carta dei valori, principi direttivi</t>
  </si>
  <si>
    <t>1.1.1.</t>
  </si>
  <si>
    <t>L'azienda ha una propria carta dei valori?</t>
  </si>
  <si>
    <t>1.A</t>
  </si>
  <si>
    <t>1.1.2.</t>
  </si>
  <si>
    <t>La sicurezza e la salute dei lavoratori fanno parte dei valori dell'azienda?</t>
  </si>
  <si>
    <t>1.1.3.</t>
  </si>
  <si>
    <t>I dipendenti sono informati sull'importanza dei valori aziendali e sulle loro conseguenze nella vita di tutti i giorni?</t>
  </si>
  <si>
    <t>1.1.4.</t>
  </si>
  <si>
    <t>Quanto avviene in azienda è in linea con la carta dei valori?</t>
  </si>
  <si>
    <t>1.1.5.</t>
  </si>
  <si>
    <t>Il comportamento dei superiori si ispira a determinati principi o direttive? Se sì, quali?</t>
  </si>
  <si>
    <t>1.1.6.</t>
  </si>
  <si>
    <t>La sicurezza e la tutela della salute sono menzionati tra i principi direttivi?</t>
  </si>
  <si>
    <t>1.B</t>
  </si>
  <si>
    <t>1.1.7.</t>
  </si>
  <si>
    <t>L'azienda ha firmato la Charta della sicurezza della Suva?</t>
  </si>
  <si>
    <t>1.1.8.a</t>
  </si>
  <si>
    <r>
      <t xml:space="preserve">Nell’azienda uno dei seguenti sistemi di gestione / certificazioni è in funzione?
</t>
    </r>
    <r>
      <rPr>
        <i/>
        <sz val="11"/>
        <color theme="1"/>
        <rFont val="Arial"/>
        <family val="2"/>
      </rPr>
      <t>ISO 9001, ISO 14001, ISO 45001, OHSAS18001
Se sì, quale?</t>
    </r>
  </si>
  <si>
    <t>1.1.8.b</t>
  </si>
  <si>
    <t>Vengono introdotti altri sistemi di gestione / certificazioni? Se sì, quali?</t>
  </si>
  <si>
    <t>1.2.</t>
  </si>
  <si>
    <t>Impegno della direzione</t>
  </si>
  <si>
    <t>1.2.1.</t>
  </si>
  <si>
    <t>La sicurezza e la tutela della salute sono principi vissuti dalla direzione e vengono promossi con decisioni, regolamenti e direttive?</t>
  </si>
  <si>
    <t>1.2.2.</t>
  </si>
  <si>
    <t>Nella vostra azienda, la sicurezza sul lavoro ha la stessa importanza della qualità e della produttività?</t>
  </si>
  <si>
    <t>1.2.3.</t>
  </si>
  <si>
    <t>La direzione, durante le ispezioni in azienda, affronta le situazioni  e i comportamenti pericolosi?</t>
  </si>
  <si>
    <t>1.2.4.</t>
  </si>
  <si>
    <t>Per la sicurezza sul lavoro e la tutela della salute l'azienda ha conferito un centro costi?</t>
  </si>
  <si>
    <t>1.2.5.a</t>
  </si>
  <si>
    <r>
      <t>La direzione si impegna e appoggia le seguenti attività:</t>
    </r>
    <r>
      <rPr>
        <i/>
        <sz val="11"/>
        <color theme="1"/>
        <rFont val="Arial"/>
        <family val="2"/>
      </rPr>
      <t xml:space="preserve">
Valutazioni dei rischi</t>
    </r>
    <r>
      <rPr>
        <sz val="11"/>
        <color theme="1"/>
        <rFont val="Arial"/>
        <family val="2"/>
      </rPr>
      <t>?</t>
    </r>
  </si>
  <si>
    <t>1.2.5.b</t>
  </si>
  <si>
    <r>
      <t>Audit, controlli</t>
    </r>
    <r>
      <rPr>
        <sz val="11"/>
        <color theme="1"/>
        <rFont val="Arial"/>
        <family val="2"/>
      </rPr>
      <t>?</t>
    </r>
  </si>
  <si>
    <t>1.2.5.c</t>
  </si>
  <si>
    <r>
      <t>Indagine d'infortunio</t>
    </r>
    <r>
      <rPr>
        <sz val="11"/>
        <color theme="1"/>
        <rFont val="Arial"/>
        <family val="2"/>
      </rPr>
      <t>?</t>
    </r>
  </si>
  <si>
    <t>1.2.5.d</t>
  </si>
  <si>
    <r>
      <t>Formazioni sul posto di lavoro</t>
    </r>
    <r>
      <rPr>
        <sz val="11"/>
        <color theme="1"/>
        <rFont val="Arial"/>
        <family val="2"/>
      </rPr>
      <t>?</t>
    </r>
  </si>
  <si>
    <t>1.2.5.e</t>
  </si>
  <si>
    <t>Applicazione delle misure di sicurezza?</t>
  </si>
  <si>
    <t>1.2.5.f</t>
  </si>
  <si>
    <t>Campagne per la sicurezza sul lavoro?</t>
  </si>
  <si>
    <t>1.2.5.g</t>
  </si>
  <si>
    <t>Campagne per la sicurezza nel tempo libero?</t>
  </si>
  <si>
    <t>1.2.5.h</t>
  </si>
  <si>
    <r>
      <t>Gestione delle assenze</t>
    </r>
    <r>
      <rPr>
        <sz val="11"/>
        <color theme="1"/>
        <rFont val="Arial"/>
        <family val="2"/>
      </rPr>
      <t>?</t>
    </r>
  </si>
  <si>
    <t>1.2.5.i</t>
  </si>
  <si>
    <t>Altre? Se sì, quale?</t>
  </si>
  <si>
    <t>1.3.</t>
  </si>
  <si>
    <t>Impegno dei superiori</t>
  </si>
  <si>
    <t>1.3.1.a</t>
  </si>
  <si>
    <r>
      <t xml:space="preserve">I superiori con il loro comportamento promuovono la sicurezza e la tutela della salute:
</t>
    </r>
    <r>
      <rPr>
        <i/>
        <sz val="11"/>
        <color theme="1"/>
        <rFont val="Arial"/>
        <family val="2"/>
      </rPr>
      <t>Applicano per primi le norme di sicurezza (ad esempio usare i DPI)</t>
    </r>
    <r>
      <rPr>
        <sz val="11"/>
        <color theme="1"/>
        <rFont val="Arial"/>
        <family val="2"/>
      </rPr>
      <t>?</t>
    </r>
  </si>
  <si>
    <t>1.3.1.b</t>
  </si>
  <si>
    <r>
      <t>Impongono il rispetto delle norme di sicurezza</t>
    </r>
    <r>
      <rPr>
        <sz val="11"/>
        <color theme="1"/>
        <rFont val="Arial"/>
        <family val="2"/>
      </rPr>
      <t>?</t>
    </r>
  </si>
  <si>
    <t>1.3.1.c</t>
  </si>
  <si>
    <r>
      <t>Altri comportamenti e incentivi?</t>
    </r>
    <r>
      <rPr>
        <sz val="11"/>
        <color theme="1"/>
        <rFont val="Arial"/>
        <family val="2"/>
      </rPr>
      <t xml:space="preserve"> Se sì, quali?</t>
    </r>
  </si>
  <si>
    <t>1.3.2.a</t>
  </si>
  <si>
    <r>
      <t xml:space="preserve">Cosa fanno i superiori per promuovere la sicurezza e la tutela della salute sul lavoro? I superiori esercitano il proprio compito mediante:
</t>
    </r>
    <r>
      <rPr>
        <i/>
        <sz val="11"/>
        <color theme="1"/>
        <rFont val="Arial"/>
        <family val="2"/>
      </rPr>
      <t>Valutazioni dei rischi?</t>
    </r>
  </si>
  <si>
    <t>1.3.2.b</t>
  </si>
  <si>
    <t>Audit, controlli?</t>
  </si>
  <si>
    <t>1.3.2.c</t>
  </si>
  <si>
    <t>Indagine d'infortunio?</t>
  </si>
  <si>
    <t>1.3.2.d</t>
  </si>
  <si>
    <t>Formazioni sul posto di lavoro?</t>
  </si>
  <si>
    <t>1.3.2.e</t>
  </si>
  <si>
    <t>1.3.2.f</t>
  </si>
  <si>
    <t>1.3.2.g</t>
  </si>
  <si>
    <t>Gestione delle assenze?</t>
  </si>
  <si>
    <t>1.3.2.h</t>
  </si>
  <si>
    <t>1.3.3</t>
  </si>
  <si>
    <t>I superiori conoscono diritti e doveri stabiliti per legge in materia di sicurezza e tutela della salute?</t>
  </si>
  <si>
    <t>1.4.</t>
  </si>
  <si>
    <t>Obiettivi di sicurezza</t>
  </si>
  <si>
    <t>1.4.1.a</t>
  </si>
  <si>
    <r>
      <t xml:space="preserve">Sono stati fissati obiettivi quantitativi per limitare la frequenza* degli eventi avversi e delle assenze:
</t>
    </r>
    <r>
      <rPr>
        <i/>
        <sz val="9"/>
        <color theme="1"/>
        <rFont val="Arial"/>
        <family val="2"/>
      </rPr>
      <t>*</t>
    </r>
    <r>
      <rPr>
        <sz val="9"/>
        <color theme="1"/>
        <rFont val="Arial"/>
        <family val="2"/>
      </rPr>
      <t>Frequenza: Numero di eventi rispetto all'orario di lavoro produttivo o numero di eventi rispetto al numero degli occupati a tempo pieno in un determinato periodo.
i</t>
    </r>
    <r>
      <rPr>
        <i/>
        <sz val="11"/>
        <color theme="1"/>
        <rFont val="Arial"/>
        <family val="2"/>
      </rPr>
      <t>nfortuni/malattie professionali?</t>
    </r>
  </si>
  <si>
    <t>1.C</t>
  </si>
  <si>
    <t>1.4.1.b</t>
  </si>
  <si>
    <t>Infortuni non professionalki (INP)?</t>
  </si>
  <si>
    <t>1.4.1.c</t>
  </si>
  <si>
    <t>Malattie?</t>
  </si>
  <si>
    <t>1.4.1.d</t>
  </si>
  <si>
    <t>Danni materiali?</t>
  </si>
  <si>
    <t>1.4.1.e</t>
  </si>
  <si>
    <t>Disturbi?</t>
  </si>
  <si>
    <t>1.4.1.f</t>
  </si>
  <si>
    <t>Altri eventi? Se sì, quali eventi?</t>
  </si>
  <si>
    <t>1.4.2.a</t>
  </si>
  <si>
    <r>
      <t>Esistono obiettivi misurabili in termini di limitazione dei tempi di inattività causati dai seguenti eventi:
infortuni</t>
    </r>
    <r>
      <rPr>
        <i/>
        <sz val="11"/>
        <color theme="1"/>
        <rFont val="Arial"/>
        <family val="2"/>
      </rPr>
      <t>/malattie professionali</t>
    </r>
  </si>
  <si>
    <t>1.4.2.b</t>
  </si>
  <si>
    <t>INP?</t>
  </si>
  <si>
    <t>1.4.2.c</t>
  </si>
  <si>
    <t>1.4.2.d</t>
  </si>
  <si>
    <t>1.4.3.</t>
  </si>
  <si>
    <t>Gli obiettivi per la sicurezza e la tutela della salute si riferiscono a tutta l'azienda?</t>
  </si>
  <si>
    <t>1.4.4.</t>
  </si>
  <si>
    <t>Gli obiettivi per la sicurezza e la tutela della salute si riferiscono a singole unità organizzative?</t>
  </si>
  <si>
    <t>1.4.5.</t>
  </si>
  <si>
    <t>Avete la possibilità di confrontare i dati della vostra azienda con quelli di altre aziende simili? Se sì, quali?</t>
  </si>
  <si>
    <t>1.5.</t>
  </si>
  <si>
    <t>Formulazione degli obiettivi, controlling e strategia</t>
  </si>
  <si>
    <t>1.5.1.</t>
  </si>
  <si>
    <t>Esiste un processo ben definito per formulare gli obiettivi di sicurezza?</t>
  </si>
  <si>
    <t>1.5.2.</t>
  </si>
  <si>
    <t>Gli obiettivi prevedono anche l'obbligo del miglioramento continuo del sistema di sicurezza?</t>
  </si>
  <si>
    <t>1.5.3.</t>
  </si>
  <si>
    <t>I quadri o i loro sostituti partecipano alla formulazione degli obiettivi di sicurezza?</t>
  </si>
  <si>
    <t xml:space="preserve">1.5.4. </t>
  </si>
  <si>
    <r>
      <t xml:space="preserve">Il mancato rispetto degli obiettivi viene riconosciuto tempestivamente con un esame attento degli eventi ossia  con una procedura di controlling </t>
    </r>
    <r>
      <rPr>
        <i/>
        <sz val="11"/>
        <color theme="1"/>
        <rFont val="Arial"/>
        <family val="2"/>
      </rPr>
      <t>per tutta l'azienda?</t>
    </r>
  </si>
  <si>
    <t>1.5.5.</t>
  </si>
  <si>
    <t>per singole unità organizzative? (ad es. divisioni, settori)</t>
  </si>
  <si>
    <t>1.5.6.</t>
  </si>
  <si>
    <t>In caso di mancato raggiungimento degli obiettivi si traggono le giuste conseguenze e si applicano le necessarie misure correttive? Se sì, quali conseguenze?</t>
  </si>
  <si>
    <t>1.5.7.</t>
  </si>
  <si>
    <t>Avete una strategia per raggiungere gli obiettivi di sicurezza prefissi? (ad es. misure a medio termine, futuri trend, requisiti e aspettative di parti interessate) Se sì, quale?</t>
  </si>
  <si>
    <t>2.</t>
  </si>
  <si>
    <t>Organizzazione</t>
  </si>
  <si>
    <t>Sigla collaboratore capitolo 2:</t>
  </si>
  <si>
    <t>2.1.</t>
  </si>
  <si>
    <t>Organizzazione aziendale</t>
  </si>
  <si>
    <t>2.1.1</t>
  </si>
  <si>
    <t>Organisationsform</t>
  </si>
  <si>
    <t>2.1.1.1.a</t>
  </si>
  <si>
    <r>
      <t xml:space="preserve">Che tipo di organizzazione presenta la vostra azienda:
</t>
    </r>
    <r>
      <rPr>
        <i/>
        <sz val="11"/>
        <color theme="1"/>
        <rFont val="Arial"/>
        <family val="2"/>
      </rPr>
      <t>Struttura in base alla linea?</t>
    </r>
  </si>
  <si>
    <t>2.A</t>
  </si>
  <si>
    <t>2.1.1.2.b</t>
  </si>
  <si>
    <r>
      <rPr>
        <i/>
        <sz val="11"/>
        <color theme="1"/>
        <rFont val="Arial"/>
        <family val="2"/>
      </rPr>
      <t>Struttura linea-staff</t>
    </r>
    <r>
      <rPr>
        <sz val="11"/>
        <color theme="1"/>
        <rFont val="Arial"/>
        <family val="2"/>
      </rPr>
      <t>?</t>
    </r>
  </si>
  <si>
    <t>2.1.1.2.c</t>
  </si>
  <si>
    <r>
      <rPr>
        <i/>
        <sz val="11"/>
        <color theme="1"/>
        <rFont val="Arial"/>
        <family val="2"/>
      </rPr>
      <t>Struttura funzionale</t>
    </r>
    <r>
      <rPr>
        <sz val="11"/>
        <color theme="1"/>
        <rFont val="Arial"/>
        <family val="2"/>
      </rPr>
      <t>?</t>
    </r>
  </si>
  <si>
    <t>2.1.1.2.d</t>
  </si>
  <si>
    <t>Struttura a matrice?</t>
  </si>
  <si>
    <t>2.1.1.2.e</t>
  </si>
  <si>
    <t>Struttura per progetto?</t>
  </si>
  <si>
    <t>2.1.1.2.f</t>
  </si>
  <si>
    <r>
      <rPr>
        <i/>
        <sz val="11"/>
        <color theme="1"/>
        <rFont val="Arial"/>
        <family val="2"/>
      </rPr>
      <t xml:space="preserve">Altro? </t>
    </r>
    <r>
      <rPr>
        <sz val="11"/>
        <color theme="1"/>
        <rFont val="Arial"/>
        <family val="2"/>
      </rPr>
      <t>Specificare</t>
    </r>
  </si>
  <si>
    <t>2.1.2.</t>
  </si>
  <si>
    <t xml:space="preserve"> Compiti, competenze, responsabilità</t>
  </si>
  <si>
    <t>2.1.2.1.</t>
  </si>
  <si>
    <t>Sono state messe per iscritto le competenze e le responsabilità in materia di sicurezza e tutela della salute?</t>
  </si>
  <si>
    <t>2.1.2.2.a</t>
  </si>
  <si>
    <r>
      <t xml:space="preserve">L'azienda dispone dei seguenti documenti organizzativi come;
</t>
    </r>
    <r>
      <rPr>
        <i/>
        <sz val="11"/>
        <color theme="1"/>
        <rFont val="Arial"/>
        <family val="2"/>
      </rPr>
      <t>Descrizioni dei posti di lavoro?</t>
    </r>
  </si>
  <si>
    <t>2.B, 2.C, 2.D</t>
  </si>
  <si>
    <t>2.1.2.2.b</t>
  </si>
  <si>
    <t>Mansionari?</t>
  </si>
  <si>
    <t>2.1.2.2.c</t>
  </si>
  <si>
    <t>Diagrammi delle funzioni?</t>
  </si>
  <si>
    <t>2.1.2.2.d</t>
  </si>
  <si>
    <r>
      <rPr>
        <i/>
        <sz val="11"/>
        <color theme="1"/>
        <rFont val="Arial"/>
        <family val="2"/>
      </rPr>
      <t>Regolamenti</t>
    </r>
    <r>
      <rPr>
        <sz val="11"/>
        <color theme="1"/>
        <rFont val="Arial"/>
        <family val="2"/>
      </rPr>
      <t>?</t>
    </r>
  </si>
  <si>
    <t>2.E</t>
  </si>
  <si>
    <t>2.1.2.2.e</t>
  </si>
  <si>
    <t>Contratti individuali di lavoro?</t>
  </si>
  <si>
    <t>2.1.2.2.f</t>
  </si>
  <si>
    <t>Contratti collettivi?</t>
  </si>
  <si>
    <t>2.1.2.2.g</t>
  </si>
  <si>
    <t>Contratti d'opera?</t>
  </si>
  <si>
    <t>2.1.2.2.h</t>
  </si>
  <si>
    <t>2.1.2.3.a</t>
  </si>
  <si>
    <r>
      <t xml:space="preserve">I compiti, le competenze e le responsabilità (diritti e doveri) in materia di sicurezza e salute sono parte integrante dei seguenti documenti?
</t>
    </r>
    <r>
      <rPr>
        <i/>
        <sz val="11"/>
        <color theme="1"/>
        <rFont val="Arial"/>
        <family val="2"/>
      </rPr>
      <t>Descrizioni dei posti di lavoro?</t>
    </r>
  </si>
  <si>
    <t>2.1.2.3.b</t>
  </si>
  <si>
    <t>2.F</t>
  </si>
  <si>
    <t>2.1.2.3.c</t>
  </si>
  <si>
    <t>2.1.2.3.d</t>
  </si>
  <si>
    <t>Regolamenti?</t>
  </si>
  <si>
    <t>2.1.2.3.e</t>
  </si>
  <si>
    <t>2.1.2.3.f</t>
  </si>
  <si>
    <t>2.1.2.3.g</t>
  </si>
  <si>
    <t>2.1.2.3.h</t>
  </si>
  <si>
    <r>
      <rPr>
        <i/>
        <sz val="11"/>
        <color theme="1"/>
        <rFont val="Arial"/>
        <family val="2"/>
      </rPr>
      <t>Altri documenti organizzativi?</t>
    </r>
    <r>
      <rPr>
        <sz val="11"/>
        <color theme="1"/>
        <rFont val="Arial"/>
        <family val="2"/>
      </rPr>
      <t>Specificare</t>
    </r>
  </si>
  <si>
    <t>2.1.3.</t>
  </si>
  <si>
    <t>Pianificazione e organizzazione del lavoro</t>
  </si>
  <si>
    <t>2.1.3.1.a</t>
  </si>
  <si>
    <r>
      <t xml:space="preserve">Chi svolge la pianificazione, il calcolo, l'organizzazione delle mansioni? Indicare tra i soggetti sotto indicati: 
</t>
    </r>
    <r>
      <rPr>
        <i/>
        <sz val="11"/>
        <color theme="1"/>
        <rFont val="Arial"/>
        <family val="2"/>
      </rPr>
      <t>superiori di linea?</t>
    </r>
  </si>
  <si>
    <t>2.1.3.1.b</t>
  </si>
  <si>
    <t>team di progetto?</t>
  </si>
  <si>
    <t>2.1.3.1.c</t>
  </si>
  <si>
    <t>unità organizzativa creata ad hoc (preparazione dei lavori)</t>
  </si>
  <si>
    <t>2.1.3.1.d</t>
  </si>
  <si>
    <t>Altri organi / persone? Se sì, quali organi / persone?</t>
  </si>
  <si>
    <t>2.1.3.2.</t>
  </si>
  <si>
    <t>Nella fase di pianificazione, organizzazione, preparazione si tiene conto degli aspetti di sicurezza e tutela della salute?</t>
  </si>
  <si>
    <t>2.1.3.3.</t>
  </si>
  <si>
    <t>Esiste una separazione netta tra la pianificazione, organizzazione e preparazione dei lavori e la loro esecuzione?</t>
  </si>
  <si>
    <t>2.1.3.4.</t>
  </si>
  <si>
    <t>Il livello di esecuzione è coinvolto nella fase di preparazione del lavoro?</t>
  </si>
  <si>
    <t>2.1.3.5.</t>
  </si>
  <si>
    <t>Gli incarichi di lavoro vengono spiegati e discussi?</t>
  </si>
  <si>
    <t>2.1.3.6.</t>
  </si>
  <si>
    <t>La sicurezza e la tutela della salute sono parte integrante degli incarichi?</t>
  </si>
  <si>
    <t>2.1.3.7.</t>
  </si>
  <si>
    <t>Gli incarichi vengono assegnati per iscritto e documentati?</t>
  </si>
  <si>
    <t>2.1.3.8.</t>
  </si>
  <si>
    <t>Le direttive di lavoro in forma scritta riportano indicazioni sulle misure di sicurezza e di tutela della salute?</t>
  </si>
  <si>
    <t>2.G</t>
  </si>
  <si>
    <t>2.1.4.</t>
  </si>
  <si>
    <t>Regolamento aziendale</t>
  </si>
  <si>
    <t>2.1.4.1.</t>
  </si>
  <si>
    <t>La vostra azienda ha un regolamento obbligatorio ai sensi della Legge sul lavoro?</t>
  </si>
  <si>
    <t>2.H</t>
  </si>
  <si>
    <t>2.1.4.2.</t>
  </si>
  <si>
    <t>La vostra azienda ha un regolamento facoltativo? In caso affermativo: Cosa recita il testo relativamente alla sicurezza e alla promozione della salute dei lavoratori?</t>
  </si>
  <si>
    <t>2.2</t>
  </si>
  <si>
    <t>2.2.1.</t>
  </si>
  <si>
    <t>Struttura organizzativa</t>
  </si>
  <si>
    <t>2.2.1.1.</t>
  </si>
  <si>
    <t>Un membro della direzione è responsabile della sicurezza sul lavoro e della tutela della salute?</t>
  </si>
  <si>
    <t>2.2.1.2.</t>
  </si>
  <si>
    <t>La vostra azienda ha un'organizzazione della sicurezza che fa capo direttamente alla direzione?</t>
  </si>
  <si>
    <t>2.2.1.3.</t>
  </si>
  <si>
    <t>L'organizzazione della sicurezza è rappresentata nel diagramma aziendale?</t>
  </si>
  <si>
    <t>2.I</t>
  </si>
  <si>
    <t>2.2.1.4.a</t>
  </si>
  <si>
    <r>
      <t>L'azienda si rivolge ad esperti esterni:
M</t>
    </r>
    <r>
      <rPr>
        <i/>
        <sz val="11"/>
        <color theme="1"/>
        <rFont val="Arial"/>
        <family val="2"/>
      </rPr>
      <t>edici del lavoro?</t>
    </r>
  </si>
  <si>
    <t>2.2.1.4.b</t>
  </si>
  <si>
    <t>Igienisti del lavoro?</t>
  </si>
  <si>
    <t>2.2.1.4.c</t>
  </si>
  <si>
    <t>Ingegneri di sicurezza?</t>
  </si>
  <si>
    <t>2.2.1.4.d</t>
  </si>
  <si>
    <t>Esperti nell'ambito della sicurezza?</t>
  </si>
  <si>
    <t>2.2.1.4.e</t>
  </si>
  <si>
    <r>
      <rPr>
        <i/>
        <sz val="11"/>
        <color theme="1"/>
        <rFont val="Arial"/>
        <family val="2"/>
      </rPr>
      <t>Altri esperti?</t>
    </r>
    <r>
      <rPr>
        <sz val="11"/>
        <color theme="1"/>
        <rFont val="Arial"/>
        <family val="2"/>
      </rPr>
      <t xml:space="preserve"> Se sì, quali?</t>
    </r>
  </si>
  <si>
    <t>2.2.1.5.</t>
  </si>
  <si>
    <t>I compiti, i doveri e i diritti dei singoli componenti l'organizzazione della sicurezza vengono messi per iscritto?</t>
  </si>
  <si>
    <t>2.2.1.6.</t>
  </si>
  <si>
    <t>L'addetto alla sicurezza è responsabile della rapportistica in materia di sicurezza e tutela della salute indirizzata alla direzione?</t>
  </si>
  <si>
    <t>2.2.1.7.</t>
  </si>
  <si>
    <t>I responsabili di linea sostengono concretamente l'organizzazione della sicurezza?</t>
  </si>
  <si>
    <t>2.2.2.</t>
  </si>
  <si>
    <t>Piano di sicurezza</t>
  </si>
  <si>
    <t>2.2.2.1.</t>
  </si>
  <si>
    <t>La vostra azienda ha un piano di sicurezza?
Se sì, da quando è in vigore il piano di sicurezza?</t>
  </si>
  <si>
    <t>2.J</t>
  </si>
  <si>
    <t>2.2.2.2.</t>
  </si>
  <si>
    <t>Il campo di applicazione del piano di sicurezza è stabilito chiaramente e documentato?</t>
  </si>
  <si>
    <t>2.2.2.3.</t>
  </si>
  <si>
    <t>La struttura dei documenti per il piano di sicurezza è stata stabilita ed è chiaro come accedere ai documenti allegati?</t>
  </si>
  <si>
    <t>2.2.3.</t>
  </si>
  <si>
    <t>Formazione in materia di sicurezza</t>
  </si>
  <si>
    <t>2.2.3.1.</t>
  </si>
  <si>
    <t>Dipendenti della vostra azienda hanno acquisito una determinata formazione per diventare assistenti alla sicurezza, esperti nell'ambito della sicurezza o ingegneri di sicurezza?</t>
  </si>
  <si>
    <t>2.K</t>
  </si>
  <si>
    <t>2.2.3.2.</t>
  </si>
  <si>
    <t>Dipendenti della vostra azienda hanno frequentato i corsi Suva in materia di sicurezza e salute? Se sì, quali?</t>
  </si>
  <si>
    <t>2.2.3.3.</t>
  </si>
  <si>
    <t>Dipendenti della vostra azienda hanno seguito dei corsi sulla sicurezza organizzati da altri enti? Se sì, quale formazione?</t>
  </si>
  <si>
    <t>2.3.</t>
  </si>
  <si>
    <t xml:space="preserve">Fondamenti </t>
  </si>
  <si>
    <t>2.3.1.</t>
  </si>
  <si>
    <t>Basi giuridiche</t>
  </si>
  <si>
    <t>2.3.1.1.</t>
  </si>
  <si>
    <t>Sono presenti le basi giuridiche in materia di sicurezza sul lavoro e tutela della salute?</t>
  </si>
  <si>
    <t>2.3.1.2.</t>
  </si>
  <si>
    <t>I dipendenti dell'azienda conoscono compiti, diritti e doveri stabiliti per legge?</t>
  </si>
  <si>
    <t>2.3.1.3.</t>
  </si>
  <si>
    <t>L'azienda adempie alle disposizioni di legge?</t>
  </si>
  <si>
    <t>2.3.1.4.</t>
  </si>
  <si>
    <t>I testi di legge vengono aggiornati e messi a disposizione con una procedura stabilita per convenzione? Se sì, chi se ne occupa?</t>
  </si>
  <si>
    <t>2.3.2.</t>
  </si>
  <si>
    <t>Direttive e norme</t>
  </si>
  <si>
    <t>2.3.2.1.</t>
  </si>
  <si>
    <t>In azienda sono presenti le direttive e le norme rilevanti per la sicurezza e la tutela della salute?</t>
  </si>
  <si>
    <t>2.3.2.2.</t>
  </si>
  <si>
    <t>I diretti interessati sono in possesso di queste direttive e norme oppure possono accedervi in qualsiasi momento?</t>
  </si>
  <si>
    <t>2.3.2.3.</t>
  </si>
  <si>
    <t>I diretti interessati conoscono i loro compiti, i loro diritti e doveri stabiliti dalle direttive e dalle norme?</t>
  </si>
  <si>
    <t>2.3.2.4.</t>
  </si>
  <si>
    <t>L'azienda adempie alle direttive e alle norme?</t>
  </si>
  <si>
    <t>2.3.2.5.</t>
  </si>
  <si>
    <t>Le direttive e le norme vengono aggiornate e messe a disposizione con una procedura stabilita per convenzione? Se sì, chi se ne occupa?</t>
  </si>
  <si>
    <t>2.3.3.</t>
  </si>
  <si>
    <t>Documentazione in materia di S &amp; S</t>
  </si>
  <si>
    <t>2.3.3.1.</t>
  </si>
  <si>
    <t>L'azienda ha centralizzato tutti i documenti inerenti la sicurezza e la tutela della salute?</t>
  </si>
  <si>
    <t>2.3.3.2.</t>
  </si>
  <si>
    <t>I dipendenti ricevono una copia personale dei documenti importanti?</t>
  </si>
  <si>
    <t>2.L</t>
  </si>
  <si>
    <t>2.3.3.3.</t>
  </si>
  <si>
    <t>La documentazione relativa alla sicurezza e alla tutela della salute è facilmente accessibile (biblioteca o spazio similare)?</t>
  </si>
  <si>
    <t>2.3.3.4.</t>
  </si>
  <si>
    <t>I documenti relativi alla sicurezza e alla tutela della salute vengono aggiornati e messi a disposizione con una procedura stabilita per convenzione? Se sì, chi se ne occupa?</t>
  </si>
  <si>
    <t>3.</t>
  </si>
  <si>
    <t>Qualificazione, formazione, comunicazione</t>
  </si>
  <si>
    <t>Sigla collaboratore capitolo 3:</t>
  </si>
  <si>
    <t>3.1.</t>
  </si>
  <si>
    <t>Criteri di selezione, contrattualistica</t>
  </si>
  <si>
    <t>3.1.1.</t>
  </si>
  <si>
    <t>L'azienda ha stabilito criteri specifici per la selezione del personale?</t>
  </si>
  <si>
    <t>3.1.2.</t>
  </si>
  <si>
    <t>Nella selezione del personale si tiene conto di aspetti come la sicurezza e la salute?</t>
  </si>
  <si>
    <t>3.1.3.</t>
  </si>
  <si>
    <t>Nella selezione del personale si svolgono particolari test di idoneità? Se sì, per quali attività o situazioni di stress?</t>
  </si>
  <si>
    <t>3.1.4.</t>
  </si>
  <si>
    <t>Si verifica se il candidato capisce la lingua parlata in azienda e questo aspetto è determinante ai fini della selezione?</t>
  </si>
  <si>
    <t>3.1.5.</t>
  </si>
  <si>
    <t>Avere un comportamento sicuro è oggetto del contratto di lavoro per i dipendenti con un posto fisso?</t>
  </si>
  <si>
    <t>3.1.6.</t>
  </si>
  <si>
    <t>Avere un comportamento sicuro è oggetto dei contratti di lavoro con i lavoratori part-time, con gli stagionali o gli ausiliari?</t>
  </si>
  <si>
    <t>3.2.</t>
  </si>
  <si>
    <t>Neo-assunti</t>
  </si>
  <si>
    <t>3.2.1.a</t>
  </si>
  <si>
    <r>
      <t xml:space="preserve">L'azienda dispone di un programma di introduzione standardizzato per: </t>
    </r>
    <r>
      <rPr>
        <sz val="11"/>
        <color theme="1"/>
        <rFont val="Arial"/>
        <family val="2"/>
      </rPr>
      <t xml:space="preserve">
</t>
    </r>
    <r>
      <rPr>
        <i/>
        <sz val="11"/>
        <color theme="1"/>
        <rFont val="Arial"/>
        <family val="2"/>
      </rPr>
      <t>i dipendenti neo-assunti?</t>
    </r>
  </si>
  <si>
    <t>3.2.1.b</t>
  </si>
  <si>
    <t>i dipendenti interinali?</t>
  </si>
  <si>
    <t>3.2.1.c</t>
  </si>
  <si>
    <t>i dipendenti trasferiti?</t>
  </si>
  <si>
    <t>3.2.2.</t>
  </si>
  <si>
    <t>Per documentare l'introduzione si usano liste di controllo o parole chiave?</t>
  </si>
  <si>
    <t>3.A</t>
  </si>
  <si>
    <t>3.2.3.a</t>
  </si>
  <si>
    <r>
      <t xml:space="preserve">La sicurezza e la tutela della salute sono parte integrante dell'introduzione per:
</t>
    </r>
    <r>
      <rPr>
        <i/>
        <sz val="11"/>
        <color theme="1"/>
        <rFont val="Arial"/>
        <family val="2"/>
      </rPr>
      <t>i dipendenti neo-assunti?</t>
    </r>
  </si>
  <si>
    <t>3.2.3.b</t>
  </si>
  <si>
    <t>3.2.3.c</t>
  </si>
  <si>
    <t>3.2.4. a</t>
  </si>
  <si>
    <r>
      <t>Documentazione in materia di sicurezza e tutela della salute sono messi a disposizione:
dei dipendenti neo-assunti?</t>
    </r>
    <r>
      <rPr>
        <i/>
        <sz val="11"/>
        <color theme="1"/>
        <rFont val="Arial"/>
        <family val="2"/>
      </rPr>
      <t/>
    </r>
  </si>
  <si>
    <t>3.2.4.b</t>
  </si>
  <si>
    <t>dei dipendenti interinali?</t>
  </si>
  <si>
    <t>3.2.4.c</t>
  </si>
  <si>
    <t>dei dipendenti trasferiti?</t>
  </si>
  <si>
    <t>3.2.5.</t>
  </si>
  <si>
    <t>Durante il periodo di prova il fatto di mostrare un comportamento conforme alla sicurezza è uno dei criteri di valutazione?</t>
  </si>
  <si>
    <t>3.B</t>
  </si>
  <si>
    <t>3.3.</t>
  </si>
  <si>
    <t>Bisogni formativi, misure di promozione</t>
  </si>
  <si>
    <t>3.3.1.</t>
  </si>
  <si>
    <t>Si verificano periodicamente e sistematicamente i profili richiesti e le prestazioni dei lavoratori?</t>
  </si>
  <si>
    <t>3.3.2.</t>
  </si>
  <si>
    <t>Si tiene conto della sicurezza e della tutela della salute nell'identificare le lacune a livello di qualifica e di bisogni formativi?</t>
  </si>
  <si>
    <t>3.3.3.</t>
  </si>
  <si>
    <t>L'azienda ha un piano per la promozione del personale?</t>
  </si>
  <si>
    <t>3.3.4.</t>
  </si>
  <si>
    <r>
      <t xml:space="preserve">Se sì, la sicurezza e la promozione della salute* sono aspetti chiave di questo piano?
</t>
    </r>
    <r>
      <rPr>
        <sz val="9"/>
        <color theme="1"/>
        <rFont val="Arial"/>
        <family val="2"/>
      </rPr>
      <t>*Il concetto di „promozione della salute“ è più ampio di „tutela della salute“. La promozione della salute comprende ogni aspetto individuale e sociale che contribuisce a tutelare la salute.</t>
    </r>
  </si>
  <si>
    <t>3.C</t>
  </si>
  <si>
    <t>3.3.5.</t>
  </si>
  <si>
    <t>Si svolge un controllo specifico per ogni dipendente sulla formazione, sulle attività di aggiornamento e su altre misure di promozione del personale?</t>
  </si>
  <si>
    <t>3.4.</t>
  </si>
  <si>
    <t>Addestramento del personale</t>
  </si>
  <si>
    <t>3.4.1.</t>
  </si>
  <si>
    <t>L'azienda offre al personale programmi e corsi di addestramento?</t>
  </si>
  <si>
    <t>3.4.2.</t>
  </si>
  <si>
    <t>La sicurezza e la tutela della salute sono parte integrante dei corsi di addestramento?</t>
  </si>
  <si>
    <t>3.4.3.</t>
  </si>
  <si>
    <t>L'azienda ricorre ai corsi di addestramento di associazioni esterne?</t>
  </si>
  <si>
    <t>3.4.4.</t>
  </si>
  <si>
    <t>Le proposte di formazione offerte da enti esterni riguardano anche la sicurezza e la tutela della salute? Se sì, specificare gli argomenti</t>
  </si>
  <si>
    <t>3.5.</t>
  </si>
  <si>
    <t>Formazione sul posto di lavo</t>
  </si>
  <si>
    <t>3.5.1.</t>
  </si>
  <si>
    <t>In azienda „si impara sul posto di lavoro“ e questa tendenza viene incoraggiata?</t>
  </si>
  <si>
    <t>3.5.2.</t>
  </si>
  <si>
    <t>Infortuni, quasi-infortuni e altri eventi indesiderati vengono usati come insegnamento, per adottare misure concrete e colmare le lacune a livello formativo?</t>
  </si>
  <si>
    <t>3.5.3.</t>
  </si>
  <si>
    <t>I superiori sono stati istruiti nella metodica della formazione sul posto di lavoro?</t>
  </si>
  <si>
    <t>3.5.4.</t>
  </si>
  <si>
    <r>
      <t xml:space="preserve">I superiori e i dipendenti vengono istruiti in caso di introduzione o modifica delle attrezzature di lavoro*?
</t>
    </r>
    <r>
      <rPr>
        <sz val="9"/>
        <color theme="1"/>
        <rFont val="Arial"/>
        <family val="2"/>
      </rPr>
      <t xml:space="preserve">*Attrezzature di lavoro: macchine, impianti, apparecchi, utensili, attrezzature, DPI. </t>
    </r>
  </si>
  <si>
    <t>3.5.5.</t>
  </si>
  <si>
    <t>I superiori e i dipendenti vengono istruiti in caso di introduzione di nuovi processi di lavoro o in caso di modifica degli stessi?</t>
  </si>
  <si>
    <t>3.5.6.</t>
  </si>
  <si>
    <r>
      <t xml:space="preserve">I superiori e i dipendenti vengono istruiti sulla presenza di nuovi materiali di lavoro*?
</t>
    </r>
    <r>
      <rPr>
        <sz val="9"/>
        <color theme="1"/>
        <rFont val="Arial"/>
        <family val="2"/>
      </rPr>
      <t>*Sostanze di lavoro: Sostanze impiegate sul lavoro, solidi, liquidi o gassosi</t>
    </r>
  </si>
  <si>
    <t>3.6.</t>
  </si>
  <si>
    <t>Valutazione del personale</t>
  </si>
  <si>
    <t>3.6.1.</t>
  </si>
  <si>
    <t>L'azienda dispone di un sistema di valutazione del personale?</t>
  </si>
  <si>
    <t>3.D</t>
  </si>
  <si>
    <t>3.6.2.</t>
  </si>
  <si>
    <t>La condotta di sicurezza dei capi fa parte della valutazione?</t>
  </si>
  <si>
    <t>3.6.3.</t>
  </si>
  <si>
    <t>Una competenza insufficiente a livello dirigenziale in materia di sicurezza ha delle conseguenze? Se sì, quali?</t>
  </si>
  <si>
    <t>3.6.4.</t>
  </si>
  <si>
    <t>Per le promozioni la condotta di sicurezza è un criterio cruciale?</t>
  </si>
  <si>
    <t>3.6.5.</t>
  </si>
  <si>
    <t>Un comportamento sicuro fa parte della valutazione del personale?</t>
  </si>
  <si>
    <t>3.6.6.</t>
  </si>
  <si>
    <t>Il mancato rispetto della sicurezza ha delle conseguenze? Se sì, quali?</t>
  </si>
  <si>
    <t>3.7.</t>
  </si>
  <si>
    <t>Programma di informazione</t>
  </si>
  <si>
    <t>3.7.1.</t>
  </si>
  <si>
    <t>L'azienda dispone di un programma per l'informazione e la comunicazione?</t>
  </si>
  <si>
    <t>3.7.2.</t>
  </si>
  <si>
    <t>Nella vostra azienda ci sono regolamenti o particolari consuetudini in materia di informazione e comunicazione? Se sì, quali?</t>
  </si>
  <si>
    <t>3.7.3.</t>
  </si>
  <si>
    <t>Nella vostra azienda c'è una persona o un ufficio che si occupa prevalentemente di informazione e comunicazione? Se sì, indicare l'ufficio o la persona responsabile.</t>
  </si>
  <si>
    <t>3.8.</t>
  </si>
  <si>
    <t>Mezzi di comunicazione ed eventi</t>
  </si>
  <si>
    <t>3.8.1.a</t>
  </si>
  <si>
    <t>Quali supporti informativi utilizza l'azienda nell'ambito della sicurezza e della tutela della salute?</t>
  </si>
  <si>
    <t>3.8.1.b</t>
  </si>
  <si>
    <t>Colloqui con i dipendenti?</t>
  </si>
  <si>
    <t>3.8.1.c</t>
  </si>
  <si>
    <t>Riunioni di lavoro?</t>
  </si>
  <si>
    <t>3.8.1.d</t>
  </si>
  <si>
    <r>
      <rPr>
        <i/>
        <sz val="11"/>
        <color theme="1"/>
        <rFont val="Arial"/>
        <family val="2"/>
      </rPr>
      <t>Attribuzione dei compiti</t>
    </r>
    <r>
      <rPr>
        <sz val="11"/>
        <color theme="1"/>
        <rFont val="Arial"/>
        <family val="2"/>
      </rPr>
      <t>?</t>
    </r>
  </si>
  <si>
    <t>3.8.1.e</t>
  </si>
  <si>
    <r>
      <rPr>
        <i/>
        <sz val="11"/>
        <color theme="1"/>
        <rFont val="Arial"/>
        <family val="2"/>
      </rPr>
      <t>Direttive di lavoro</t>
    </r>
    <r>
      <rPr>
        <sz val="11"/>
        <color theme="1"/>
        <rFont val="Arial"/>
        <family val="2"/>
      </rPr>
      <t>?</t>
    </r>
  </si>
  <si>
    <t>3.8.1.f</t>
  </si>
  <si>
    <r>
      <rPr>
        <i/>
        <sz val="11"/>
        <color theme="1"/>
        <rFont val="Arial"/>
        <family val="2"/>
      </rPr>
      <t>Istruzioni di lavoro</t>
    </r>
    <r>
      <rPr>
        <sz val="11"/>
        <color theme="1"/>
        <rFont val="Arial"/>
        <family val="2"/>
      </rPr>
      <t>?</t>
    </r>
  </si>
  <si>
    <t>3.8.1.g</t>
  </si>
  <si>
    <r>
      <rPr>
        <i/>
        <sz val="11"/>
        <color theme="1"/>
        <rFont val="Arial"/>
        <family val="2"/>
      </rPr>
      <t>Colloquio sulla sicurezza</t>
    </r>
    <r>
      <rPr>
        <sz val="11"/>
        <color theme="1"/>
        <rFont val="Arial"/>
        <family val="2"/>
      </rPr>
      <t>?</t>
    </r>
  </si>
  <si>
    <t>3.8.1.h</t>
  </si>
  <si>
    <r>
      <rPr>
        <i/>
        <sz val="11"/>
        <color theme="1"/>
        <rFont val="Arial"/>
        <family val="2"/>
      </rPr>
      <t>Scambi d'idee - meeting</t>
    </r>
    <r>
      <rPr>
        <sz val="11"/>
        <color theme="1"/>
        <rFont val="Arial"/>
        <family val="2"/>
      </rPr>
      <t>?</t>
    </r>
  </si>
  <si>
    <t>3.8.1.i</t>
  </si>
  <si>
    <r>
      <rPr>
        <i/>
        <sz val="11"/>
        <color theme="1"/>
        <rFont val="Arial"/>
        <family val="2"/>
      </rPr>
      <t>Incarichi di lavoro scritti</t>
    </r>
    <r>
      <rPr>
        <sz val="11"/>
        <color theme="1"/>
        <rFont val="Arial"/>
        <family val="2"/>
      </rPr>
      <t>?</t>
    </r>
  </si>
  <si>
    <t>3.8.1.j</t>
  </si>
  <si>
    <r>
      <rPr>
        <i/>
        <sz val="11"/>
        <color theme="1"/>
        <rFont val="Arial"/>
        <family val="2"/>
      </rPr>
      <t>Direttive, disposizioni scritte</t>
    </r>
    <r>
      <rPr>
        <sz val="11"/>
        <color theme="1"/>
        <rFont val="Arial"/>
        <family val="2"/>
      </rPr>
      <t>?</t>
    </r>
  </si>
  <si>
    <t>3.8.1.k</t>
  </si>
  <si>
    <r>
      <rPr>
        <i/>
        <sz val="11"/>
        <color theme="1"/>
        <rFont val="Arial"/>
        <family val="2"/>
      </rPr>
      <t>Norme, prescrizioni</t>
    </r>
    <r>
      <rPr>
        <sz val="11"/>
        <color theme="1"/>
        <rFont val="Arial"/>
        <family val="2"/>
      </rPr>
      <t>?</t>
    </r>
  </si>
  <si>
    <t>3.8.1.l</t>
  </si>
  <si>
    <r>
      <rPr>
        <i/>
        <sz val="11"/>
        <color theme="1"/>
        <rFont val="Arial"/>
        <family val="2"/>
      </rPr>
      <t>Guide, manuali</t>
    </r>
    <r>
      <rPr>
        <sz val="11"/>
        <color theme="1"/>
        <rFont val="Arial"/>
        <family val="2"/>
      </rPr>
      <t>?</t>
    </r>
  </si>
  <si>
    <t>3.8.1.m</t>
  </si>
  <si>
    <t>Opuscoli?</t>
  </si>
  <si>
    <t>3.8.1.n</t>
  </si>
  <si>
    <r>
      <rPr>
        <i/>
        <sz val="11"/>
        <color theme="1"/>
        <rFont val="Arial"/>
        <family val="2"/>
      </rPr>
      <t>Informative</t>
    </r>
    <r>
      <rPr>
        <sz val="11"/>
        <color theme="1"/>
        <rFont val="Arial"/>
        <family val="2"/>
      </rPr>
      <t>?</t>
    </r>
  </si>
  <si>
    <t>3.8.1.o</t>
  </si>
  <si>
    <r>
      <rPr>
        <i/>
        <sz val="11"/>
        <color theme="1"/>
        <rFont val="Arial"/>
        <family val="2"/>
      </rPr>
      <t>Circolari</t>
    </r>
    <r>
      <rPr>
        <sz val="11"/>
        <color theme="1"/>
        <rFont val="Arial"/>
        <family val="2"/>
      </rPr>
      <t>?</t>
    </r>
  </si>
  <si>
    <t>3.8.1.p</t>
  </si>
  <si>
    <r>
      <rPr>
        <i/>
        <sz val="11"/>
        <color theme="1"/>
        <rFont val="Arial"/>
        <family val="2"/>
      </rPr>
      <t>Lettere personali</t>
    </r>
    <r>
      <rPr>
        <sz val="11"/>
        <color theme="1"/>
        <rFont val="Arial"/>
        <family val="2"/>
      </rPr>
      <t>?</t>
    </r>
  </si>
  <si>
    <t>3.8.1.q</t>
  </si>
  <si>
    <t>Rivista interna?</t>
  </si>
  <si>
    <t>3.E</t>
  </si>
  <si>
    <t>3.8.1.r</t>
  </si>
  <si>
    <t>Rivista del personale?</t>
  </si>
  <si>
    <t>3.8.1.s</t>
  </si>
  <si>
    <t>Stampa specializzata?</t>
  </si>
  <si>
    <t>3.8.1.t</t>
  </si>
  <si>
    <t>Biblioteca?</t>
  </si>
  <si>
    <t>3.8.1.u</t>
  </si>
  <si>
    <t>Rapporto annuale?</t>
  </si>
  <si>
    <t>3.8.1.v</t>
  </si>
  <si>
    <t>Sondaggio tra i dipendenti?</t>
  </si>
  <si>
    <t>3.8.1.w</t>
  </si>
  <si>
    <r>
      <rPr>
        <i/>
        <sz val="11"/>
        <color theme="1"/>
        <rFont val="Arial"/>
        <family val="2"/>
      </rPr>
      <t>Internet</t>
    </r>
    <r>
      <rPr>
        <sz val="11"/>
        <color theme="1"/>
        <rFont val="Arial"/>
        <family val="2"/>
      </rPr>
      <t>?</t>
    </r>
  </si>
  <si>
    <t>3.8.1.x</t>
  </si>
  <si>
    <r>
      <rPr>
        <i/>
        <sz val="11"/>
        <color theme="1"/>
        <rFont val="Arial"/>
        <family val="2"/>
      </rPr>
      <t>Intranet</t>
    </r>
    <r>
      <rPr>
        <sz val="11"/>
        <color theme="1"/>
        <rFont val="Arial"/>
        <family val="2"/>
      </rPr>
      <t>?</t>
    </r>
  </si>
  <si>
    <t>3.8.1.y</t>
  </si>
  <si>
    <r>
      <rPr>
        <i/>
        <sz val="11"/>
        <color theme="1"/>
        <rFont val="Arial"/>
        <family val="2"/>
      </rPr>
      <t>E-Mail</t>
    </r>
    <r>
      <rPr>
        <sz val="11"/>
        <color theme="1"/>
        <rFont val="Arial"/>
        <family val="2"/>
      </rPr>
      <t>?</t>
    </r>
  </si>
  <si>
    <t>3.8.1.z</t>
  </si>
  <si>
    <t>Programmi informatici?</t>
  </si>
  <si>
    <t>3.8.1.aa</t>
  </si>
  <si>
    <r>
      <rPr>
        <i/>
        <sz val="11"/>
        <color theme="1"/>
        <rFont val="Arial"/>
        <family val="2"/>
      </rPr>
      <t>Modelli</t>
    </r>
    <r>
      <rPr>
        <sz val="11"/>
        <color theme="1"/>
        <rFont val="Arial"/>
        <family val="2"/>
      </rPr>
      <t>?</t>
    </r>
  </si>
  <si>
    <t>3.8.1.bb</t>
  </si>
  <si>
    <r>
      <rPr>
        <i/>
        <sz val="11"/>
        <color theme="1"/>
        <rFont val="Arial"/>
        <family val="2"/>
      </rPr>
      <t>Campioni</t>
    </r>
    <r>
      <rPr>
        <sz val="11"/>
        <color theme="1"/>
        <rFont val="Arial"/>
        <family val="2"/>
      </rPr>
      <t>?</t>
    </r>
  </si>
  <si>
    <t>3.8.1.cc</t>
  </si>
  <si>
    <t>Esposizione?</t>
  </si>
  <si>
    <t>3.9.</t>
  </si>
  <si>
    <t>La sicurezza come tema all'ordine del giorno</t>
  </si>
  <si>
    <t>3.9.1.a</t>
  </si>
  <si>
    <r>
      <t xml:space="preserve">La sicurezza e la promozione della salute sono argomenti che vengono dibattuti solitamente durante:
</t>
    </r>
    <r>
      <rPr>
        <i/>
        <sz val="11"/>
        <color theme="1"/>
        <rFont val="Arial"/>
        <family val="2"/>
      </rPr>
      <t>i colloqui aziendali</t>
    </r>
    <r>
      <rPr>
        <sz val="11"/>
        <color theme="1"/>
        <rFont val="Arial"/>
        <family val="2"/>
      </rPr>
      <t>?</t>
    </r>
  </si>
  <si>
    <t>3.9.1.b</t>
  </si>
  <si>
    <t>i colloqui extra-aziendali?   (Per esempio, con terzi, ditte esterne, membri di  consorzi)</t>
  </si>
  <si>
    <t>3.9.2.</t>
  </si>
  <si>
    <r>
      <t xml:space="preserve">Quando si parla di sicurezza e promozione della salute si definiscono anche gli obiettivi di sicurezza* e si adottano dei provvedimenti?
</t>
    </r>
    <r>
      <rPr>
        <sz val="9"/>
        <color theme="1"/>
        <rFont val="Arial"/>
        <family val="2"/>
      </rPr>
      <t>*Obiettivi di sicurezza: obiettivi finalizzati a garantire la sicurezza e la tutela della salute in base all'esperienza comune e allo stato dell'arte. I mezzi e le modalità sono a discrezione.</t>
    </r>
  </si>
  <si>
    <t>3.10.</t>
  </si>
  <si>
    <t>Requisiti imposti alle ditte esterne</t>
  </si>
  <si>
    <t>3.10.1.a</t>
  </si>
  <si>
    <r>
      <t xml:space="preserve">La vostra azienda si avvale del supporto di ditte esterne:
</t>
    </r>
    <r>
      <rPr>
        <i/>
        <sz val="11"/>
        <color theme="1"/>
        <rFont val="Arial"/>
        <family val="2"/>
      </rPr>
      <t>giammai?</t>
    </r>
  </si>
  <si>
    <t>raramente?</t>
  </si>
  <si>
    <t>occasionalmente?</t>
  </si>
  <si>
    <t>spesso?</t>
  </si>
  <si>
    <r>
      <t>continuamente</t>
    </r>
    <r>
      <rPr>
        <sz val="11"/>
        <color theme="1"/>
        <rFont val="Arial"/>
        <family val="2"/>
      </rPr>
      <t>?</t>
    </r>
  </si>
  <si>
    <t>3.10.2.</t>
  </si>
  <si>
    <t>Le ditte esterne vengono informate sui pericoli e sui requisiti di sicurezza imposti nella vostra azienda?</t>
  </si>
  <si>
    <t>Il rispetto delle prescrizioni di sicurezza è sancito nei contratti d'opera stipulati con le ditte esterne?</t>
  </si>
  <si>
    <t>Il rispetto delle prescrizioni di sicurezza nelle ditte esterne è oggetto di un controllo sistematico?</t>
  </si>
  <si>
    <t>Si impone sempre il rispetto delle prescrizioni di sicurezza nelle ditte esterne?</t>
  </si>
  <si>
    <t>Siete disposti ad annullare un contratto d'opera con le ditte che non rispettano le prescrizioni di sicurezza?</t>
  </si>
  <si>
    <t>Il comportamento nei confronti della sicurezza e della tutela della salute delle ditte esterne è tenuto in considerazione nella valutazione del fornitore (sistema qualità)?</t>
  </si>
  <si>
    <t>3.F</t>
  </si>
  <si>
    <t>L'azienda offre dei corsi di formazione per il personale delle ditte esterne?</t>
  </si>
  <si>
    <t>4.</t>
  </si>
  <si>
    <t>Norme di sicurezza</t>
  </si>
  <si>
    <t>Sigla collaboratore capitolo 4:</t>
  </si>
  <si>
    <t>4.1.</t>
  </si>
  <si>
    <t>Opuscoli, direttive e liste di controllo</t>
  </si>
  <si>
    <t>4.1.1.</t>
  </si>
  <si>
    <t>In azienda sono presenti opuscoli e istruzioni di lavoro in materia di sicurezza e salute?</t>
  </si>
  <si>
    <t>4.1.2.</t>
  </si>
  <si>
    <t xml:space="preserve">Si utilizzano le liste di controllo della Suva e della soluzione settoriale? </t>
  </si>
  <si>
    <t>4.1.3.</t>
  </si>
  <si>
    <t>Si utilizza il booklet / opuscolo “Regole vitali” della Suva?</t>
  </si>
  <si>
    <t>4.1.4.</t>
  </si>
  <si>
    <t>I diretti interessati sono in possesso di questi documenti o li possono consultare liberamente?</t>
  </si>
  <si>
    <t>4.1.5.</t>
  </si>
  <si>
    <t>L'azienda ha elaborato delle direttive interne in materia di sicurezza sul lavoro e tutela della salute a completamento degli opuscoli sopra citati? Se sì, specificare quali.</t>
  </si>
  <si>
    <t>4.A</t>
  </si>
  <si>
    <t>4.1.6.</t>
  </si>
  <si>
    <t>I dipendenti vengono coinvolti nel redigere le direttive interne?</t>
  </si>
  <si>
    <t>4.1.7.</t>
  </si>
  <si>
    <t>Si aggiornano regolarmente gli opuscoli, le istruzioni di lavoro e le direttive interne? Se sì, chi se ne occupa? Indicare ufficio o persona.</t>
  </si>
  <si>
    <t>4.2.</t>
  </si>
  <si>
    <t>DPI: necessità</t>
  </si>
  <si>
    <t>4.2.1.a</t>
  </si>
  <si>
    <r>
      <t xml:space="preserve">Quali dispositivi di protezione individuale sono necessari tenuto conto dei pericoli presenti in azienda:
</t>
    </r>
    <r>
      <rPr>
        <i/>
        <sz val="11"/>
        <color theme="1"/>
        <rFont val="Arial"/>
        <family val="2"/>
      </rPr>
      <t>Casco di protezione?</t>
    </r>
  </si>
  <si>
    <t>4.2.1.b</t>
  </si>
  <si>
    <r>
      <rPr>
        <i/>
        <sz val="11"/>
        <color theme="1"/>
        <rFont val="Arial"/>
        <family val="2"/>
      </rPr>
      <t>Protezione per il volto</t>
    </r>
    <r>
      <rPr>
        <sz val="11"/>
        <color theme="1"/>
        <rFont val="Arial"/>
        <family val="2"/>
      </rPr>
      <t>?</t>
    </r>
  </si>
  <si>
    <t>4.2.1.c</t>
  </si>
  <si>
    <t>Retina capelli?</t>
  </si>
  <si>
    <t>4.2.1.d</t>
  </si>
  <si>
    <t>Occhiali di protezione?</t>
  </si>
  <si>
    <t>4.2.1.e</t>
  </si>
  <si>
    <t>Schermo di protezione?</t>
  </si>
  <si>
    <t>4.2.1.f</t>
  </si>
  <si>
    <t>Cuffia di protezione?</t>
  </si>
  <si>
    <t>4.2.1.g</t>
  </si>
  <si>
    <t>Visiera di protezione?</t>
  </si>
  <si>
    <t>4.2.1.h</t>
  </si>
  <si>
    <t>Inserti auricolari?</t>
  </si>
  <si>
    <t>4.2.1.i</t>
  </si>
  <si>
    <t>Cuffie antirumore?</t>
  </si>
  <si>
    <t>4.2.1.j</t>
  </si>
  <si>
    <t>Casco con protettori auricolari?</t>
  </si>
  <si>
    <t>4.2.1.k</t>
  </si>
  <si>
    <t>Indumento di protezione dal rumore?</t>
  </si>
  <si>
    <t>4.2.1.l</t>
  </si>
  <si>
    <t>Respiratori a filtro?</t>
  </si>
  <si>
    <t>4.2.1.m</t>
  </si>
  <si>
    <t>Respiratori ad adduzione di aria compressa?</t>
  </si>
  <si>
    <t>4.2.1.n</t>
  </si>
  <si>
    <t>Autorespiratori a circuito chiuso?</t>
  </si>
  <si>
    <t>4.2.1.o</t>
  </si>
  <si>
    <t>Respiratori a circuito aperto?</t>
  </si>
  <si>
    <t>4.2.1.p</t>
  </si>
  <si>
    <t>Casco di respirazione?</t>
  </si>
  <si>
    <t>4.2.1.q</t>
  </si>
  <si>
    <t>Tuta con autorespiratore all'interno?</t>
  </si>
  <si>
    <t>4.2.1.r</t>
  </si>
  <si>
    <t>Guanti?</t>
  </si>
  <si>
    <t>4.2.1.s</t>
  </si>
  <si>
    <t>Protettori braccia?</t>
  </si>
  <si>
    <t>4.2.1.t</t>
  </si>
  <si>
    <t>Prodotti per la protezione della pelle?</t>
  </si>
  <si>
    <t>4.2.1.u</t>
  </si>
  <si>
    <t>Calzature di sicurezza?</t>
  </si>
  <si>
    <t>4.2.1.v</t>
  </si>
  <si>
    <t>Gambali di protezione?</t>
  </si>
  <si>
    <t>4.2.1.w</t>
  </si>
  <si>
    <t>Proteggitibia?</t>
  </si>
  <si>
    <t>4.2.1.x</t>
  </si>
  <si>
    <t>Ginocchiere?</t>
  </si>
  <si>
    <t>4.2.1.y</t>
  </si>
  <si>
    <t>Indumenti alta visibilità?</t>
  </si>
  <si>
    <t>4.2.1.z</t>
  </si>
  <si>
    <t>Tuta protettiva?</t>
  </si>
  <si>
    <t>4.2.1.aa</t>
  </si>
  <si>
    <t>Grembiule di protezione?</t>
  </si>
  <si>
    <t>4.2.1.bb</t>
  </si>
  <si>
    <t>Cappotto di protezione?</t>
  </si>
  <si>
    <t>4.2.1.cc</t>
  </si>
  <si>
    <t>Protezione antifreddo?</t>
  </si>
  <si>
    <t>4.2.1.dd</t>
  </si>
  <si>
    <t>Protezione contro l'umidità?</t>
  </si>
  <si>
    <t>4.2.1.ee</t>
  </si>
  <si>
    <r>
      <rPr>
        <i/>
        <sz val="11"/>
        <color theme="1"/>
        <rFont val="Arial"/>
        <family val="2"/>
      </rPr>
      <t>Pantaloni antitaglio</t>
    </r>
    <r>
      <rPr>
        <sz val="11"/>
        <color theme="1"/>
        <rFont val="Arial"/>
        <family val="2"/>
      </rPr>
      <t>?</t>
    </r>
  </si>
  <si>
    <t>4.2.1.ff</t>
  </si>
  <si>
    <t>Imbracatura?</t>
  </si>
  <si>
    <t>4.2.1.gg</t>
  </si>
  <si>
    <t>Fune di sicurezza?</t>
  </si>
  <si>
    <t>4.2.1.hh</t>
  </si>
  <si>
    <t>Giubbotto di salvataggio?</t>
  </si>
  <si>
    <t>4.2.1.ii</t>
  </si>
  <si>
    <r>
      <rPr>
        <i/>
        <sz val="11"/>
        <color theme="1"/>
        <rFont val="Arial"/>
        <family val="2"/>
      </rPr>
      <t xml:space="preserve">Altri dispositivi? </t>
    </r>
    <r>
      <rPr>
        <sz val="11"/>
        <color theme="1"/>
        <rFont val="Arial"/>
        <family val="2"/>
      </rPr>
      <t xml:space="preserve"> Se sì, specificare quali.</t>
    </r>
  </si>
  <si>
    <t>4.3.</t>
  </si>
  <si>
    <t>DPI: uso</t>
  </si>
  <si>
    <t>4.3.1.</t>
  </si>
  <si>
    <t>I dipendenti partecipano alla scelta dei dispositivi di protezione individuale?</t>
  </si>
  <si>
    <t>4.3.2.</t>
  </si>
  <si>
    <t>L'azienda ha emanato delle direttive interne sull'uso dei dispositivi di protezione individuale?</t>
  </si>
  <si>
    <t>4.3.3.</t>
  </si>
  <si>
    <t>I superiori danno l'esempio per quanto concerne l'uso dei dispositivi di protezione individuale?</t>
  </si>
  <si>
    <t>4.3.4.</t>
  </si>
  <si>
    <t>Ai dipendenti viene spiegato a quali pericoli vanno incontro sul lavoro e quali sono le necessarie misure di sicurezza?</t>
  </si>
  <si>
    <t>4.3.5.</t>
  </si>
  <si>
    <t>Ai dipendenti viene spiegato come usare correttamente e avere cura dei dispositivi di protezione individuale?</t>
  </si>
  <si>
    <t>4.3.6.</t>
  </si>
  <si>
    <t>L'uso corretto dei dispositivi di protezione è controllato e imposto?</t>
  </si>
  <si>
    <t>4.3.7.</t>
  </si>
  <si>
    <t>Avete notato se alcuni dispositivi di protezione individuale in determinati posti di lavoro e per determinate attività sono scarsamente utilizzati? Indicare in quali situazioni.</t>
  </si>
  <si>
    <t>4.4.</t>
  </si>
  <si>
    <t>Esercizio normale/esercizio particolare</t>
  </si>
  <si>
    <t>4.4.1.</t>
  </si>
  <si>
    <r>
      <t xml:space="preserve">I dipendenti rispettano le istruzioni del fabbricante o del fornitore in merito all'esercizio normale* e particolare** di impianti, macchinari e apparecchi?
</t>
    </r>
    <r>
      <rPr>
        <sz val="9"/>
        <color theme="1"/>
        <rFont val="Arial"/>
        <family val="2"/>
      </rPr>
      <t>* Esercizio normale: impiego nelle condizioni d'uso previste, esecuzione della funzione prevista.
** Esercizio particolare: tutti gli altri interventi, ossia configurazione / riconfigura-zione, preparazione / registrazione, teach-in, individuazione/eliminazione di guasti, pulizia.</t>
    </r>
  </si>
  <si>
    <t>4.4.2.</t>
  </si>
  <si>
    <t>Esistono direttive interne sul'esercizio normale e particolare di impianti, macchinari e apparecchi?</t>
  </si>
  <si>
    <t>4.B</t>
  </si>
  <si>
    <t>4.4.3.</t>
  </si>
  <si>
    <t>Conoscete il rapporto tra il numero di infortuni, quasi-infortuni  e le anomalie di processo nell'esercizio normale e particolare?</t>
  </si>
  <si>
    <t>4.5.</t>
  </si>
  <si>
    <t>Manutenzione (delle attrezzature di lavoro)</t>
  </si>
  <si>
    <t>4.5.1.</t>
  </si>
  <si>
    <r>
      <t xml:space="preserve">In azienda c'è una specifica unità organizzativa che si occupa della manutenzione* delle attrezzature di lavoro?
</t>
    </r>
    <r>
      <rPr>
        <sz val="9"/>
        <color theme="1"/>
        <rFont val="Arial"/>
        <family val="2"/>
      </rPr>
      <t>* Attrezzature di lavoro: macchine, impianti, apparecchi, utensili usati durante il lavoro; installazioni e apparecchi tecnici (IAT) che appartengono all'ambiente
di lavoro (ad es. ventilazione, riscaldamento, illuminazione); dispositivi di protezione
individuale (DPI).</t>
    </r>
  </si>
  <si>
    <t>4.5.2.</t>
  </si>
  <si>
    <t>I produttori o i fornitori delle attrezzature in dotazione alla vostra azienda si occupano di formare i vostri dipendenti su come svolgere la manutenzione?</t>
  </si>
  <si>
    <t>4.5.3.</t>
  </si>
  <si>
    <t>Ci sono direttive interne sulla manutenzione delle attrezzature di lavoro?</t>
  </si>
  <si>
    <t>4.C</t>
  </si>
  <si>
    <t>4.5.4.</t>
  </si>
  <si>
    <t>Durante la manutenzione ci si attiene alle indicazioni del fabbricante e del fornitore (o alle direttive interne)?</t>
  </si>
  <si>
    <t>4.5.5.</t>
  </si>
  <si>
    <t>Gli interventi di manutenzione vengono pianificati (programma) e discussi con i diretti interessati?</t>
  </si>
  <si>
    <t>4.5.6.</t>
  </si>
  <si>
    <t>Dopo la manutenzione, l'autorizzazione all'uso delle attrezzature avviene secondo regole ben precise?</t>
  </si>
  <si>
    <t>4.6.</t>
  </si>
  <si>
    <t>Edifici e impianti</t>
  </si>
  <si>
    <t>4.6.1.</t>
  </si>
  <si>
    <t>Nella vostra azienda c'è una specifica unità organizzativa che si occupa della manutenzione di edifici e impianti?</t>
  </si>
  <si>
    <t>4.6.2.</t>
  </si>
  <si>
    <t>Sono stati identificati e documentati i pericoli associati alla manutenzione di edifici e impianti?</t>
  </si>
  <si>
    <t>4.6.3.</t>
  </si>
  <si>
    <t xml:space="preserve">Esistono norme di sicurezza o regolamenti riguardanti la manutenzione di edifici e impianti? (Ad esempio sull'agibilità delle parti dell'impianto) </t>
  </si>
  <si>
    <t>4.D</t>
  </si>
  <si>
    <t>4.6.4.</t>
  </si>
  <si>
    <t>Alcuni dipendenti della vostra azienda ricevono una formazione specifica sulla manutenzione di edifici e impianti?</t>
  </si>
  <si>
    <t>4.7.</t>
  </si>
  <si>
    <t>Acquisto di attrezzature di lavoro</t>
  </si>
  <si>
    <t>4.7.1.</t>
  </si>
  <si>
    <t>Al momento dell'acquisto delle attrezzature di lavoro si tiene conto della sicurezza sul piano tecnico?</t>
  </si>
  <si>
    <t>4.7.2.</t>
  </si>
  <si>
    <t>Ai fini dell'acquisto vi servite di liste di controllo, elenchi di parole chiave o direttive interne per valutare la sicurezza del prodotto da acquistare?</t>
  </si>
  <si>
    <t>4.E</t>
  </si>
  <si>
    <t>4.7.3.</t>
  </si>
  <si>
    <t>Si verifica che le attrezzatura di lavoro, gli impianti, i materiali e le sostanze pericolose siano sicuri prima che questi vengano utilizati dai dipendenti?</t>
  </si>
  <si>
    <t>4.7.4.</t>
  </si>
  <si>
    <t xml:space="preserve">La verifica delle attrezzature di lavoro, degli impianti, dei materiali e dlele sostanze pericolose prima dell'impiego da parte dei dipendenti viene documentata? </t>
  </si>
  <si>
    <t>4.7.5.</t>
  </si>
  <si>
    <t>Al momento dell'offerta chiedete al fornitore di darvi le specifiche tecniche, i rapporti di prova, eventuali certificati o referenze?</t>
  </si>
  <si>
    <t>4.7.6.</t>
  </si>
  <si>
    <r>
      <t xml:space="preserve">Chiedete al fornitore una dichiarazione di conformità o una dichiarazione di incorporazione secondo l'OMacch*?
</t>
    </r>
    <r>
      <rPr>
        <sz val="9"/>
        <color theme="1"/>
        <rFont val="Arial"/>
        <family val="2"/>
      </rPr>
      <t>* Omacch; Ordinanza concernente la sicurezza delle macchine</t>
    </r>
  </si>
  <si>
    <t>4.7.7.</t>
  </si>
  <si>
    <t>Si verifica che la dichiarazione di conformità sia completa e la si archivia?</t>
  </si>
  <si>
    <t>5.</t>
  </si>
  <si>
    <t>Individuazione dei pericoli, valutazione dei  rischi</t>
  </si>
  <si>
    <t>Sigla collaboratore capitolo 5:</t>
  </si>
  <si>
    <t>5.1.</t>
  </si>
  <si>
    <t>Ricorso (secondo la direttiva CFSL 6508)</t>
  </si>
  <si>
    <t>5.1.1.a</t>
  </si>
  <si>
    <t>Come avete disciplinato il ricorso ai medici del lavoro e agli altri specialisti della sicurezza sul lavoro:
Soluzione interna? 
Se sì, indicare il nome dei medici del lavoro competenti e degli specialisti nel documento „Figure chiave per la sicurezza sul lavoro“.</t>
  </si>
  <si>
    <t>5.1.1.b</t>
  </si>
  <si>
    <r>
      <rPr>
        <i/>
        <sz val="11"/>
        <color theme="1"/>
        <rFont val="Arial"/>
        <family val="2"/>
      </rPr>
      <t>Adesione a una soluzione settoriale</t>
    </r>
    <r>
      <rPr>
        <sz val="11"/>
        <color theme="1"/>
        <rFont val="Arial"/>
        <family val="2"/>
      </rPr>
      <t>? Se sì, nome della soluzione.</t>
    </r>
  </si>
  <si>
    <t>5.1.1.c</t>
  </si>
  <si>
    <r>
      <t xml:space="preserve">Adesione a una soluzione per gruppi di aziende? </t>
    </r>
    <r>
      <rPr>
        <sz val="11"/>
        <color theme="1"/>
        <rFont val="Arial"/>
        <family val="2"/>
      </rPr>
      <t>Se sì, nome della soluzione.</t>
    </r>
  </si>
  <si>
    <t>5.1.1.d</t>
  </si>
  <si>
    <r>
      <t xml:space="preserve">Adesione a una soluzione modello? </t>
    </r>
    <r>
      <rPr>
        <sz val="11"/>
        <color theme="1"/>
        <rFont val="Arial"/>
        <family val="2"/>
      </rPr>
      <t>Se sì, nome della soluzione.</t>
    </r>
  </si>
  <si>
    <t>5.1.1.e</t>
  </si>
  <si>
    <r>
      <t xml:space="preserve">Altra soluzione? </t>
    </r>
    <r>
      <rPr>
        <sz val="11"/>
        <color theme="1"/>
        <rFont val="Arial"/>
        <family val="2"/>
      </rPr>
      <t>Se sì, specificare quale.</t>
    </r>
  </si>
  <si>
    <t>5.2.</t>
  </si>
  <si>
    <t>Individuazione dei pericoli</t>
  </si>
  <si>
    <t>5.2.1.</t>
  </si>
  <si>
    <t>Sono stati identificati e documentati i pericoli per la sicurezza e la salute dei lavoratori? Se sì, con quali metodi?</t>
  </si>
  <si>
    <t>5.A</t>
  </si>
  <si>
    <t>5.2.2.a</t>
  </si>
  <si>
    <r>
      <t xml:space="preserve">Su quali aspetti si concentra l'individuazione dei pericoli:
</t>
    </r>
    <r>
      <rPr>
        <i/>
        <sz val="11"/>
        <color theme="1"/>
        <rFont val="Arial"/>
        <family val="2"/>
      </rPr>
      <t>Attrezzature di lavoro?</t>
    </r>
  </si>
  <si>
    <t>5.2.2.b</t>
  </si>
  <si>
    <r>
      <rPr>
        <i/>
        <sz val="11"/>
        <color theme="1"/>
        <rFont val="Arial"/>
        <family val="2"/>
      </rPr>
      <t>Processi, procedure, metodi</t>
    </r>
    <r>
      <rPr>
        <sz val="11"/>
        <color theme="1"/>
        <rFont val="Arial"/>
        <family val="2"/>
      </rPr>
      <t>?</t>
    </r>
  </si>
  <si>
    <t>5.2.2.c</t>
  </si>
  <si>
    <t>Attività?</t>
  </si>
  <si>
    <t>5.2.2.d</t>
  </si>
  <si>
    <t>Posti di lavoro?</t>
  </si>
  <si>
    <t>5.2.2.e</t>
  </si>
  <si>
    <t>Attività / posti di lavoro con commissionario (per es. aziende terze)?</t>
  </si>
  <si>
    <t>5.2.2.f</t>
  </si>
  <si>
    <r>
      <rPr>
        <i/>
        <sz val="11"/>
        <color theme="1"/>
        <rFont val="Arial"/>
        <family val="2"/>
      </rPr>
      <t>Prodotti</t>
    </r>
    <r>
      <rPr>
        <sz val="11"/>
        <color theme="1"/>
        <rFont val="Arial"/>
        <family val="2"/>
      </rPr>
      <t>?</t>
    </r>
  </si>
  <si>
    <t>5.2.2.g</t>
  </si>
  <si>
    <r>
      <rPr>
        <i/>
        <sz val="11"/>
        <color theme="1"/>
        <rFont val="Arial"/>
        <family val="2"/>
      </rPr>
      <t>Sostanze nocive</t>
    </r>
    <r>
      <rPr>
        <sz val="11"/>
        <color theme="1"/>
        <rFont val="Arial"/>
        <family val="2"/>
      </rPr>
      <t>?</t>
    </r>
  </si>
  <si>
    <t>5.2.2.h</t>
  </si>
  <si>
    <r>
      <rPr>
        <i/>
        <sz val="11"/>
        <color theme="1"/>
        <rFont val="Arial"/>
        <family val="2"/>
      </rPr>
      <t xml:space="preserve">Altri fatti o oggetti? </t>
    </r>
    <r>
      <rPr>
        <sz val="11"/>
        <color theme="1"/>
        <rFont val="Arial"/>
        <family val="2"/>
      </rPr>
      <t>Se sì, specificare quali.</t>
    </r>
  </si>
  <si>
    <t>5.2.3.</t>
  </si>
  <si>
    <t>Si verifica regolarmente l'individuazione dei pericoli e la si adegua ai cambiamenti avvenuti nell'azienda?</t>
  </si>
  <si>
    <t>5.2.4.</t>
  </si>
  <si>
    <t>In azienda chi si occupa dell'individuazione sistematica dei pericoli?</t>
  </si>
  <si>
    <t>5.2.5.</t>
  </si>
  <si>
    <t>I dipendenti partecipano all'individuazione dei pericoli?</t>
  </si>
  <si>
    <t>5.2.7.</t>
  </si>
  <si>
    <t>Nel definire gli obiettivi di sicurezza e tutela della salute si tiene conto dei risultati dell'individuazione dei pericoli?</t>
  </si>
  <si>
    <t>5.3.</t>
  </si>
  <si>
    <t>Valutazione dei rischi</t>
  </si>
  <si>
    <t>5.3.1</t>
  </si>
  <si>
    <t>Nella vostra azienda si svolge una valutazione dei rischi? Se sì, con quale metodo?</t>
  </si>
  <si>
    <t>5.B</t>
  </si>
  <si>
    <t>5.3.2.a</t>
  </si>
  <si>
    <r>
      <t xml:space="preserve">In quali casi si svolge una valutazione dei rischi:
</t>
    </r>
    <r>
      <rPr>
        <i/>
        <sz val="11"/>
        <color theme="1"/>
        <rFont val="Arial"/>
        <family val="2"/>
      </rPr>
      <t>Quando si introducono nuovi processi, nuove attrezzature, nuovi materiali?</t>
    </r>
  </si>
  <si>
    <t>5.3.2.b</t>
  </si>
  <si>
    <t>Quando si modifica un processo, un'attrezzatura di lavoro?</t>
  </si>
  <si>
    <t>5.3.2.c</t>
  </si>
  <si>
    <t>Se le regole della tecnica sono assenti o carenti?</t>
  </si>
  <si>
    <t>5.3.3.</t>
  </si>
  <si>
    <t>Si verifica regolarmente la valutazione dei rischi e la si adegua ai cambiamenti avvenuti in azienda?</t>
  </si>
  <si>
    <t>5.3.4.</t>
  </si>
  <si>
    <t>Chi si occupa nella vostra azienda della valutazione sistematica dei rischi?</t>
  </si>
  <si>
    <t>5.3.5.</t>
  </si>
  <si>
    <t>I dipendenti partecipano alla valutazione dei rischi?</t>
  </si>
  <si>
    <t>5.3.6.</t>
  </si>
  <si>
    <t>I risultati della valutazione dei rischi sono documentati? Se sì, come?</t>
  </si>
  <si>
    <t>5.C</t>
  </si>
  <si>
    <t>5.3.7.</t>
  </si>
  <si>
    <t>Nel definire gli obiettivi in materia di sicurezza e tutela della salute si tiene conto dei risultati della valutazione dei rischi?</t>
  </si>
  <si>
    <t>5.4.</t>
  </si>
  <si>
    <t>Analisi degli eventi</t>
  </si>
  <si>
    <t>5.4.1.a</t>
  </si>
  <si>
    <r>
      <t xml:space="preserve">Nella vostra azienda esiste una direttiva secondo la quale gli eventi devono essere notificati entro una determinata scadenza:
</t>
    </r>
    <r>
      <rPr>
        <i/>
        <sz val="11"/>
        <color theme="1"/>
        <rFont val="Arial"/>
        <family val="2"/>
      </rPr>
      <t>Infortuni e malattie professionali</t>
    </r>
    <r>
      <rPr>
        <sz val="11"/>
        <color theme="1"/>
        <rFont val="Arial"/>
        <family val="2"/>
      </rPr>
      <t>?</t>
    </r>
  </si>
  <si>
    <t>5.4.1.b</t>
  </si>
  <si>
    <t>Infortuni non professionali?</t>
  </si>
  <si>
    <t>5.4.1.c</t>
  </si>
  <si>
    <t>Malattia?</t>
  </si>
  <si>
    <t>5.4.1.d</t>
  </si>
  <si>
    <t>5.4.1.e</t>
  </si>
  <si>
    <t>Quasi-infortuni?</t>
  </si>
  <si>
    <t>5.4.1.f</t>
  </si>
  <si>
    <t>Anomalie di processo?</t>
  </si>
  <si>
    <t>5.4.1.g</t>
  </si>
  <si>
    <r>
      <rPr>
        <i/>
        <sz val="11"/>
        <color theme="1"/>
        <rFont val="Arial"/>
        <family val="2"/>
      </rPr>
      <t>Altri eventi?</t>
    </r>
    <r>
      <rPr>
        <sz val="11"/>
        <color theme="1"/>
        <rFont val="Arial"/>
        <family val="2"/>
      </rPr>
      <t xml:space="preserve">
Se sì, quali?</t>
    </r>
  </si>
  <si>
    <t>5.4.3.</t>
  </si>
  <si>
    <t>È stato designato un ufficio che si occupa di raccogliere e analizzare tutte le notifiche d'infortunio?</t>
  </si>
  <si>
    <t>5.4.4.</t>
  </si>
  <si>
    <t>È stata stabilita e messa per iscritto una procedura per l'esame degli eventi inattesi?</t>
  </si>
  <si>
    <t>5.D</t>
  </si>
  <si>
    <t>5.4.5.a</t>
  </si>
  <si>
    <r>
      <t xml:space="preserve">Ogni evento viene esaminato regolarmente e sistematicamente:
</t>
    </r>
    <r>
      <rPr>
        <i/>
        <sz val="11"/>
        <color theme="1"/>
        <rFont val="Arial"/>
        <family val="2"/>
      </rPr>
      <t>Infortuni e malattie professionali</t>
    </r>
    <r>
      <rPr>
        <sz val="11"/>
        <color theme="1"/>
        <rFont val="Arial"/>
        <family val="2"/>
      </rPr>
      <t>?</t>
    </r>
  </si>
  <si>
    <t>5.4.5.b</t>
  </si>
  <si>
    <t>5.4.5.c</t>
  </si>
  <si>
    <t>5.4.5.d</t>
  </si>
  <si>
    <t>5.4.5.e</t>
  </si>
  <si>
    <t>5.4.5.f</t>
  </si>
  <si>
    <t>5.4.5.g</t>
  </si>
  <si>
    <t>Altri eventi?
Se sì, quali?</t>
  </si>
  <si>
    <t>5.4.6.</t>
  </si>
  <si>
    <t>Dopo aver notificato un infortunio alla Suva, questo viene considerato liquidato?</t>
  </si>
  <si>
    <t>6.</t>
  </si>
  <si>
    <t>Misure</t>
  </si>
  <si>
    <t>Sigla collaboratore capitolo 6:</t>
  </si>
  <si>
    <t>6.1.</t>
  </si>
  <si>
    <t>Ricerca delle misure</t>
  </si>
  <si>
    <t>6.1.1.</t>
  </si>
  <si>
    <t>Dopo aver individuato un pericolo si adotta in ogni caso un provvedimento?</t>
  </si>
  <si>
    <t>6.1.2.</t>
  </si>
  <si>
    <t>Le misure di sicurezza vengono adottate in base a determinate strategie (obiettivi, mezzi, metodi)?</t>
  </si>
  <si>
    <t>6.A</t>
  </si>
  <si>
    <t>6.1.3.a</t>
  </si>
  <si>
    <r>
      <t xml:space="preserve">Chi partecipa alla ricerca delle misure:
</t>
    </r>
    <r>
      <rPr>
        <i/>
        <sz val="11"/>
        <color theme="1"/>
        <rFont val="Arial"/>
        <family val="2"/>
      </rPr>
      <t>Superiori</t>
    </r>
    <r>
      <rPr>
        <sz val="11"/>
        <color theme="1"/>
        <rFont val="Arial"/>
        <family val="2"/>
      </rPr>
      <t>?</t>
    </r>
  </si>
  <si>
    <t>6.1.3.b</t>
  </si>
  <si>
    <t>Dipendenti?</t>
  </si>
  <si>
    <t>6.1.3.c</t>
  </si>
  <si>
    <t>Addetti alla sicurezza?</t>
  </si>
  <si>
    <t>6.1.3.d</t>
  </si>
  <si>
    <t>Soggetti dell'organizzazione della sicurezza?</t>
  </si>
  <si>
    <t>6.1.3.e</t>
  </si>
  <si>
    <r>
      <rPr>
        <i/>
        <sz val="11"/>
        <color theme="1"/>
        <rFont val="Arial"/>
        <family val="2"/>
      </rPr>
      <t>Altri</t>
    </r>
    <r>
      <rPr>
        <sz val="11"/>
        <color theme="1"/>
        <rFont val="Arial"/>
        <family val="2"/>
      </rPr>
      <t>? Se sì, chi?</t>
    </r>
  </si>
  <si>
    <t>6.1.4.</t>
  </si>
  <si>
    <t>Le misure da adottare hanno tutte un termine e il loro rispetto è controllato?</t>
  </si>
  <si>
    <t>6.1.5.</t>
  </si>
  <si>
    <t>Si verifica l'efficacia delle misure adottate?</t>
  </si>
  <si>
    <t>6.1.6.</t>
  </si>
  <si>
    <t>Al momento di definire gli obiettivi in materia di sicurezza e tutela della salute si tiene conto delle possibili conseguenze delle misure adottate?</t>
  </si>
  <si>
    <t>6.2.</t>
  </si>
  <si>
    <t>Programmi per la sicurezza</t>
  </si>
  <si>
    <t>6.2.1.a</t>
  </si>
  <si>
    <r>
      <t xml:space="preserve">Nella vostra azienda, negli ultimi due anni sono stati svolti, iniziati programmati dei programmi a favore:
</t>
    </r>
    <r>
      <rPr>
        <i/>
        <sz val="11"/>
        <color theme="1"/>
        <rFont val="Arial"/>
        <family val="2"/>
      </rPr>
      <t>della sicurezza sul lavoro?</t>
    </r>
  </si>
  <si>
    <t>6.2.1.b</t>
  </si>
  <si>
    <t>della sicurezza nel tempo libero?</t>
  </si>
  <si>
    <t>6.2.1.c</t>
  </si>
  <si>
    <t>della promozione della salute?</t>
  </si>
  <si>
    <t>6.2.2.a</t>
  </si>
  <si>
    <r>
      <t xml:space="preserve">Nella vostra azienda, negli ultimi due anni sono stati svolti, iniziati programmati i seguenti programmi?
</t>
    </r>
    <r>
      <rPr>
        <i/>
        <sz val="11"/>
        <color theme="1"/>
        <rFont val="Arial"/>
        <family val="2"/>
      </rPr>
      <t>Ponteggi sicuri?</t>
    </r>
  </si>
  <si>
    <t>6.2.2.b</t>
  </si>
  <si>
    <t>Presse sicure?</t>
  </si>
  <si>
    <t>6.2.2.c</t>
  </si>
  <si>
    <t>STOP alla manipolazione dei dispositivi di protezione?</t>
  </si>
  <si>
    <t>6.2.2.d</t>
  </si>
  <si>
    <t>inciampare.ch?</t>
  </si>
  <si>
    <t>6.2.2.e</t>
  </si>
  <si>
    <t>Amianto?</t>
  </si>
  <si>
    <t>6.2.2.f</t>
  </si>
  <si>
    <t>Manutenzione?</t>
  </si>
  <si>
    <t>6.2.2.g</t>
  </si>
  <si>
    <t>Tirocinio in sicurezza?</t>
  </si>
  <si>
    <t>6.2.2.h</t>
  </si>
  <si>
    <t>Altri programmi di sucurezza? Se sì, quali?</t>
  </si>
  <si>
    <t>7.</t>
  </si>
  <si>
    <t>Organizzazione per i casi di emergenza</t>
  </si>
  <si>
    <t>Sigla collaboratore capitolo 7:</t>
  </si>
  <si>
    <t>7.1.</t>
  </si>
  <si>
    <t>Piano di emergenza</t>
  </si>
  <si>
    <t>7.1.1.</t>
  </si>
  <si>
    <t>C'è un piano per far fronte alle emergenze adeguato ai rischi aziendali?</t>
  </si>
  <si>
    <t>7.A</t>
  </si>
  <si>
    <t>7.1.2.</t>
  </si>
  <si>
    <t>È garantito un soccorso immediato e competente in caso di infortuni e malattie acute?</t>
  </si>
  <si>
    <t>7.1.3.a</t>
  </si>
  <si>
    <r>
      <t xml:space="preserve">I seguenti soggetti sanno quali sono i potenziali rischi cui è esposta la vostra azienda, conoscono le sostanze da voi stoccate e manipolate: </t>
    </r>
    <r>
      <rPr>
        <i/>
        <sz val="11"/>
        <color theme="1"/>
        <rFont val="Arial"/>
        <family val="2"/>
      </rPr>
      <t>Medici?</t>
    </r>
  </si>
  <si>
    <t>7.1.3.b</t>
  </si>
  <si>
    <t>Ospedali/ambulanza?</t>
  </si>
  <si>
    <t>7.1.3.c</t>
  </si>
  <si>
    <t>Pompieri?</t>
  </si>
  <si>
    <t>7.1.3.d</t>
  </si>
  <si>
    <t>Polizia?</t>
  </si>
  <si>
    <t>7.1.4.</t>
  </si>
  <si>
    <t>Nella vostra azienda esiste un sistema di avvertimento o di allerta in caso di emergenza?</t>
  </si>
  <si>
    <t>7.1.5.</t>
  </si>
  <si>
    <t>I numeri di emergenza sono visibili accanto ad ogni apparecchio?</t>
  </si>
  <si>
    <t>7.1.6.</t>
  </si>
  <si>
    <t>È possibile accedere rapidamente e liberamente al materiale di emergenza?</t>
  </si>
  <si>
    <t>7.1.7.a</t>
  </si>
  <si>
    <r>
      <t xml:space="preserve">Il servizio di emergenza è garantito anche nei seguenti casi: 
</t>
    </r>
    <r>
      <rPr>
        <i/>
        <sz val="11"/>
        <color theme="1"/>
        <rFont val="Arial"/>
        <family val="2"/>
      </rPr>
      <t>Lavoro a turni?</t>
    </r>
  </si>
  <si>
    <t>7.1.7.b</t>
  </si>
  <si>
    <t>Lavoro nel fine settimana?</t>
  </si>
  <si>
    <t>7.1.7.c</t>
  </si>
  <si>
    <t>Lavoro straordinario?</t>
  </si>
  <si>
    <t>7.1.7.d</t>
  </si>
  <si>
    <t>Interventi speciali?</t>
  </si>
  <si>
    <t>7.1.7.e</t>
  </si>
  <si>
    <r>
      <rPr>
        <i/>
        <sz val="11"/>
        <color theme="1"/>
        <rFont val="Arial"/>
        <family val="2"/>
      </rPr>
      <t>Persone tenute a lavorare da sole</t>
    </r>
    <r>
      <rPr>
        <sz val="11"/>
        <color theme="1"/>
        <rFont val="Arial"/>
        <family val="2"/>
      </rPr>
      <t>?</t>
    </r>
  </si>
  <si>
    <t>7.1.8.</t>
  </si>
  <si>
    <t>Gli interventi di primo soccorso sono documentati? Se sì, come?</t>
  </si>
  <si>
    <t>7.1.9.</t>
  </si>
  <si>
    <t>Tutti i dipendenti, di qualsiasi livello, conoscono la corretta procedura in caso di emergenza?</t>
  </si>
  <si>
    <t>7.2.</t>
  </si>
  <si>
    <t>Condizioni personali</t>
  </si>
  <si>
    <t>7.2.1.</t>
  </si>
  <si>
    <t>Il personale dispone di istruzioni scritte su come comportarsi in caso di emergenza?</t>
  </si>
  <si>
    <t>7.2.2.</t>
  </si>
  <si>
    <t>I dipendenti hanno con sé una tessera di emergenza con le informazioni principali?</t>
  </si>
  <si>
    <t>7.B</t>
  </si>
  <si>
    <t>7.2.3.a</t>
  </si>
  <si>
    <r>
      <t xml:space="preserve">Il comportamento da adottare in caso di emergenza (infortuni, quasi-infortuni, ecc.) viene:
</t>
    </r>
    <r>
      <rPr>
        <i/>
        <sz val="11"/>
        <color theme="1"/>
        <rFont val="Arial"/>
        <family val="2"/>
      </rPr>
      <t>istruito</t>
    </r>
    <r>
      <rPr>
        <sz val="11"/>
        <color theme="1"/>
        <rFont val="Arial"/>
        <family val="2"/>
      </rPr>
      <t>?</t>
    </r>
  </si>
  <si>
    <t>7.2.3.b</t>
  </si>
  <si>
    <t>praticato?</t>
  </si>
  <si>
    <t>7.2.3.c</t>
  </si>
  <si>
    <t>controllato?</t>
  </si>
  <si>
    <t>7.2.4.</t>
  </si>
  <si>
    <t>L'azienda ha un proprio servizio sanitario?</t>
  </si>
  <si>
    <t>7.2.5.</t>
  </si>
  <si>
    <t>In azienda ci sono persone formate appositamente a prestare i primi soccorsi in qualsiasi momento? Se sì, indicare il numero.</t>
  </si>
  <si>
    <t>7.2.6.</t>
  </si>
  <si>
    <t>In azienda c'è una stanza attrezzata per il servizio di pronto soccorso, con attrezzature adeguate in base ai rischi?</t>
  </si>
  <si>
    <t>7.2.7.a</t>
  </si>
  <si>
    <r>
      <t>È stato stabilito chi in caso di emergenza (infortunio, incendio, ecc.) informa:
i</t>
    </r>
    <r>
      <rPr>
        <i/>
        <sz val="11"/>
        <color theme="1"/>
        <rFont val="Arial"/>
        <family val="2"/>
      </rPr>
      <t xml:space="preserve"> familiari della vittima</t>
    </r>
    <r>
      <rPr>
        <sz val="11"/>
        <color theme="1"/>
        <rFont val="Arial"/>
        <family val="2"/>
      </rPr>
      <t>?</t>
    </r>
  </si>
  <si>
    <t>7.2.7.b</t>
  </si>
  <si>
    <t>le assicurazioni?</t>
  </si>
  <si>
    <t>7.2.7.c</t>
  </si>
  <si>
    <t>gli uffici competenti?</t>
  </si>
  <si>
    <t>7.2.7.d</t>
  </si>
  <si>
    <t>i mass-media?</t>
  </si>
  <si>
    <t>7.3.</t>
  </si>
  <si>
    <t>Lotta antincendio</t>
  </si>
  <si>
    <t>7.3.1.</t>
  </si>
  <si>
    <t>L'azienda ha un proprio apparato organizzativo per far fronte agli incendi?</t>
  </si>
  <si>
    <t>7.C</t>
  </si>
  <si>
    <t>7.3.2.</t>
  </si>
  <si>
    <t>Esiste un'organizzazione adeguata (sistema di allarme) e ci sono adeguati rilevatori antincendio?</t>
  </si>
  <si>
    <t>7.3.3.</t>
  </si>
  <si>
    <t>I dipendenti sanno come comportarsi in caso d'incendio?</t>
  </si>
  <si>
    <t>7.3.4.</t>
  </si>
  <si>
    <t xml:space="preserve">Si svolgono delle esercitazioni? Se sì, quando è avvenuta l'ultima esercitazione? </t>
  </si>
  <si>
    <t>7.3.5.</t>
  </si>
  <si>
    <t>All'ultima esercitazione hanno preso parte tutti i dipendenti?</t>
  </si>
  <si>
    <t>8.</t>
  </si>
  <si>
    <t>Partecipazione</t>
  </si>
  <si>
    <t>Sigla collaboratore capitolo 8:</t>
  </si>
  <si>
    <t>8.1.</t>
  </si>
  <si>
    <t>Partecipazione dei lavoratori</t>
  </si>
  <si>
    <t>8.1.1.</t>
  </si>
  <si>
    <r>
      <t xml:space="preserve">L'informazione e lo scambio con i dipendenti è regolamentato secondo la Legge sulla partecipazione*?
</t>
    </r>
    <r>
      <rPr>
        <sz val="9"/>
        <color theme="1"/>
        <rFont val="Arial"/>
        <family val="2"/>
      </rPr>
      <t>* Legge sulla partecipazione: Legge federale sull'informazione e la
consultazione dei lavoratori nelle imprese</t>
    </r>
  </si>
  <si>
    <t>8.1.2.a</t>
  </si>
  <si>
    <r>
      <t xml:space="preserve">Quale forma rappresentativa esiste in azienda:
</t>
    </r>
    <r>
      <rPr>
        <i/>
        <sz val="11"/>
        <color theme="1"/>
        <rFont val="Arial"/>
        <family val="2"/>
      </rPr>
      <t>Rappresentanza diretta?</t>
    </r>
  </si>
  <si>
    <t>8.1.2.b</t>
  </si>
  <si>
    <t>Rappresentante eletto dal personale?</t>
  </si>
  <si>
    <t>8.1.3.</t>
  </si>
  <si>
    <t>Si provvede a informare tempestivamente e in maniera esauriente i dipendenti o i loro rappresentanti?</t>
  </si>
  <si>
    <t>8.1.4.</t>
  </si>
  <si>
    <t>Sono garantiti i diritti di partecipazione dei lavoratori e dei loro rappresentanti nelle questioni inerenti la sicurezza sul lavoro e la tutela della salute?</t>
  </si>
  <si>
    <t>8.1.5.</t>
  </si>
  <si>
    <t>I rappresentanti dei lavoratori sono appoggiati dal datore di lavoro?</t>
  </si>
  <si>
    <t>8.2.</t>
  </si>
  <si>
    <t>Proposte, incentivi</t>
  </si>
  <si>
    <t>8.2.1.</t>
  </si>
  <si>
    <t>Nella vostra azienda c'è un sistema istituzionalizzato per avanzare proposte?</t>
  </si>
  <si>
    <t>8.A</t>
  </si>
  <si>
    <t>8.2.2.</t>
  </si>
  <si>
    <t>Si dice esplicitamente che sono gradite proposte in materia di sicurezza e tutela della salute?</t>
  </si>
  <si>
    <t>8.2.3.</t>
  </si>
  <si>
    <t>Le proposte sono state fatte negli ultimi 12 mesi? Se sì, quanti?</t>
  </si>
  <si>
    <t>8.2.4.</t>
  </si>
  <si>
    <t>Sono state fatte negli ultimi 12 mesi le proposte che riguardavano la sicurezza e la salute in senso lato? Se sì, quanti?</t>
  </si>
  <si>
    <t>8.2.5.</t>
  </si>
  <si>
    <t>Le proposte a favore della sicurezza vengono ricompensate? Se sì, in che modo?</t>
  </si>
  <si>
    <t>8.2.6.</t>
  </si>
  <si>
    <t>La vostra azienda applica un sistema di incentivi per promuovere la sicurezza e la tutela della salute? Se sì, in cosa consistono gli incentivi?</t>
  </si>
  <si>
    <t>8.2.7.</t>
  </si>
  <si>
    <r>
      <t xml:space="preserve">Nella vostra azienda esiste un circolo di qualità* o qualcosa di analogo per sfruttare il potenziale creativo del personale? Se sì, quale?
</t>
    </r>
    <r>
      <rPr>
        <sz val="9"/>
        <color theme="1"/>
        <rFont val="Arial"/>
        <family val="2"/>
      </rPr>
      <t xml:space="preserve">* Circolo di qualità: gruppo di lavoro che si occupa del miglioramento
costante della qualità. </t>
    </r>
  </si>
  <si>
    <t>9.</t>
  </si>
  <si>
    <t>Tutela della salute</t>
  </si>
  <si>
    <t>Sigla collaboratore capitolo 9:</t>
  </si>
  <si>
    <t>9.1.</t>
  </si>
  <si>
    <t>Organizzazione del lavoro</t>
  </si>
  <si>
    <t>9.1.1.</t>
  </si>
  <si>
    <t>I dipendenti possono ripartirsi il lavoro autonomamente?</t>
  </si>
  <si>
    <t>9.1.2.</t>
  </si>
  <si>
    <t>I dipendenti possono interrompere il lavoro senza conseguenze negative?</t>
  </si>
  <si>
    <t>9.1.3.</t>
  </si>
  <si>
    <t>I dipendenti possono mettersi d'accordo ogni qualvolta sia necessario?</t>
  </si>
  <si>
    <t>9.1.4.</t>
  </si>
  <si>
    <t>Spesso si hanno dubbi su chi è competente di cosa, anche se pensavate che tutto era stato definito?</t>
  </si>
  <si>
    <t>9.1.5.</t>
  </si>
  <si>
    <t>Ci sono settori interessati da frequenti disguidi (scambi, sviste, dimenticanze)? Se sì, quali?</t>
  </si>
  <si>
    <t>9.1.6.</t>
  </si>
  <si>
    <t>Ci sono attività monotone, poco interessanti o poco qualificanti?</t>
  </si>
  <si>
    <t>9.1.7.</t>
  </si>
  <si>
    <t>Se 9.1.6 è sì, secondo voi si potrebbe migliorare questa situazione ampliando lo spettro di attività o cambiando mansione?</t>
  </si>
  <si>
    <t>9.2.</t>
  </si>
  <si>
    <t>Carico di lavoro, insoddisfazione</t>
  </si>
  <si>
    <t>9.2.1.</t>
  </si>
  <si>
    <t>Ci sono settori nei quali ci si lamenta spesso di stanchezza, mal di testa, disturbi del sonno o disturbi intestinali? Se sì, quali sono?</t>
  </si>
  <si>
    <t>9.2.2.</t>
  </si>
  <si>
    <t>Qualcuno si lamenta che il lavoro è monotono o il carico unilaterale? Se sì, in quali settori?</t>
  </si>
  <si>
    <t>9.2.3.</t>
  </si>
  <si>
    <t>Ci sono lamentele sulle scadenze pressanti, sul ritmo frenetico, sull'eccesso di lavoro o di responsabilità?</t>
  </si>
  <si>
    <t>9.2.4.</t>
  </si>
  <si>
    <t>Capita di avvertire un senso di insoddisfazione generale, senza trovare una spiegazione concreta a questo (continui lamenti)?</t>
  </si>
  <si>
    <t>9.2.5.a</t>
  </si>
  <si>
    <r>
      <t xml:space="preserve">Vi sono conflitti:
</t>
    </r>
    <r>
      <rPr>
        <i/>
        <sz val="11"/>
        <color theme="1"/>
        <rFont val="Arial"/>
        <family val="2"/>
      </rPr>
      <t>tra i dipendenti?</t>
    </r>
  </si>
  <si>
    <t>9.2.5.b</t>
  </si>
  <si>
    <t>tra le divisioni?</t>
  </si>
  <si>
    <t>9.2.5.c</t>
  </si>
  <si>
    <t>tra i superiori e i subalterni?</t>
  </si>
  <si>
    <t>9.2.5.d</t>
  </si>
  <si>
    <t>tra i superiori?</t>
  </si>
  <si>
    <t>9.2.6.</t>
  </si>
  <si>
    <t>Si applica un metodo documentato per risolvere i conflitti?</t>
  </si>
  <si>
    <t>9.3.</t>
  </si>
  <si>
    <t>Sollecitazioni fisiche</t>
  </si>
  <si>
    <t>9.3.1.a</t>
  </si>
  <si>
    <r>
      <t xml:space="preserve">Nella vostra azienda i dipendenti sono sottoposti a sollecitazioni di tipo fisico che potrebbero minacciare la loro sicurezza e salute:
</t>
    </r>
    <r>
      <rPr>
        <i/>
        <sz val="11"/>
        <color theme="1"/>
        <rFont val="Arial"/>
        <family val="2"/>
      </rPr>
      <t>Forti sollecitazioni cardio-circolatorie, lavoro fisico gravoso</t>
    </r>
    <r>
      <rPr>
        <sz val="11"/>
        <color theme="1"/>
        <rFont val="Arial"/>
        <family val="2"/>
      </rPr>
      <t>?</t>
    </r>
  </si>
  <si>
    <t>9.3.1.b</t>
  </si>
  <si>
    <t>Forti sollecitazioni all'apparato muscolo-scheletrico?</t>
  </si>
  <si>
    <t>9.3.1.c</t>
  </si>
  <si>
    <t>Carichi unilaterali, sollecitazioni localizzate?</t>
  </si>
  <si>
    <t>9.3.1.d</t>
  </si>
  <si>
    <t>Forti sollecitazioni all'apparato respiratorio?</t>
  </si>
  <si>
    <t>9.3.1.e</t>
  </si>
  <si>
    <t>Elevata percentuale di lavoro statico/lavoro muscolare?</t>
  </si>
  <si>
    <t>9.3.1.f</t>
  </si>
  <si>
    <t>Posture incongrue e forzate?</t>
  </si>
  <si>
    <t>9.3.1.g</t>
  </si>
  <si>
    <t>Sollevare, trasportare e movimentare carichi pesanti?</t>
  </si>
  <si>
    <t>9.3.1.h</t>
  </si>
  <si>
    <t>Rumore?</t>
  </si>
  <si>
    <t>9.3.1.i</t>
  </si>
  <si>
    <t>Virazioni?</t>
  </si>
  <si>
    <t>9.3.1.j</t>
  </si>
  <si>
    <t>Gas si scarico?</t>
  </si>
  <si>
    <t>9.3.1.k</t>
  </si>
  <si>
    <t>Caldo?</t>
  </si>
  <si>
    <t>9.3.1.l</t>
  </si>
  <si>
    <t>Freddo?</t>
  </si>
  <si>
    <t>9.3.1.m</t>
  </si>
  <si>
    <t>Umidità?</t>
  </si>
  <si>
    <t>9.3.1.n</t>
  </si>
  <si>
    <t>Superfici bagnate?</t>
  </si>
  <si>
    <t>9.3.1.o</t>
  </si>
  <si>
    <t>Correnti d'aria?</t>
  </si>
  <si>
    <t>9.3.1.p</t>
  </si>
  <si>
    <t>Vapori?</t>
  </si>
  <si>
    <t>9.3.1.q</t>
  </si>
  <si>
    <t>Polveri?</t>
  </si>
  <si>
    <t>9.3.1.r</t>
  </si>
  <si>
    <t>Nubi?</t>
  </si>
  <si>
    <t>9.3.1.s</t>
  </si>
  <si>
    <t>Fumi?</t>
  </si>
  <si>
    <t>9.3.1.t</t>
  </si>
  <si>
    <t>Gas?</t>
  </si>
  <si>
    <t>9.3.1.u</t>
  </si>
  <si>
    <t>Sostanze?</t>
  </si>
  <si>
    <t>9.3.1.v</t>
  </si>
  <si>
    <t>Radiazioni, campi magnetici?</t>
  </si>
  <si>
    <t>9.3.1.w</t>
  </si>
  <si>
    <t>Odori sgradevoli?</t>
  </si>
  <si>
    <t>9.3.1.x</t>
  </si>
  <si>
    <t>Illuminazione?</t>
  </si>
  <si>
    <t>9.3.1.y</t>
  </si>
  <si>
    <t>Visibilità?</t>
  </si>
  <si>
    <t>9.3.1.z</t>
  </si>
  <si>
    <r>
      <rPr>
        <i/>
        <sz val="11"/>
        <color theme="1"/>
        <rFont val="Arial"/>
        <family val="2"/>
      </rPr>
      <t xml:space="preserve">Altri stress fisici? </t>
    </r>
    <r>
      <rPr>
        <sz val="11"/>
        <color theme="1"/>
        <rFont val="Arial"/>
        <family val="2"/>
      </rPr>
      <t xml:space="preserve">Se sì, quali? </t>
    </r>
  </si>
  <si>
    <t>9.4.</t>
  </si>
  <si>
    <t>Sollecitazioni psichiche</t>
  </si>
  <si>
    <t>9.4.1.a</t>
  </si>
  <si>
    <r>
      <t xml:space="preserve">Nella vostra azienda i dipendenti sono sottoposti a sollecitazioni di tipo psichico che potrebbero minacciare la loro sicurezza e salute:
</t>
    </r>
    <r>
      <rPr>
        <i/>
        <sz val="11"/>
        <color theme="1"/>
        <rFont val="Arial"/>
        <family val="2"/>
      </rPr>
      <t>Competenze non chiare</t>
    </r>
    <r>
      <rPr>
        <sz val="11"/>
        <color theme="1"/>
        <rFont val="Arial"/>
        <family val="2"/>
      </rPr>
      <t>?</t>
    </r>
  </si>
  <si>
    <t>9.4.1.b</t>
  </si>
  <si>
    <t>Inadeguatezza di compiti, competenze e responsabilità ?</t>
  </si>
  <si>
    <t>9.4.1.c</t>
  </si>
  <si>
    <t>Informazioni e istruzioni di lavoro contraddittorie?</t>
  </si>
  <si>
    <t>9.4.1.d</t>
  </si>
  <si>
    <t>Carenze a livello informativo e comunicativo?</t>
  </si>
  <si>
    <t>9.4.1.e</t>
  </si>
  <si>
    <t>Carenze a livello direttivo?</t>
  </si>
  <si>
    <t>9.4.1.f</t>
  </si>
  <si>
    <t>Tensioni sociali all'interno dell'azienda?</t>
  </si>
  <si>
    <t>9.4.1.g</t>
  </si>
  <si>
    <t>Tensioni sociali all'interno dei team?</t>
  </si>
  <si>
    <t>9.4.1.h</t>
  </si>
  <si>
    <t>Scarsa collaborazione tra le singole unità organizzative?</t>
  </si>
  <si>
    <t>9.4.1.i</t>
  </si>
  <si>
    <t>Contenuto insoddisfacente?</t>
  </si>
  <si>
    <t>9.4.1.j</t>
  </si>
  <si>
    <t>Velocità di lavoro elevata determinata dalle installazioni e dagli    apparecchi tecnici?</t>
  </si>
  <si>
    <t>9.4.1.k</t>
  </si>
  <si>
    <t>Picchi di lavoro frequenti?</t>
  </si>
  <si>
    <t>9.4.1.l</t>
  </si>
  <si>
    <t>Frequenti straordinari?</t>
  </si>
  <si>
    <t>9.4.1.m</t>
  </si>
  <si>
    <t>Sovraccarico di lavoro?</t>
  </si>
  <si>
    <t>9.4.1.n</t>
  </si>
  <si>
    <t>Frequenti situazioni di stress?</t>
  </si>
  <si>
    <t>9.4.1.o</t>
  </si>
  <si>
    <t>Forte determinazione esterna?</t>
  </si>
  <si>
    <t>9.5.</t>
  </si>
  <si>
    <t>Regolamentazione dell'orario di lavoro</t>
  </si>
  <si>
    <t>9.5.1.a</t>
  </si>
  <si>
    <r>
      <t xml:space="preserve">Come è regolamentato l'orario di lavoro?
</t>
    </r>
    <r>
      <rPr>
        <i/>
        <sz val="11"/>
        <color theme="1"/>
        <rFont val="Arial"/>
        <family val="2"/>
      </rPr>
      <t xml:space="preserve">Orario giornaliero?
</t>
    </r>
    <r>
      <rPr>
        <sz val="11"/>
        <color theme="1"/>
        <rFont val="Arial"/>
        <family val="2"/>
      </rPr>
      <t>Se sì, quante ore è il lavoro giornaliero?</t>
    </r>
  </si>
  <si>
    <t>9.5.1.b</t>
  </si>
  <si>
    <r>
      <rPr>
        <i/>
        <sz val="11"/>
        <color theme="1"/>
        <rFont val="Arial"/>
        <family val="2"/>
      </rPr>
      <t>Orario settimanale?</t>
    </r>
    <r>
      <rPr>
        <sz val="11"/>
        <color theme="1"/>
        <rFont val="Arial"/>
        <family val="2"/>
      </rPr>
      <t xml:space="preserve">
Se sì, quante ore è la settimana lavorativa?</t>
    </r>
  </si>
  <si>
    <t>9.5.1.c</t>
  </si>
  <si>
    <r>
      <rPr>
        <i/>
        <sz val="11"/>
        <color theme="1"/>
        <rFont val="Arial"/>
        <family val="2"/>
      </rPr>
      <t>Orario annuale (orario di lavoro teorico)?</t>
    </r>
    <r>
      <rPr>
        <sz val="11"/>
        <color theme="1"/>
        <rFont val="Arial"/>
        <family val="2"/>
      </rPr>
      <t xml:space="preserve"> Se sì, quante ore è il tempo di lavoro annuale?</t>
    </r>
  </si>
  <si>
    <t>9.5.2.</t>
  </si>
  <si>
    <t>L'orario di lavoro è flessibile? Se sì, come sono stabilite le ore di picchetto?</t>
  </si>
  <si>
    <t>9.5.3.</t>
  </si>
  <si>
    <t>Ci sono altri orari di lavoro? Se sì, quali?</t>
  </si>
  <si>
    <t>9.5.4.</t>
  </si>
  <si>
    <t>Si lavora il sabato?</t>
  </si>
  <si>
    <t>9.5.5.</t>
  </si>
  <si>
    <t>Si lavora la domenica e nei giorni festivi?</t>
  </si>
  <si>
    <t>9.5.6.</t>
  </si>
  <si>
    <t>Ci sono turni? In caso affermativo, se sì quando iniziano e finiscono i turni presto, tardi e la notte?</t>
  </si>
  <si>
    <t>9.5.7.</t>
  </si>
  <si>
    <t>9.6.</t>
  </si>
  <si>
    <t>Organizzazione delle pause</t>
  </si>
  <si>
    <t>9.6.1.</t>
  </si>
  <si>
    <t>Le pause ufficiali sono regolamentate?</t>
  </si>
  <si>
    <t>9.6.2.a</t>
  </si>
  <si>
    <r>
      <t>C'è un pausa dal lavoro ufficiale:</t>
    </r>
    <r>
      <rPr>
        <sz val="11"/>
        <color theme="1"/>
        <rFont val="Arial"/>
        <family val="2"/>
      </rPr>
      <t xml:space="preserve">
</t>
    </r>
    <r>
      <rPr>
        <i/>
        <sz val="11"/>
        <color theme="1"/>
        <rFont val="Arial"/>
        <family val="2"/>
      </rPr>
      <t xml:space="preserve">Del mattino? </t>
    </r>
    <r>
      <rPr>
        <sz val="11"/>
        <color theme="1"/>
        <rFont val="Arial"/>
        <family val="2"/>
      </rPr>
      <t>Se sì, quanto tempo fa questo?</t>
    </r>
  </si>
  <si>
    <t>9.6.2.b</t>
  </si>
  <si>
    <r>
      <rPr>
        <i/>
        <sz val="11"/>
        <color theme="1"/>
        <rFont val="Arial"/>
        <family val="2"/>
      </rPr>
      <t>A mezzogiorno</t>
    </r>
    <r>
      <rPr>
        <sz val="11"/>
        <color theme="1"/>
        <rFont val="Arial"/>
        <family val="2"/>
      </rPr>
      <t>? Se sì, quanto tempo fa questo?</t>
    </r>
  </si>
  <si>
    <t>9.6.2.c</t>
  </si>
  <si>
    <r>
      <rPr>
        <i/>
        <sz val="11"/>
        <color theme="1"/>
        <rFont val="Arial"/>
        <family val="2"/>
      </rPr>
      <t>Del pomeriggio</t>
    </r>
    <r>
      <rPr>
        <sz val="11"/>
        <color theme="1"/>
        <rFont val="Arial"/>
        <family val="2"/>
      </rPr>
      <t>? Se sì, quanto tempo fa questo?</t>
    </r>
  </si>
  <si>
    <t>9.6.2.d</t>
  </si>
  <si>
    <r>
      <rPr>
        <i/>
        <sz val="11"/>
        <color theme="1"/>
        <rFont val="Arial"/>
        <family val="2"/>
      </rPr>
      <t>Pause di turno?</t>
    </r>
    <r>
      <rPr>
        <sz val="11"/>
        <color theme="1"/>
        <rFont val="Arial"/>
        <family val="2"/>
      </rPr>
      <t xml:space="preserve"> Se sì, quanto tempo fa questo?</t>
    </r>
  </si>
  <si>
    <t>9.6.3.</t>
  </si>
  <si>
    <t>I dipendenti possono fare delle brevi pause in maniera indipendente dentro un contesto ragionevole?</t>
  </si>
  <si>
    <t>9.6.4.</t>
  </si>
  <si>
    <t>C'è un locale adeguato dove fare la pausa?</t>
  </si>
  <si>
    <t>9.6.5.</t>
  </si>
  <si>
    <t>Ci sono spazi distinti per fumatori e non fumatori?</t>
  </si>
  <si>
    <t>9.7.</t>
  </si>
  <si>
    <t>Forme di retribuzione</t>
  </si>
  <si>
    <t>9.7.1.a</t>
  </si>
  <si>
    <r>
      <t xml:space="preserve">Quale forma di retribuzione è in vigore nella vostra azienda:
</t>
    </r>
    <r>
      <rPr>
        <i/>
        <sz val="11"/>
        <color theme="1"/>
        <rFont val="Arial"/>
        <family val="2"/>
      </rPr>
      <t>Salario a tempo: posto fisso, salario mensile/a ore?</t>
    </r>
  </si>
  <si>
    <t>9.7.1.b</t>
  </si>
  <si>
    <t>Salario a premio (salario a tempo + premi)?</t>
  </si>
  <si>
    <t>9.7.1.c</t>
  </si>
  <si>
    <t>Salario a rendimento: a cottimo, a pezzo?</t>
  </si>
  <si>
    <t>9.7.1.e</t>
  </si>
  <si>
    <t>Cottimo in gruppo?</t>
  </si>
  <si>
    <t>9.7.2.</t>
  </si>
  <si>
    <t>Nel caso del salario a cottimo si garantisce un salario di base indipendente dal rendimento?</t>
  </si>
  <si>
    <t>9.8.</t>
  </si>
  <si>
    <t>Sostanze pericolose per la salute</t>
  </si>
  <si>
    <t>9.8.1.</t>
  </si>
  <si>
    <t>Nella vostra azienda si producono o si lavorano sostanze pericolose per la salute?</t>
  </si>
  <si>
    <t>9.8.2.</t>
  </si>
  <si>
    <t>Nella vostra azienda sono stoccate sostanze pericolose per la salute?</t>
  </si>
  <si>
    <t>9.8.3.</t>
  </si>
  <si>
    <t>Nella vostra azienda si rispettano le norme di sicurezza relative alle sostanze pericolose per la salute?</t>
  </si>
  <si>
    <t>9.8.4.</t>
  </si>
  <si>
    <t>Nella vostra azienda sono presenti le schede di sicurezza per ogni sostanza pericolosa?</t>
  </si>
  <si>
    <t>9.A</t>
  </si>
  <si>
    <t>9.8.5.</t>
  </si>
  <si>
    <t>Le schede di sicurezza sono disponibili sul posto di lavoro?</t>
  </si>
  <si>
    <t>9.8.6.</t>
  </si>
  <si>
    <t>I dipendenti sono stati istruiti sul contenuto delle schede di sicurezza?</t>
  </si>
  <si>
    <t>9.8.7.</t>
  </si>
  <si>
    <t>Sono disponibili le necessarie infrastrutture per rispettare le norme indicate nelle schede di sicurezza?</t>
  </si>
  <si>
    <t>9.9.</t>
  </si>
  <si>
    <t>Comportamenti rischiosi, dipendenze, malttie</t>
  </si>
  <si>
    <t>9.9.1.</t>
  </si>
  <si>
    <t>Ci sono fattori che possono favorire un comportamento rischioso? (Richiesto un elevato rendimento, a qualsiasi prezzo; chi fa il rambo è ben visto, chi rispetta le regole viene deriso).</t>
  </si>
  <si>
    <t>9.9.2.</t>
  </si>
  <si>
    <t>In azienda esiste un regolamento sul consumo di sostanze che creano dipendenza (alcol, droga, fumo)?</t>
  </si>
  <si>
    <t>9.9.3.</t>
  </si>
  <si>
    <t>La mensa aziendale vende alcolici?</t>
  </si>
  <si>
    <t>9.9.4.</t>
  </si>
  <si>
    <t>L'azienda ha un programma di prevenzione sulle dipendenze?</t>
  </si>
  <si>
    <t>9.9.5.</t>
  </si>
  <si>
    <t>Ci sono casi concreti di dipendenze riconosciute? Se sì, quanti?</t>
  </si>
  <si>
    <t>9.9.6.</t>
  </si>
  <si>
    <t>Questi casi vengono affrontati concretamente e con sistematicità? Se sì, chi se ne occupa?</t>
  </si>
  <si>
    <t>9.9.7.</t>
  </si>
  <si>
    <t>Tutti i superiori sanno come comportarsi con chi ha un problema di dipendenza (alcol, ecc.)?</t>
  </si>
  <si>
    <t>9.9.8.</t>
  </si>
  <si>
    <t>Vengono adottate misure di protezione contro le malattie trasmissibili (ad es. piano pandemico dell'UFSP «Manuale per la preparazione aziendale», prescrizioni cantonali o specifiche per il settore)?</t>
  </si>
  <si>
    <t>9.9.9.</t>
  </si>
  <si>
    <t>Si adottano misure adeguate a tutela di determinate categorie di persone (ad es. giovani, donne incinte, persone con disabilità)?</t>
  </si>
  <si>
    <t>9.10.</t>
  </si>
  <si>
    <t>Organizzazione del posto di lavoro e delle attrezzature</t>
  </si>
  <si>
    <t>9.10.1.</t>
  </si>
  <si>
    <t>Nel pianificare le nuove attrezzature di lavoro, i nuovi posti di lavoro e le nuove modalità di lavoro si rispettano i principi ergonomici?</t>
  </si>
  <si>
    <t>9.10.2.</t>
  </si>
  <si>
    <t>I posti di lavoro vengono sottoposti a verifica in base ai principi ergonomici?</t>
  </si>
  <si>
    <t>9.10.3.</t>
  </si>
  <si>
    <t>I pianificatori del lavoro e i progettisti delle attrezzature di lavoro hanno conoscenze di ergonomia?</t>
  </si>
  <si>
    <t>9.10.4.</t>
  </si>
  <si>
    <t>In materia di ergonomia ci si rivolge anche a servizi interni o esterni? Se sì, quali?</t>
  </si>
  <si>
    <t>9.10.5.</t>
  </si>
  <si>
    <t>I principi ergonomici e i relativi requisiti sono parte integrante dei contratti di acquisto e degli ordini?</t>
  </si>
  <si>
    <t>10.</t>
  </si>
  <si>
    <t>Controllo</t>
  </si>
  <si>
    <t>Sigla collaboratore capitolo 10:</t>
  </si>
  <si>
    <t>10.1.</t>
  </si>
  <si>
    <t>Audit di sicurezza</t>
  </si>
  <si>
    <t>10.1.1.</t>
  </si>
  <si>
    <t>Nella vostra azienda esiste un piano di controllo e sorveglianza in materia di sicurezza e salute?</t>
  </si>
  <si>
    <t>10.A</t>
  </si>
  <si>
    <t>10.1.2.</t>
  </si>
  <si>
    <t>Nella vostra azienda si svolgono regolarmente degli audit di sicurezza? Se sì, chi se ne occupa?</t>
  </si>
  <si>
    <t>10.1.3.a</t>
  </si>
  <si>
    <r>
      <t xml:space="preserve">Con quale frequenza si svolgono gli audit di sicurezza:
</t>
    </r>
    <r>
      <rPr>
        <i/>
        <sz val="11"/>
        <color theme="1"/>
        <rFont val="Arial"/>
        <family val="2"/>
      </rPr>
      <t>ogni settimana</t>
    </r>
    <r>
      <rPr>
        <sz val="11"/>
        <color theme="1"/>
        <rFont val="Arial"/>
        <family val="2"/>
      </rPr>
      <t>?</t>
    </r>
  </si>
  <si>
    <t>10.1.3.b</t>
  </si>
  <si>
    <t>ogni mese?</t>
  </si>
  <si>
    <t>10.1.3.c</t>
  </si>
  <si>
    <t>ogni sei mesi?</t>
  </si>
  <si>
    <t>10.1.3.d</t>
  </si>
  <si>
    <t>ogni anno?</t>
  </si>
  <si>
    <t>10.1.3.e</t>
  </si>
  <si>
    <r>
      <t xml:space="preserve">In altri intervalli? </t>
    </r>
    <r>
      <rPr>
        <sz val="11"/>
        <color theme="1"/>
        <rFont val="Arial"/>
        <family val="2"/>
      </rPr>
      <t>Se sì, quali intervalli?</t>
    </r>
  </si>
  <si>
    <t>10.1.4.</t>
  </si>
  <si>
    <t>Prima dello svolgimento si preparano i contenuti e la tabella di marcia?</t>
  </si>
  <si>
    <t>10.B</t>
  </si>
  <si>
    <t>10.1.5.</t>
  </si>
  <si>
    <t>I superiori sono stati formati sull'esecuzione e la valutazione degli audit di sicurezza?</t>
  </si>
  <si>
    <t>10.1.6.</t>
  </si>
  <si>
    <t>Applicate delle procedure mirate alla struttura dei rischi e alla realtà della vostra azienda?</t>
  </si>
  <si>
    <t>10.1.7.</t>
  </si>
  <si>
    <t>Per svolgere gli audit vi servite di particolari strumenti, ad es. elenchi di parole chiave, liste di controllo, moduli?</t>
  </si>
  <si>
    <t>10.C</t>
  </si>
  <si>
    <t>10.1.8.</t>
  </si>
  <si>
    <t>Eventuali osservazioni e misure vengono messe per iscritto?</t>
  </si>
  <si>
    <t>10.1.9.</t>
  </si>
  <si>
    <t>Le osservazioni vengono considerate nel sistema di sicurezza aziendale?</t>
  </si>
  <si>
    <t>10.2.</t>
  </si>
  <si>
    <t>Statistica eventi</t>
  </si>
  <si>
    <t>10.2.1.a</t>
  </si>
  <si>
    <r>
      <t xml:space="preserve">La vostra azienda fa statistiche nei seguenti ambiti:
</t>
    </r>
    <r>
      <rPr>
        <i/>
        <sz val="11"/>
        <color theme="1"/>
        <rFont val="Arial"/>
        <family val="2"/>
      </rPr>
      <t>Infortuni e malattie professionali</t>
    </r>
    <r>
      <rPr>
        <sz val="11"/>
        <color theme="1"/>
        <rFont val="Arial"/>
        <family val="2"/>
      </rPr>
      <t>?</t>
    </r>
  </si>
  <si>
    <t>10.2.1.b</t>
  </si>
  <si>
    <t>10.2.1.c</t>
  </si>
  <si>
    <t>10.2.1.d</t>
  </si>
  <si>
    <t>10.2.1.e</t>
  </si>
  <si>
    <t>Disservizi?</t>
  </si>
  <si>
    <t>10.2.1.f</t>
  </si>
  <si>
    <t>Giorni di assenza?</t>
  </si>
  <si>
    <t>10.2.1.g</t>
  </si>
  <si>
    <t>10.2.2.a</t>
  </si>
  <si>
    <r>
      <t xml:space="preserve">Ci sono statistiche eventi per: 
</t>
    </r>
    <r>
      <rPr>
        <i/>
        <sz val="11"/>
        <color theme="1"/>
        <rFont val="Arial"/>
        <family val="2"/>
      </rPr>
      <t>l'intera azienda?</t>
    </r>
    <r>
      <rPr>
        <sz val="11"/>
        <color theme="1"/>
        <rFont val="Arial"/>
        <family val="2"/>
      </rPr>
      <t xml:space="preserve"> Se sì, chi si occupa della statistica eventi centrale (indicare ufficio o persona)?</t>
    </r>
  </si>
  <si>
    <t>10.2.2.b</t>
  </si>
  <si>
    <t>per le unità organizzative (ad es. settori, divisioni?</t>
  </si>
  <si>
    <t>10.2.3.</t>
  </si>
  <si>
    <t>La statistica eventi è utilizzata come strumento di gestione?</t>
  </si>
  <si>
    <t>10.3.</t>
  </si>
  <si>
    <t>Fluttuazione</t>
  </si>
  <si>
    <t>10.3.1.</t>
  </si>
  <si>
    <r>
      <t xml:space="preserve">Nella vostra azienda si registra e si analizza il tasso di fluttuazione annuo*? Se sì, qual è il tasso di fluttuazione in azienda?
</t>
    </r>
    <r>
      <rPr>
        <sz val="9"/>
        <color theme="1"/>
        <rFont val="Arial"/>
        <family val="2"/>
      </rPr>
      <t xml:space="preserve">*Con tasso di fluttuazione si intende il cambio di personale in un'azienda. Il tasso di fluttuazione esprime il rapporto tra le persone che abbandonano l'azienda e il numero degli occupati in un anno. Tasso di fluttuazione = partenze/occupati x 100. </t>
    </r>
  </si>
  <si>
    <t>10.3.2.</t>
  </si>
  <si>
    <t>I motivi per cui i dipendenti abbandonano l'azienda sono noti e presi in esame?</t>
  </si>
  <si>
    <t>10.3.3.</t>
  </si>
  <si>
    <t>Se ci sono determinati motivi alla base di un licenziamento o di una dimissione, si traggono le opportune conseguenze e si adottano eventuali misure?</t>
  </si>
  <si>
    <t>10.3.4.</t>
  </si>
  <si>
    <t>Avete la possibilità di confrontare il tasso di fluttuazione della vostra azienda con quello di aziende simili nella stessa regione?</t>
  </si>
  <si>
    <t>11.</t>
  </si>
  <si>
    <t>Assenze</t>
  </si>
  <si>
    <t>Sigla collaboratore capitolo 11:</t>
  </si>
  <si>
    <r>
      <rPr>
        <sz val="11"/>
        <color theme="1"/>
        <rFont val="Arial"/>
        <family val="2"/>
      </rPr>
      <t>11.1.</t>
    </r>
  </si>
  <si>
    <r>
      <rPr>
        <sz val="11"/>
        <color theme="1"/>
        <rFont val="Arial"/>
        <family val="2"/>
      </rPr>
      <t>La direzione aziendale ha esplicitamente dichiarato di volere un sistema di gestione delle assenze?</t>
    </r>
  </si>
  <si>
    <r>
      <rPr>
        <sz val="11"/>
        <color theme="1"/>
        <rFont val="Arial"/>
        <family val="2"/>
      </rPr>
      <t>11.2.a</t>
    </r>
  </si>
  <si>
    <r>
      <t>I dati riferiti a infortuni e malattie (con rispettivi giorni di assenza) vengono:</t>
    </r>
    <r>
      <rPr>
        <sz val="11"/>
        <color theme="1"/>
        <rFont val="Arial"/>
        <family val="2"/>
      </rPr>
      <t xml:space="preserve">
</t>
    </r>
    <r>
      <rPr>
        <i/>
        <sz val="11"/>
        <color theme="1"/>
        <rFont val="Arial"/>
        <family val="2"/>
      </rPr>
      <t>registrati?</t>
    </r>
  </si>
  <si>
    <r>
      <rPr>
        <sz val="11"/>
        <color theme="1"/>
        <rFont val="Arial"/>
        <family val="2"/>
      </rPr>
      <t>11.2.b</t>
    </r>
  </si>
  <si>
    <r>
      <rPr>
        <i/>
        <sz val="11"/>
        <color theme="1"/>
        <rFont val="Arial"/>
        <family val="2"/>
      </rPr>
      <t>analizzati?</t>
    </r>
  </si>
  <si>
    <r>
      <rPr>
        <sz val="11"/>
        <color theme="1"/>
        <rFont val="Arial"/>
        <family val="2"/>
      </rPr>
      <t>11.2.c</t>
    </r>
  </si>
  <si>
    <r>
      <rPr>
        <i/>
        <sz val="11"/>
        <color theme="1"/>
        <rFont val="Arial"/>
        <family val="2"/>
      </rPr>
      <t>valutati?</t>
    </r>
  </si>
  <si>
    <r>
      <rPr>
        <sz val="11"/>
        <color theme="1"/>
        <rFont val="Arial"/>
        <family val="2"/>
      </rPr>
      <t>11.2.d</t>
    </r>
  </si>
  <si>
    <r>
      <rPr>
        <i/>
        <sz val="11"/>
        <color theme="1"/>
        <rFont val="Arial"/>
        <family val="2"/>
      </rPr>
      <t xml:space="preserve">comunicati? </t>
    </r>
  </si>
  <si>
    <r>
      <rPr>
        <sz val="11"/>
        <color theme="1"/>
        <rFont val="Arial"/>
        <family val="2"/>
      </rPr>
      <t>11.3.</t>
    </r>
  </si>
  <si>
    <r>
      <rPr>
        <sz val="11"/>
        <color theme="1"/>
        <rFont val="Arial"/>
        <family val="2"/>
      </rPr>
      <t>Si analizzano gli indicatori e si definiscono gli obiettivi di prevenzione con cadenza annuale?</t>
    </r>
  </si>
  <si>
    <r>
      <rPr>
        <sz val="11"/>
        <color theme="1"/>
        <rFont val="Arial"/>
        <family val="2"/>
      </rPr>
      <t>11.4.</t>
    </r>
  </si>
  <si>
    <r>
      <rPr>
        <sz val="11"/>
        <color theme="1"/>
        <rFont val="Arial"/>
        <family val="2"/>
      </rPr>
      <t>È stato definito un modello di intervento e sono state attribuite responsabilità (e compiti) per assistere i collaboratori in caso di assenze impreviste - brevi o prolungate - e per reinserirli nel processo lavorativo?</t>
    </r>
  </si>
  <si>
    <t>11.A</t>
  </si>
  <si>
    <r>
      <rPr>
        <sz val="11"/>
        <color theme="1"/>
        <rFont val="Arial"/>
        <family val="2"/>
      </rPr>
      <t>11.5.</t>
    </r>
  </si>
  <si>
    <r>
      <rPr>
        <sz val="11"/>
        <color theme="1"/>
        <rFont val="Arial"/>
        <family val="2"/>
      </rPr>
      <t>I quadri (e le altre istanze coinvolte) ricevono un</t>
    </r>
    <r>
      <rPr>
        <sz val="11"/>
        <color theme="1"/>
        <rFont val="Arial"/>
        <family val="2"/>
      </rPr>
      <t>'introduzione alla gestione delle assenze e una formazione sul loro ruolo di assistenza e sulle pratiche amministrative da assolvere?</t>
    </r>
  </si>
  <si>
    <r>
      <rPr>
        <sz val="11"/>
        <color theme="1"/>
        <rFont val="Arial"/>
        <family val="2"/>
      </rPr>
      <t>11.6.</t>
    </r>
  </si>
  <si>
    <r>
      <rPr>
        <sz val="11"/>
        <color theme="1"/>
        <rFont val="Arial"/>
        <family val="2"/>
      </rPr>
      <t>I collaboratori vengono informati periodicamente sugli obiettivi della gestione delle assenze e sul comportamento corretto da seguire in caso di assenza?</t>
    </r>
  </si>
  <si>
    <t>11.B</t>
  </si>
  <si>
    <r>
      <rPr>
        <sz val="11"/>
        <color theme="1"/>
        <rFont val="Arial"/>
        <family val="2"/>
      </rPr>
      <t>11.7.a</t>
    </r>
  </si>
  <si>
    <r>
      <rPr>
        <sz val="11"/>
        <color theme="1"/>
        <rFont val="Arial"/>
        <family val="2"/>
      </rPr>
      <t>I colloquio di rientro sono tenuti:</t>
    </r>
    <r>
      <rPr>
        <i/>
        <sz val="11"/>
        <color theme="1"/>
        <rFont val="Arial"/>
        <family val="2"/>
      </rPr>
      <t xml:space="preserve">
</t>
    </r>
    <r>
      <rPr>
        <i/>
        <sz val="11"/>
        <color theme="1"/>
        <rFont val="Arial"/>
        <family val="2"/>
      </rPr>
      <t>dai quadri?</t>
    </r>
  </si>
  <si>
    <r>
      <rPr>
        <sz val="11"/>
        <color theme="1"/>
        <rFont val="Arial"/>
        <family val="2"/>
      </rPr>
      <t>11.7.b</t>
    </r>
  </si>
  <si>
    <r>
      <rPr>
        <i/>
        <sz val="11"/>
        <color theme="1"/>
        <rFont val="Arial"/>
        <family val="2"/>
      </rPr>
      <t xml:space="preserve">dopo ogni assenza imprevista di lunga durata? </t>
    </r>
  </si>
  <si>
    <r>
      <rPr>
        <sz val="11"/>
        <color theme="1"/>
        <rFont val="Arial"/>
        <family val="2"/>
      </rPr>
      <t>11.7.c</t>
    </r>
  </si>
  <si>
    <r>
      <rPr>
        <i/>
        <sz val="11"/>
        <color theme="1"/>
        <rFont val="Arial"/>
        <family val="2"/>
      </rPr>
      <t xml:space="preserve">dopo ogni assenza imprevista? </t>
    </r>
  </si>
  <si>
    <r>
      <rPr>
        <sz val="11"/>
        <color theme="1"/>
        <rFont val="Arial"/>
        <family val="2"/>
      </rPr>
      <t>11.8.</t>
    </r>
  </si>
  <si>
    <r>
      <rPr>
        <sz val="11"/>
        <color theme="1"/>
        <rFont val="Arial"/>
        <family val="2"/>
      </rPr>
      <t>Dall</t>
    </r>
    <r>
      <rPr>
        <sz val="11"/>
        <color theme="1"/>
        <rFont val="Arial"/>
        <family val="2"/>
      </rPr>
      <t xml:space="preserve">'esito dei colloqui di rientro si ricavano misure preventive? </t>
    </r>
  </si>
  <si>
    <r>
      <rPr>
        <sz val="11"/>
        <color theme="1"/>
        <rFont val="Arial"/>
        <family val="2"/>
      </rPr>
      <t>11.9.</t>
    </r>
  </si>
  <si>
    <r>
      <rPr>
        <sz val="11"/>
        <color theme="1"/>
        <rFont val="Arial"/>
        <family val="2"/>
      </rPr>
      <t xml:space="preserve">È stata definita una procedura da seguire in caso di assenze frequenti? </t>
    </r>
  </si>
  <si>
    <r>
      <rPr>
        <sz val="11"/>
        <color theme="1"/>
        <rFont val="Arial"/>
        <family val="2"/>
      </rPr>
      <t>11.10.</t>
    </r>
  </si>
  <si>
    <r>
      <rPr>
        <sz val="11"/>
        <color theme="1"/>
        <rFont val="Arial"/>
        <family val="2"/>
      </rPr>
      <t xml:space="preserve">I superiori diretti chiedono ai collaboratori infortunati o malati, durante la loro assenza, qual è il loro stato di salute e offrono loro sostegno? </t>
    </r>
  </si>
  <si>
    <r>
      <rPr>
        <sz val="11"/>
        <color theme="1"/>
        <rFont val="Arial"/>
        <family val="2"/>
      </rPr>
      <t>11.11.</t>
    </r>
  </si>
  <si>
    <r>
      <rPr>
        <sz val="11"/>
        <color theme="1"/>
        <rFont val="Arial"/>
        <family val="2"/>
      </rPr>
      <t xml:space="preserve">I quadri controllano con sistematicità se per i collaboratori infortunati o malati vi è la possibilità di lavorare a tempo parziale o di svolgere momentaneamente attività alternative (non affaticanti)? </t>
    </r>
  </si>
  <si>
    <r>
      <rPr>
        <sz val="11"/>
        <color theme="1"/>
        <rFont val="Arial"/>
        <family val="2"/>
      </rPr>
      <t>11.12.</t>
    </r>
  </si>
  <si>
    <r>
      <rPr>
        <sz val="11"/>
        <color theme="1"/>
        <rFont val="Arial"/>
        <family val="2"/>
      </rPr>
      <t>I medici curanti vengono informati dell</t>
    </r>
    <r>
      <rPr>
        <sz val="11"/>
        <color theme="1"/>
        <rFont val="Arial"/>
        <family val="2"/>
      </rPr>
      <t xml:space="preserve">'eventualità di un lavoro a tempo parziale o di attività alternative? </t>
    </r>
  </si>
  <si>
    <r>
      <rPr>
        <sz val="11"/>
        <color theme="1"/>
        <rFont val="Arial"/>
        <family val="2"/>
      </rPr>
      <t>11.13.a</t>
    </r>
  </si>
  <si>
    <r>
      <rPr>
        <sz val="11"/>
        <color theme="1"/>
        <rFont val="Arial"/>
        <family val="2"/>
      </rPr>
      <t>Nelle loro attività di assistenza e reinserimento, i quadri ricevono sostegno:</t>
    </r>
    <r>
      <rPr>
        <i/>
        <sz val="11"/>
        <color theme="1"/>
        <rFont val="Arial"/>
        <family val="2"/>
      </rPr>
      <t xml:space="preserve">
</t>
    </r>
    <r>
      <rPr>
        <i/>
        <sz val="11"/>
        <color theme="1"/>
        <rFont val="Arial"/>
        <family val="2"/>
      </rPr>
      <t>dalla divisione delle risorse umane?</t>
    </r>
  </si>
  <si>
    <r>
      <rPr>
        <sz val="11"/>
        <color theme="1"/>
        <rFont val="Arial"/>
        <family val="2"/>
      </rPr>
      <t>11.13.b</t>
    </r>
  </si>
  <si>
    <r>
      <rPr>
        <i/>
        <sz val="11"/>
        <color theme="1"/>
        <rFont val="Arial"/>
        <family val="2"/>
      </rPr>
      <t>da altre unità organizzative? Se sì, quale?</t>
    </r>
  </si>
  <si>
    <r>
      <rPr>
        <b/>
        <sz val="14"/>
        <color theme="1"/>
        <rFont val="Arial"/>
        <family val="2"/>
      </rPr>
      <t>12</t>
    </r>
  </si>
  <si>
    <r>
      <rPr>
        <b/>
        <sz val="14"/>
        <color theme="1"/>
        <rFont val="Arial"/>
        <family val="2"/>
      </rPr>
      <t>Sicurezza nel tempo libero (parte facoltativa)</t>
    </r>
  </si>
  <si>
    <r>
      <rPr>
        <b/>
        <sz val="12"/>
        <color theme="1"/>
        <rFont val="Arial"/>
        <family val="2"/>
      </rPr>
      <t>Sigla collaboratore capitolo 12:</t>
    </r>
  </si>
  <si>
    <r>
      <rPr>
        <sz val="11"/>
        <color theme="1"/>
        <rFont val="Arial"/>
        <family val="2"/>
      </rPr>
      <t>12.1.</t>
    </r>
  </si>
  <si>
    <r>
      <rPr>
        <sz val="11"/>
        <color theme="1"/>
        <rFont val="Arial"/>
        <family val="2"/>
      </rPr>
      <t xml:space="preserve">La direzione aziendale ha esplicitamente dichiarato di voler aiutare i collaboratori ad adottare uno stile di vita sano e sicuro nel loro tempo libero? </t>
    </r>
  </si>
  <si>
    <r>
      <rPr>
        <sz val="11"/>
        <color theme="1"/>
        <rFont val="Arial"/>
        <family val="2"/>
      </rPr>
      <t>12.2.</t>
    </r>
  </si>
  <si>
    <r>
      <rPr>
        <sz val="11"/>
        <color theme="1"/>
        <rFont val="Arial"/>
        <family val="2"/>
      </rPr>
      <t xml:space="preserve">È previsto un budget per i progetti di sicurezza nel tempo libero? </t>
    </r>
  </si>
  <si>
    <r>
      <rPr>
        <sz val="11"/>
        <color theme="1"/>
        <rFont val="Arial"/>
        <family val="2"/>
      </rPr>
      <t>12.3.</t>
    </r>
  </si>
  <si>
    <r>
      <rPr>
        <sz val="11"/>
        <color theme="1"/>
        <rFont val="Arial"/>
        <family val="2"/>
      </rPr>
      <t xml:space="preserve">Vi sono responsabili o gruppi di lavoro che pianificano e coordinano le misure di prevenzione degli infortuni nel tempo libero? </t>
    </r>
  </si>
  <si>
    <r>
      <rPr>
        <sz val="11"/>
        <color theme="1"/>
        <rFont val="Arial"/>
        <family val="2"/>
      </rPr>
      <t>12.4.</t>
    </r>
  </si>
  <si>
    <r>
      <rPr>
        <sz val="11"/>
        <color theme="1"/>
        <rFont val="Arial"/>
        <family val="2"/>
      </rPr>
      <t xml:space="preserve">I responsabili o i membri del gruppo di lavoro hanno una formazione in materia di prevenzione degli infortuni nel tempo libero (per es. corsi Suva, upi, ecc.)? </t>
    </r>
  </si>
  <si>
    <r>
      <rPr>
        <sz val="11"/>
        <color theme="1"/>
        <rFont val="Arial"/>
        <family val="2"/>
      </rPr>
      <t>12.5.</t>
    </r>
  </si>
  <si>
    <r>
      <rPr>
        <sz val="11"/>
        <color theme="1"/>
        <rFont val="Arial"/>
        <family val="2"/>
      </rPr>
      <t xml:space="preserve">I collaboratori vengono periodicamente informati in azienda sulle dinamiche degli infortuni nel tempo libero (tramite riunioni, rivista, Intranet, e-mail, albo ecc.)? </t>
    </r>
  </si>
  <si>
    <r>
      <rPr>
        <sz val="11"/>
        <color theme="1"/>
        <rFont val="Arial"/>
        <family val="2"/>
      </rPr>
      <t>12.6.a</t>
    </r>
  </si>
  <si>
    <r>
      <rPr>
        <sz val="11"/>
        <color theme="1"/>
        <rFont val="Arial"/>
        <family val="2"/>
      </rPr>
      <t>Gli infortuni nel tempo libero vengono:</t>
    </r>
    <r>
      <rPr>
        <sz val="11"/>
        <color theme="1"/>
        <rFont val="Arial"/>
        <family val="2"/>
      </rPr>
      <t xml:space="preserve">
</t>
    </r>
    <r>
      <rPr>
        <i/>
        <sz val="11"/>
        <color theme="1"/>
        <rFont val="Arial"/>
        <family val="2"/>
      </rPr>
      <t>registrati?</t>
    </r>
  </si>
  <si>
    <r>
      <rPr>
        <sz val="11"/>
        <color theme="1"/>
        <rFont val="Arial"/>
        <family val="2"/>
      </rPr>
      <t>12.6.b</t>
    </r>
  </si>
  <si>
    <r>
      <rPr>
        <sz val="11"/>
        <color theme="1"/>
        <rFont val="Arial"/>
        <family val="2"/>
      </rPr>
      <t>12.6.c</t>
    </r>
  </si>
  <si>
    <r>
      <rPr>
        <sz val="11"/>
        <color theme="1"/>
        <rFont val="Arial"/>
        <family val="2"/>
      </rPr>
      <t>12.6.d</t>
    </r>
  </si>
  <si>
    <r>
      <rPr>
        <sz val="11"/>
        <color theme="1"/>
        <rFont val="Arial"/>
        <family val="2"/>
      </rPr>
      <t>12.7.</t>
    </r>
  </si>
  <si>
    <r>
      <rPr>
        <sz val="11"/>
        <color theme="1"/>
        <rFont val="Arial"/>
        <family val="2"/>
      </rPr>
      <t>Dagli infortuni nel tempo libero si deducono eventuali ambiti di intervento?</t>
    </r>
  </si>
  <si>
    <r>
      <rPr>
        <sz val="11"/>
        <color theme="1"/>
        <rFont val="Arial"/>
        <family val="2"/>
      </rPr>
      <t>12.8.</t>
    </r>
  </si>
  <si>
    <r>
      <rPr>
        <sz val="11"/>
        <color theme="1"/>
        <rFont val="Arial"/>
        <family val="2"/>
      </rPr>
      <t xml:space="preserve">Vi sono categorie di lavoratori (coll. giovani, anziani, uomini, donne) che causano un numero particolarmente elevato di infortuni? </t>
    </r>
  </si>
  <si>
    <r>
      <rPr>
        <sz val="11"/>
        <color theme="1"/>
        <rFont val="Arial"/>
        <family val="2"/>
      </rPr>
      <t>12.9.</t>
    </r>
  </si>
  <si>
    <r>
      <rPr>
        <sz val="11"/>
        <color theme="1"/>
        <rFont val="Arial"/>
        <family val="2"/>
      </rPr>
      <t>L</t>
    </r>
    <r>
      <rPr>
        <sz val="11"/>
        <color theme="1"/>
        <rFont val="Arial"/>
        <family val="2"/>
      </rPr>
      <t xml:space="preserve">'azienda ha associazioni sportive proprie? </t>
    </r>
  </si>
  <si>
    <r>
      <rPr>
        <sz val="11"/>
        <color theme="1"/>
        <rFont val="Arial"/>
        <family val="2"/>
      </rPr>
      <t>12.10.</t>
    </r>
  </si>
  <si>
    <r>
      <rPr>
        <sz val="11"/>
        <color theme="1"/>
        <rFont val="Arial"/>
        <family val="2"/>
      </rPr>
      <t>Vi sono collaboratori all</t>
    </r>
    <r>
      <rPr>
        <sz val="11"/>
        <color theme="1"/>
        <rFont val="Arial"/>
        <family val="2"/>
      </rPr>
      <t>'interno dell</t>
    </r>
    <r>
      <rPr>
        <sz val="11"/>
        <color theme="1"/>
        <rFont val="Arial"/>
        <family val="2"/>
      </rPr>
      <t>'azienda che possiedono buone conoscenze e abilità sportive (per es. allenatori di calcio, responsabili di gruppi podistici, istruttori di fitness ecc.)?</t>
    </r>
  </si>
  <si>
    <r>
      <rPr>
        <sz val="11"/>
        <color theme="1"/>
        <rFont val="Arial"/>
        <family val="2"/>
      </rPr>
      <t>12.11.a</t>
    </r>
  </si>
  <si>
    <r>
      <rPr>
        <sz val="11"/>
        <color theme="1"/>
        <rFont val="Arial"/>
        <family val="2"/>
      </rPr>
      <t xml:space="preserve">Si sono già svolti progetti o sono state adottate misure in azienda per promuovere la sicurezza nel tempo libero? Se sì, quali tematiche generali sono state affrontate? </t>
    </r>
  </si>
  <si>
    <r>
      <rPr>
        <sz val="11"/>
        <color theme="1"/>
        <rFont val="Arial"/>
        <family val="2"/>
      </rPr>
      <t>12.11.b</t>
    </r>
  </si>
  <si>
    <r>
      <rPr>
        <i/>
        <sz val="11"/>
        <color theme="1"/>
        <rFont val="Arial"/>
        <family val="2"/>
      </rPr>
      <t xml:space="preserve">rischio di inciampare e cadere (cadute in piano)? </t>
    </r>
  </si>
  <si>
    <r>
      <rPr>
        <sz val="11"/>
        <color theme="1"/>
        <rFont val="Arial"/>
        <family val="2"/>
      </rPr>
      <t>12.11.c</t>
    </r>
  </si>
  <si>
    <r>
      <rPr>
        <i/>
        <sz val="11"/>
        <color theme="1"/>
        <rFont val="Arial"/>
        <family val="2"/>
      </rPr>
      <t>sport con la palla?</t>
    </r>
  </si>
  <si>
    <r>
      <rPr>
        <sz val="11"/>
        <color theme="1"/>
        <rFont val="Arial"/>
        <family val="2"/>
      </rPr>
      <t>12.11.d</t>
    </r>
  </si>
  <si>
    <r>
      <rPr>
        <i/>
        <sz val="11"/>
        <color theme="1"/>
        <rFont val="Arial"/>
        <family val="2"/>
      </rPr>
      <t>sport invernali?</t>
    </r>
  </si>
  <si>
    <r>
      <rPr>
        <sz val="11"/>
        <color theme="1"/>
        <rFont val="Arial"/>
        <family val="2"/>
      </rPr>
      <t>12.11.e</t>
    </r>
  </si>
  <si>
    <r>
      <rPr>
        <i/>
        <sz val="11"/>
        <color theme="1"/>
        <rFont val="Arial"/>
        <family val="2"/>
      </rPr>
      <t>casa e giardino?</t>
    </r>
  </si>
  <si>
    <r>
      <rPr>
        <sz val="11"/>
        <color theme="1"/>
        <rFont val="Arial"/>
        <family val="2"/>
      </rPr>
      <t>12.11.f</t>
    </r>
  </si>
  <si>
    <r>
      <rPr>
        <i/>
        <sz val="11"/>
        <color theme="1"/>
        <rFont val="Arial"/>
        <family val="2"/>
      </rPr>
      <t xml:space="preserve">altro? </t>
    </r>
  </si>
  <si>
    <r>
      <rPr>
        <sz val="11"/>
        <color theme="1"/>
        <rFont val="Arial"/>
        <family val="2"/>
      </rPr>
      <t>12.12.</t>
    </r>
  </si>
  <si>
    <r>
      <rPr>
        <sz val="11"/>
        <color theme="1"/>
        <rFont val="Arial"/>
        <family val="2"/>
      </rPr>
      <t xml:space="preserve">Con le misure / i progetti sulla sicurezza nel tempo libero si intende raggiungere obiettivi concreti? Se sì, quali? </t>
    </r>
  </si>
  <si>
    <r>
      <rPr>
        <sz val="11"/>
        <color theme="1"/>
        <rFont val="Arial"/>
        <family val="2"/>
      </rPr>
      <t>12.13.</t>
    </r>
  </si>
  <si>
    <r>
      <rPr>
        <sz val="11"/>
        <color theme="1"/>
        <rFont val="Arial"/>
        <family val="2"/>
      </rPr>
      <t xml:space="preserve">Tali misure / progetti sono sottoposti a valutazione da cui poi si ricavano insegnamenti preziosi per misure / progetti futuri? </t>
    </r>
  </si>
  <si>
    <r>
      <rPr>
        <b/>
        <sz val="14"/>
        <color theme="1"/>
        <rFont val="Arial"/>
        <family val="2"/>
      </rPr>
      <t>13</t>
    </r>
  </si>
  <si>
    <r>
      <rPr>
        <b/>
        <sz val="14"/>
        <color theme="1"/>
        <rFont val="Arial"/>
        <family val="2"/>
      </rPr>
      <t>GSA: gestione della salute in azienda (parte facoltativa)</t>
    </r>
  </si>
  <si>
    <r>
      <rPr>
        <b/>
        <sz val="12"/>
        <color theme="1"/>
        <rFont val="Arial"/>
        <family val="2"/>
      </rPr>
      <t>Sigla collaboratore capitolo 13:</t>
    </r>
  </si>
  <si>
    <r>
      <rPr>
        <sz val="11"/>
        <color theme="1"/>
        <rFont val="Arial"/>
        <family val="2"/>
      </rPr>
      <t>13.1.</t>
    </r>
  </si>
  <si>
    <r>
      <rPr>
        <sz val="11"/>
        <color theme="1"/>
        <rFont val="Arial"/>
        <family val="2"/>
      </rPr>
      <t xml:space="preserve">La direzione aziendale ha esplicitamente dichiarato di voler integrare la gestione della salute in azienda nella politica aziendale e nei suoi principi di conduzione? </t>
    </r>
  </si>
  <si>
    <r>
      <rPr>
        <sz val="11"/>
        <color theme="1"/>
        <rFont val="Arial"/>
        <family val="2"/>
      </rPr>
      <t>13.2.a</t>
    </r>
  </si>
  <si>
    <r>
      <rPr>
        <sz val="11"/>
        <color theme="1"/>
        <rFont val="Arial"/>
        <family val="2"/>
      </rPr>
      <t>Esiste al riguardo un piano con:obiettivi</t>
    </r>
    <r>
      <rPr>
        <i/>
        <sz val="11"/>
        <color theme="1"/>
        <rFont val="Arial"/>
        <family val="2"/>
      </rPr>
      <t>?</t>
    </r>
  </si>
  <si>
    <r>
      <rPr>
        <sz val="11"/>
        <color theme="1"/>
        <rFont val="Arial"/>
        <family val="2"/>
      </rPr>
      <t>13.2.b</t>
    </r>
  </si>
  <si>
    <r>
      <rPr>
        <i/>
        <sz val="11"/>
        <color theme="1"/>
        <rFont val="Arial"/>
        <family val="2"/>
      </rPr>
      <t>svolgimento e tempistiche?</t>
    </r>
  </si>
  <si>
    <r>
      <rPr>
        <sz val="11"/>
        <color theme="1"/>
        <rFont val="Arial"/>
        <family val="2"/>
      </rPr>
      <t>13.2.c</t>
    </r>
  </si>
  <si>
    <r>
      <rPr>
        <i/>
        <sz val="11"/>
        <color theme="1"/>
        <rFont val="Arial"/>
        <family val="2"/>
      </rPr>
      <t>comunicazione ai gruppi target?</t>
    </r>
  </si>
  <si>
    <r>
      <rPr>
        <sz val="11"/>
        <color theme="1"/>
        <rFont val="Arial"/>
        <family val="2"/>
      </rPr>
      <t>13.2.d</t>
    </r>
  </si>
  <si>
    <r>
      <rPr>
        <i/>
        <sz val="11"/>
        <color theme="1"/>
        <rFont val="Arial"/>
        <family val="2"/>
      </rPr>
      <t xml:space="preserve">budget per progetti di GSA? </t>
    </r>
  </si>
  <si>
    <r>
      <rPr>
        <sz val="11"/>
        <color theme="1"/>
        <rFont val="Arial"/>
        <family val="2"/>
      </rPr>
      <t>13.3.</t>
    </r>
  </si>
  <si>
    <r>
      <rPr>
        <sz val="11"/>
        <color theme="1"/>
        <rFont val="Arial"/>
        <family val="2"/>
      </rPr>
      <t xml:space="preserve">Vi sono responsabili o gruppi di lavoro che pianificano e coordinano le misure di prevenzione della GSA? </t>
    </r>
  </si>
  <si>
    <r>
      <rPr>
        <sz val="11"/>
        <color theme="1"/>
        <rFont val="Arial"/>
        <family val="2"/>
      </rPr>
      <t>13.4.</t>
    </r>
  </si>
  <si>
    <r>
      <rPr>
        <sz val="11"/>
        <color theme="1"/>
        <rFont val="Arial"/>
        <family val="2"/>
      </rPr>
      <t xml:space="preserve">Tali responsabili o i membri del gruppo di lavoro hanno una formazione in materia di GSA e prevenzione? </t>
    </r>
  </si>
  <si>
    <r>
      <rPr>
        <sz val="11"/>
        <color theme="1"/>
        <rFont val="Arial"/>
        <family val="2"/>
      </rPr>
      <t>13.5.</t>
    </r>
  </si>
  <si>
    <r>
      <rPr>
        <sz val="11"/>
        <color theme="1"/>
        <rFont val="Arial"/>
        <family val="2"/>
      </rPr>
      <t>Le misure e gli ambiti di attuazione si basano su analisi del fabbisogno aziendale o delle esigenze dei collaboratori (condotte per es. attraverso sondaggi tra il personale o circoli della salute)?</t>
    </r>
  </si>
  <si>
    <r>
      <rPr>
        <sz val="11"/>
        <color theme="1"/>
        <rFont val="Arial"/>
        <family val="2"/>
      </rPr>
      <t>13.6.a</t>
    </r>
  </si>
  <si>
    <r>
      <rPr>
        <sz val="11"/>
        <color theme="1"/>
        <rFont val="Arial"/>
        <family val="2"/>
      </rPr>
      <t>Per mantenersi in salute i collaboratori ricevono sostegno sugli argomenti sottostanti attraverso corsi, workshop o altro da svolgere nel proprio ambito di responsabilità:</t>
    </r>
    <r>
      <rPr>
        <i/>
        <sz val="11"/>
        <color theme="1"/>
        <rFont val="Arial"/>
        <family val="2"/>
      </rPr>
      <t xml:space="preserve">
</t>
    </r>
    <r>
      <rPr>
        <i/>
        <sz val="11"/>
        <color theme="1"/>
        <rFont val="Arial"/>
        <family val="2"/>
      </rPr>
      <t>sufficiente movimento / sport?</t>
    </r>
  </si>
  <si>
    <r>
      <rPr>
        <sz val="11"/>
        <color theme="1"/>
        <rFont val="Arial"/>
        <family val="2"/>
      </rPr>
      <t>13.6.b</t>
    </r>
  </si>
  <si>
    <r>
      <rPr>
        <i/>
        <sz val="11"/>
        <color theme="1"/>
        <rFont val="Arial"/>
        <family val="2"/>
      </rPr>
      <t>alimentazione / peso corporeo sano?</t>
    </r>
  </si>
  <si>
    <r>
      <rPr>
        <sz val="11"/>
        <color theme="1"/>
        <rFont val="Arial"/>
        <family val="2"/>
      </rPr>
      <t>13.6.c</t>
    </r>
  </si>
  <si>
    <r>
      <rPr>
        <i/>
        <sz val="11"/>
        <color theme="1"/>
        <rFont val="Arial"/>
        <family val="2"/>
      </rPr>
      <t>strategie antistress e prevenzione del burnout (gestione dello stress / tecniche e possibilità di rilassamento, gestione del tempo, affrontare i cambiamenti)?</t>
    </r>
  </si>
  <si>
    <r>
      <rPr>
        <sz val="11"/>
        <color theme="1"/>
        <rFont val="Arial"/>
        <family val="2"/>
      </rPr>
      <t>13.6.d</t>
    </r>
  </si>
  <si>
    <r>
      <rPr>
        <i/>
        <sz val="11"/>
        <color theme="1"/>
        <rFont val="Arial"/>
        <family val="2"/>
      </rPr>
      <t xml:space="preserve">gestione di condizioni organizzative particolari come il lavoro a turni / lavoro notturno? </t>
    </r>
  </si>
  <si>
    <r>
      <rPr>
        <sz val="11"/>
        <color theme="1"/>
        <rFont val="Arial"/>
        <family val="2"/>
      </rPr>
      <t>13.6.e</t>
    </r>
  </si>
  <si>
    <r>
      <rPr>
        <i/>
        <sz val="11"/>
        <color theme="1"/>
        <rFont val="Arial"/>
        <family val="2"/>
      </rPr>
      <t>equilibrio tra lavoro e vita privata (work-life balance)?</t>
    </r>
  </si>
  <si>
    <r>
      <rPr>
        <sz val="11"/>
        <color theme="1"/>
        <rFont val="Arial"/>
        <family val="2"/>
      </rPr>
      <t>13.6.f</t>
    </r>
  </si>
  <si>
    <r>
      <rPr>
        <i/>
        <sz val="11"/>
        <color theme="1"/>
        <rFont val="Arial"/>
        <family val="2"/>
      </rPr>
      <t xml:space="preserve">sonno e riposo? </t>
    </r>
  </si>
  <si>
    <r>
      <rPr>
        <sz val="11"/>
        <color theme="1"/>
        <rFont val="Arial"/>
        <family val="2"/>
      </rPr>
      <t>13.6.g</t>
    </r>
  </si>
  <si>
    <r>
      <rPr>
        <i/>
        <sz val="11"/>
        <color theme="1"/>
        <rFont val="Arial"/>
        <family val="2"/>
      </rPr>
      <t>prevenzione delle dipendenze?</t>
    </r>
  </si>
  <si>
    <r>
      <rPr>
        <sz val="11"/>
        <color theme="1"/>
        <rFont val="Arial"/>
        <family val="2"/>
      </rPr>
      <t>13.7.a</t>
    </r>
  </si>
  <si>
    <r>
      <rPr>
        <sz val="11"/>
        <color theme="1"/>
        <rFont val="Arial"/>
        <family val="2"/>
      </rPr>
      <t>Si incentivano le seguenti risorse in ambito lavorativo:</t>
    </r>
    <r>
      <rPr>
        <i/>
        <sz val="11"/>
        <color theme="1"/>
        <rFont val="Arial"/>
        <family val="2"/>
      </rPr>
      <t xml:space="preserve">
</t>
    </r>
    <r>
      <rPr>
        <i/>
        <sz val="11"/>
        <color theme="1"/>
        <rFont val="Arial"/>
        <family val="2"/>
      </rPr>
      <t>corsi formativi per quadri (importanza / ruolo dei quadri nella GSA, sviluppo di una cultura di stima e considerazione, incentivo al lavoro di squadra, gestione dei conflitti o delle dipendenze ecc.)?</t>
    </r>
  </si>
  <si>
    <r>
      <rPr>
        <sz val="11"/>
        <color theme="1"/>
        <rFont val="Arial"/>
        <family val="2"/>
      </rPr>
      <t>13.7.b</t>
    </r>
  </si>
  <si>
    <r>
      <rPr>
        <i/>
        <sz val="11"/>
        <color theme="1"/>
        <rFont val="Arial"/>
        <family val="2"/>
      </rPr>
      <t xml:space="preserve">infrastruttura inerente alla salute come ambienti di ritrovo, sale ricreazione, aree ristoro, spazi adibiti al riposo, docce? </t>
    </r>
  </si>
  <si>
    <r>
      <rPr>
        <sz val="11"/>
        <color theme="1"/>
        <rFont val="Arial"/>
        <family val="2"/>
      </rPr>
      <t>13.7.c</t>
    </r>
  </si>
  <si>
    <r>
      <rPr>
        <i/>
        <sz val="11"/>
        <color theme="1"/>
        <rFont val="Arial"/>
        <family val="2"/>
      </rPr>
      <t>organizzazione degli ambienti e dei posti di lavoro secondo principi ergonomici e che favoriscono la salute, per es. con controlli periodici e analisi sistematiche in caso di cambiamenti e acquisti di nuove attrezzature e simili?</t>
    </r>
  </si>
  <si>
    <r>
      <rPr>
        <sz val="11"/>
        <color theme="1"/>
        <rFont val="Arial"/>
        <family val="2"/>
      </rPr>
      <t>13.7.d</t>
    </r>
  </si>
  <si>
    <r>
      <rPr>
        <i/>
        <sz val="11"/>
        <color theme="1"/>
        <rFont val="Arial"/>
        <family val="2"/>
      </rPr>
      <t xml:space="preserve">corsi su come mantenere sul lavoro una postura e un atteggiamento che salvaguardino il benessere del corpo, per es. come sollevare e trasportare correttamente i carichi, ergonomia al videoterminale? </t>
    </r>
  </si>
  <si>
    <r>
      <rPr>
        <sz val="11"/>
        <color theme="1"/>
        <rFont val="Arial"/>
        <family val="2"/>
      </rPr>
      <t>13.7.e</t>
    </r>
  </si>
  <si>
    <r>
      <rPr>
        <i/>
        <sz val="11"/>
        <color theme="1"/>
        <rFont val="Arial"/>
        <family val="2"/>
      </rPr>
      <t xml:space="preserve">inserimento di nuovi collaboratori (adottando per es. un programma sistematico di introduzione al lavoro, tutor personali ecc.)? </t>
    </r>
  </si>
  <si>
    <r>
      <rPr>
        <sz val="11"/>
        <color theme="1"/>
        <rFont val="Arial"/>
        <family val="2"/>
      </rPr>
      <t>13.7.f</t>
    </r>
  </si>
  <si>
    <r>
      <rPr>
        <i/>
        <sz val="11"/>
        <color theme="1"/>
        <rFont val="Arial"/>
        <family val="2"/>
      </rPr>
      <t xml:space="preserve">formazione continua anche in materia di competenze sociali e umane? </t>
    </r>
  </si>
  <si>
    <r>
      <rPr>
        <sz val="11"/>
        <color theme="1"/>
        <rFont val="Arial"/>
        <family val="2"/>
      </rPr>
      <t>13.7.g</t>
    </r>
  </si>
  <si>
    <r>
      <rPr>
        <i/>
        <sz val="11"/>
        <color theme="1"/>
        <rFont val="Arial"/>
        <family val="2"/>
      </rPr>
      <t>incentivazione di una buona cooperazione all</t>
    </r>
    <r>
      <rPr>
        <i/>
        <sz val="11"/>
        <color theme="1"/>
        <rFont val="Arial"/>
        <family val="2"/>
      </rPr>
      <t>'interno del team (progetti in comune, riunioni di team, eventi informali)?</t>
    </r>
  </si>
  <si>
    <r>
      <rPr>
        <sz val="11"/>
        <color theme="1"/>
        <rFont val="Arial"/>
        <family val="2"/>
      </rPr>
      <t>13.7.h</t>
    </r>
  </si>
  <si>
    <r>
      <rPr>
        <i/>
        <sz val="11"/>
        <color theme="1"/>
        <rFont val="Arial"/>
        <family val="2"/>
      </rPr>
      <t xml:space="preserve">incentivazione della collaborazione e comunicazione tra divisioni e livelli gerarchici diversi? </t>
    </r>
  </si>
  <si>
    <r>
      <rPr>
        <sz val="11"/>
        <color theme="1"/>
        <rFont val="Arial"/>
        <family val="2"/>
      </rPr>
      <t>13.7.i</t>
    </r>
  </si>
  <si>
    <r>
      <rPr>
        <i/>
        <sz val="11"/>
        <color theme="1"/>
        <rFont val="Arial"/>
        <family val="2"/>
      </rPr>
      <t xml:space="preserve">proposte e misure per conciliare lavoro, famiglia / tempo libero? </t>
    </r>
  </si>
  <si>
    <r>
      <rPr>
        <sz val="11"/>
        <color theme="1"/>
        <rFont val="Arial"/>
        <family val="2"/>
      </rPr>
      <t>13.7.j</t>
    </r>
  </si>
  <si>
    <r>
      <rPr>
        <i/>
        <sz val="11"/>
        <color theme="1"/>
        <rFont val="Arial"/>
        <family val="2"/>
      </rPr>
      <t>disponibilità di un</t>
    </r>
    <r>
      <rPr>
        <i/>
        <sz val="11"/>
        <color theme="1"/>
        <rFont val="Arial"/>
        <family val="2"/>
      </rPr>
      <t xml:space="preserve">'istanza neutrale a cui rivolgersi in caso di situazioni conflittuali o problemi personali? </t>
    </r>
  </si>
  <si>
    <r>
      <rPr>
        <sz val="11"/>
        <color theme="1"/>
        <rFont val="Arial"/>
        <family val="2"/>
      </rPr>
      <t>13.8.</t>
    </r>
  </si>
  <si>
    <r>
      <rPr>
        <sz val="11"/>
        <color theme="1"/>
        <rFont val="Arial"/>
        <family val="2"/>
      </rPr>
      <t xml:space="preserve">Vi sono in azienda progetti di GSA in corso? </t>
    </r>
    <r>
      <rPr>
        <sz val="11"/>
        <color theme="1"/>
        <rFont val="Arial"/>
        <family val="2"/>
      </rPr>
      <t xml:space="preserve">
</t>
    </r>
    <r>
      <rPr>
        <sz val="11"/>
        <color theme="1"/>
        <rFont val="Arial"/>
        <family val="2"/>
      </rPr>
      <t xml:space="preserve">Se sì, da quanto tempo e su quali argomenti? </t>
    </r>
  </si>
  <si>
    <r>
      <rPr>
        <sz val="11"/>
        <color theme="1"/>
        <rFont val="Arial"/>
        <family val="2"/>
      </rPr>
      <t>13.9.</t>
    </r>
  </si>
  <si>
    <r>
      <rPr>
        <sz val="11"/>
        <color theme="1"/>
        <rFont val="Arial"/>
        <family val="2"/>
      </rPr>
      <t>Vengono valutate la qualità e l</t>
    </r>
    <r>
      <rPr>
        <sz val="11"/>
        <color theme="1"/>
        <rFont val="Arial"/>
        <family val="2"/>
      </rPr>
      <t xml:space="preserve">'efficacia delle misure e dei progetti di GSA e se ne ricavano poi insegnamenti per misure / progetti futuri? </t>
    </r>
  </si>
  <si>
    <r>
      <rPr>
        <b/>
        <sz val="14"/>
        <color theme="1"/>
        <rFont val="Arial"/>
        <family val="2"/>
      </rPr>
      <t>14</t>
    </r>
  </si>
  <si>
    <t>Ampliamento per l'ISO 45001 (parte facoltativa)</t>
  </si>
  <si>
    <r>
      <rPr>
        <b/>
        <sz val="12"/>
        <color theme="1"/>
        <rFont val="Arial"/>
        <family val="2"/>
      </rPr>
      <t>Sigla collaboratore capitolo 14:</t>
    </r>
  </si>
  <si>
    <t>14.0.</t>
  </si>
  <si>
    <t>Abbreviazioni</t>
  </si>
  <si>
    <t>SG-SSL: 
sistema di gestione della salute e sicurezza sul lavoro (secondo ISO 45001)</t>
  </si>
  <si>
    <t>14.1.</t>
  </si>
  <si>
    <t>Comprendere le esigenze e le aspettative dei lavoratori e di altre parti interessate (4.2)</t>
  </si>
  <si>
    <t>14.1.1.</t>
  </si>
  <si>
    <t>Sono state determinate le parti interessate che sono rilevanti per il vostro SG-SSL oltre ai propri dipendenti?  (per es. ente publico, fornitori, organizzazione dei lavoratori, visitatori, pubblico e vicinato in genere, clienti, media, NGO)</t>
  </si>
  <si>
    <t>14.1.2.</t>
  </si>
  <si>
    <t>Sono stati determinati i requisiti e le aspettative rilevanti (esigenze) dei dipendenti e delle altre parti interessate? (per es. tabella con collaboatori e altre parti interessate rilevanti in riferimento al SG-SSL con esigenze e aspettative, opportunità e rischi, obiettivi/misure determinati)</t>
  </si>
  <si>
    <t>14.1.3.</t>
  </si>
  <si>
    <t xml:space="preserve">I requisiti e le aspettative rilevanti sono valutati e sorvegliati? </t>
  </si>
  <si>
    <r>
      <rPr>
        <b/>
        <sz val="11"/>
        <color theme="1"/>
        <rFont val="Arial"/>
        <family val="2"/>
      </rPr>
      <t>14.2.</t>
    </r>
  </si>
  <si>
    <t>Sistema di gestione per la SSL (4.4.)</t>
  </si>
  <si>
    <r>
      <rPr>
        <sz val="11"/>
        <color theme="1"/>
        <rFont val="Arial"/>
        <family val="2"/>
      </rPr>
      <t>14.2.1</t>
    </r>
  </si>
  <si>
    <t>Le informazioni documentate sono conservate nella misura richiesta, affinché si possa confidare che i processi siano eseguiti come sono stati pianificati inizialmente? (per es. registrazioni derivanti dai processi, notifiche di mutamento, rapporti, verbali ecc.)</t>
  </si>
  <si>
    <t>14.3.</t>
  </si>
  <si>
    <t>Azioni per affrontare rischi ed opportunità (6.1.)</t>
  </si>
  <si>
    <t>14.3.1.</t>
  </si>
  <si>
    <t>Esiste una procedura per la determinazione dei rischi e delle opportunità per l'organizzazione? (per es. attraverso analisi dei pericoli, realizzazione di una matrice dei rischi, analisi SWOT con annessa necessità d'intervento)</t>
  </si>
  <si>
    <t>14.3.2.</t>
  </si>
  <si>
    <t xml:space="preserve">I rischi e le opportunità SSL da considerare sono custoditi e adeguatamente curati come informazioni documentate? </t>
  </si>
  <si>
    <t>14.4.</t>
  </si>
  <si>
    <t>Determinazione dei requisiti legali e altri requisiti (6.1.3.)</t>
  </si>
  <si>
    <t>14.4.1.</t>
  </si>
  <si>
    <t>Le informazioni a riguardo alle mutazioni di obblighi legali e alle altre esigenze sono gestite in modo che la loro diffusione sia documentata adeguatamente e altresì inequivocabilmente accertata?</t>
  </si>
  <si>
    <t>14.5.</t>
  </si>
  <si>
    <t>Informazioni documentate (7.5.)</t>
  </si>
  <si>
    <t>14.5.1.</t>
  </si>
  <si>
    <t>Esistono le informazioni documentate richieste per il SG-SSL? (tra l'altro informazioni documentate a riguardo di:
• campo d'impiego
• politica e obiettivi SSL
• obblighi legali e altre esigenze 
• competenze
• rischi e opportunità SSL
• informazioni che sono prodotte per il funzionamento dell'organizzazione
• attestazioni di risultati raggiunti ecc.)</t>
  </si>
  <si>
    <t>14.5.2.</t>
  </si>
  <si>
    <t>Ci si accerta di eseguire una adeguata marcatura e descrizione durante la produzione e l'attualizzazione delle informazioni documentate? (per es. titolo, data, autore, numero di riferimento, stato di revisione attuale)</t>
  </si>
  <si>
    <t>14.5.3.</t>
  </si>
  <si>
    <t>È stata definita una procedura per la direzione delle informazioni documentate? (elaborazione, associazione, classificazione, autorizzazione, distribuzione, applicazionie, revisione, ritiro, archiviazione, cancellazione)</t>
  </si>
  <si>
    <t>14.6.</t>
  </si>
  <si>
    <t>Approvvigionamento (8.1.4.)</t>
  </si>
  <si>
    <t>14.6.1.</t>
  </si>
  <si>
    <t>È stato assicurato siano gestiti e verificati le funzioni e i processi che sono stati scorporati? (non più eseguiti da propri dipendenti)</t>
  </si>
  <si>
    <t>14.7.</t>
  </si>
  <si>
    <t>Valutazione delle prestazioni (9.)</t>
  </si>
  <si>
    <t>14.7.1.</t>
  </si>
  <si>
    <t>Sono stati definiti, applicati e mantenuti i processi per il controllo, la misurazione, l'analisi e la valutazione del rendimento SSL?</t>
  </si>
  <si>
    <t>14.7.2.</t>
  </si>
  <si>
    <t>Sono stati defniti, applicati e mantenuti i processi per la valutazione della compliance con gli obblighi legali e le altre esigenze?</t>
  </si>
  <si>
    <t>14.7.3.</t>
  </si>
  <si>
    <t>Sono stati formati gli auditor affinché siano in grado di eseguire i controlli del sistema SSL?</t>
  </si>
  <si>
    <t>14.7.4.</t>
  </si>
  <si>
    <t>È possibile accertare attraverso gli audits interni che i requisiti alla ISO 45001 siano adempiuti?</t>
  </si>
  <si>
    <r>
      <t xml:space="preserve">Allegati richiesti (se presenti)
</t>
    </r>
    <r>
      <rPr>
        <sz val="14"/>
        <color theme="1"/>
        <rFont val="Arial"/>
        <family val="2"/>
      </rPr>
      <t>Vi preghiamo di inviarci gli allegati, se possibile, in formato PDF.</t>
    </r>
  </si>
  <si>
    <t>N° Allegato</t>
  </si>
  <si>
    <t>Descrizione</t>
  </si>
  <si>
    <t>Carta di valori dell'azienda</t>
  </si>
  <si>
    <t>Principi direttivi dell'azienda</t>
  </si>
  <si>
    <t>Definizione scritta degli obiettivi di sicurezza dell'azienda</t>
  </si>
  <si>
    <t>Organigrammi dell'azienda</t>
  </si>
  <si>
    <t>2.B</t>
  </si>
  <si>
    <t>Descrizione del lavoro per i superiori</t>
  </si>
  <si>
    <t>2.C</t>
  </si>
  <si>
    <t>Descrizione del lavoro per posizione senza compiti dirigenziali</t>
  </si>
  <si>
    <t>2.D</t>
  </si>
  <si>
    <t>Descrizione del lavoro per l'addetto alla sicurezza</t>
  </si>
  <si>
    <t>Regolamento del collaboratore aziendale</t>
  </si>
  <si>
    <t>Altri documenti riguardo compiti, doveri e responsabilità in materia di sicurezza e tutela della salute</t>
  </si>
  <si>
    <t>esempio di una istruzione di lavoro scritta</t>
  </si>
  <si>
    <t>Organigrammi dell'organizzazione della sicurezza</t>
  </si>
  <si>
    <t>Piano di sicurezza aziendale</t>
  </si>
  <si>
    <t>Attestazioni di formazione sulla sicurezza dei dipendenti</t>
  </si>
  <si>
    <t>Manuale di sicurezza / documenti di sicurezza per i dipendenti</t>
  </si>
  <si>
    <t>Programma di introduzione per i dipendenti neo-assunti</t>
  </si>
  <si>
    <t>Formulario periodo di prova</t>
  </si>
  <si>
    <t>Piano per la promozione del personale, se considera aspetti della sicurezza e della salute</t>
  </si>
  <si>
    <t>Documentazione / Formulario per valutazioni del personale</t>
  </si>
  <si>
    <t>Rivista interna / rivista del personale</t>
  </si>
  <si>
    <t>Documentazione / Formulario valutazione del fornitore</t>
  </si>
  <si>
    <t>direttive interne in materia di sicurezza sul lavoro e tutela della salute a completamento degli opuscoli  ufficiali</t>
  </si>
  <si>
    <t>Direttive interne sul'esercizio normale e particolare di impianti, macchinari e apparecchi</t>
  </si>
  <si>
    <t>Direttive interne sulla manutenzione delle attrezzature di lavoro</t>
  </si>
  <si>
    <t>Norme di sicurezza o regolamenti riguardanti la manutenzione di edifici e impianti</t>
  </si>
  <si>
    <t>Liste di controllo, elenchi di parole chiave o direttive interne per valutare la sicurezza del prodotto da acquistare</t>
  </si>
  <si>
    <t>Procedura di individuazione dei pericoli</t>
  </si>
  <si>
    <t>Procedura valutazione die rischi</t>
  </si>
  <si>
    <t>Esempio di un risultati della valutazione dei rischi</t>
  </si>
  <si>
    <t>Procedura per l'esame degli eventi inattesi</t>
  </si>
  <si>
    <t>Strategia di applicazione del misure di sicurezza</t>
  </si>
  <si>
    <t>Piano per far fronte alle emergenze aziendali</t>
  </si>
  <si>
    <t>Tessera di emergenza per i collaboratori</t>
  </si>
  <si>
    <t>Organizzazione lotta antincendio</t>
  </si>
  <si>
    <t>Documentazione del sistema di proposte aziendale</t>
  </si>
  <si>
    <t>Documentazione per trattare con schede di sicurezza</t>
  </si>
  <si>
    <t>Piano di controllo e sorveglianza in materia di sicurezza e salute</t>
  </si>
  <si>
    <t>Procedura Audits di sicurezza</t>
  </si>
  <si>
    <t>Esempio di un protocollo di audit di sicurezza</t>
  </si>
  <si>
    <t>Direttive gestione delle assenze</t>
  </si>
  <si>
    <t>Obiettivi, indicatori di performance della gestione delle assenze</t>
  </si>
  <si>
    <t>Firma</t>
  </si>
  <si>
    <t>Datum</t>
  </si>
  <si>
    <t>Nr.</t>
  </si>
  <si>
    <t>Analyse und Bewertung für Selbstbeuteilung und Ist-Aufnahme</t>
  </si>
  <si>
    <t>Antwort Kunde</t>
  </si>
  <si>
    <t>Interviewpartner</t>
  </si>
  <si>
    <t>Bewertung Suva</t>
  </si>
  <si>
    <t>Berechnung 
für Diagramm</t>
  </si>
  <si>
    <t>ja/nein
(* keine Antwort)</t>
  </si>
  <si>
    <t>*</t>
  </si>
  <si>
    <t>Bemerkungen des Kunden</t>
  </si>
  <si>
    <t>GL</t>
  </si>
  <si>
    <t>Führung</t>
  </si>
  <si>
    <t>HR</t>
  </si>
  <si>
    <t>Si Org</t>
  </si>
  <si>
    <t>VG</t>
  </si>
  <si>
    <t>MA</t>
  </si>
  <si>
    <t>Erfüllungsgrad in Prozent</t>
  </si>
  <si>
    <t>Gewicht</t>
  </si>
  <si>
    <t>max Punktzahl</t>
  </si>
  <si>
    <t>Punkte Selbst</t>
  </si>
  <si>
    <t>Punkte Suva</t>
  </si>
  <si>
    <t>Level 1 Selbst</t>
  </si>
  <si>
    <t>Level 1 Suva</t>
  </si>
  <si>
    <t>4.8.</t>
  </si>
  <si>
    <t>Stichproben</t>
  </si>
  <si>
    <t>4.8.1</t>
  </si>
  <si>
    <t>Genereller Eindruck anhand der verschiedenen Stichproben</t>
  </si>
  <si>
    <t>Legende im Spinnendiagramm:</t>
  </si>
  <si>
    <t>Erfüllungsgrad</t>
  </si>
  <si>
    <t>Valutazione Suva</t>
  </si>
  <si>
    <t>Delta Suva - Kunde</t>
  </si>
  <si>
    <t>Berechnung automatisch</t>
  </si>
  <si>
    <t>Spinnendiagramm überschreibbar</t>
  </si>
  <si>
    <t>Zur Information</t>
  </si>
  <si>
    <t>Versionenprotokoll</t>
  </si>
  <si>
    <t>Version</t>
  </si>
  <si>
    <t>Sheet</t>
  </si>
  <si>
    <t>Änderungen</t>
  </si>
  <si>
    <t>Version 14</t>
  </si>
  <si>
    <t>Selbstbeurteilung Kunde</t>
  </si>
  <si>
    <t>Französische Übersetzung der Frage 2.3.2.3. korrigiert</t>
  </si>
  <si>
    <t>Freigabe</t>
  </si>
  <si>
    <t>Anleitung</t>
  </si>
  <si>
    <t>Versionnummer aktualisiert</t>
  </si>
  <si>
    <t>Version 13</t>
  </si>
  <si>
    <t>verschiedene</t>
  </si>
  <si>
    <t>Formulierungen in der französischen Version kontrolliert und korrigiert durch Sandrine Casanova.</t>
  </si>
  <si>
    <t>Version 12</t>
  </si>
  <si>
    <t>In Fusszeile des Ausdrucks Versionnummer aktualisiert</t>
  </si>
  <si>
    <t>Analyse</t>
  </si>
  <si>
    <t>Spalte D "*" eingefügt zur Visualisierung nicht beantwortet.</t>
  </si>
  <si>
    <t>Spalte C formatiert für Visualisierung Ja / Nein</t>
  </si>
  <si>
    <t>In 9.9.8 und 9.9.9 Fragen 9.9 und 9.3 aus dem ASA-Systemkontrolle Kategorie 3.1 (EKAS 6074/3.1.d 02.2021) eingefügt.</t>
  </si>
  <si>
    <t>Version 11</t>
  </si>
  <si>
    <t>Anpassung von OHSAS 18001 auf ISO 45001</t>
  </si>
  <si>
    <t>Generell</t>
  </si>
  <si>
    <t>Suva Logo aktualisiert</t>
  </si>
  <si>
    <t>Anpassungen von OHSAS 18001 auf ISO 45001</t>
  </si>
  <si>
    <t>Version 10</t>
  </si>
  <si>
    <t>2.1.3. Gewicht von 1 auf 2 erhöht</t>
  </si>
  <si>
    <t>1.1.7. Gewicht von 5 auf 2 reduziert</t>
  </si>
  <si>
    <t>4.1.3. Gewicht von 3 auf 1 reduziert</t>
  </si>
  <si>
    <t>3.1. falscher Titel korrigiert (Zellenbezug 149 anstatt 148)</t>
  </si>
  <si>
    <t>4.2. Gewicht von 1 auf 0 reduziert</t>
  </si>
  <si>
    <t>4.3. Gewicht von 1 auf 2 erhöht</t>
  </si>
  <si>
    <t>Spinnendiagramme</t>
  </si>
  <si>
    <t>Legende "Beurteilung Suva" von D3 in Sheet Auswertungen</t>
  </si>
  <si>
    <t>Version 09</t>
  </si>
  <si>
    <t>Gewicht von Kapitel 9.3. physische Belastungen von 3 auf 0 geändert</t>
  </si>
  <si>
    <t>9.10. Summierung der eigenen Punkte: Formel auf richtige Spalte korrigiert</t>
  </si>
  <si>
    <t>4.8. Bewertung für Stichproben eingeführt</t>
  </si>
  <si>
    <t>4.1.3 Gewicht für Booklet von 5 auf 3 reduziert</t>
  </si>
  <si>
    <t>Diagramme</t>
  </si>
  <si>
    <t>Rahmenlinie entfernt</t>
  </si>
  <si>
    <t>Version 08</t>
  </si>
  <si>
    <t>Berechnung der PunkteN und O in Zeile 144 für Kapitel 3 bis Zelle 239 korrigiert</t>
  </si>
  <si>
    <t>Version 07</t>
  </si>
  <si>
    <t>Alle Aenderungen gemäss der deutschen Version bis und mit Version 07 vorgenommen.</t>
  </si>
  <si>
    <t>Betriebsspiegel</t>
  </si>
  <si>
    <t>Fehler in der Nummerierung korrigiert</t>
  </si>
  <si>
    <t>Verdeckte Spalten gelöscht</t>
  </si>
  <si>
    <t>Druckbereich festgelegt</t>
  </si>
  <si>
    <t>Berechnungen der Unterkapitelbewertungen für die verschiedenen Stufen in den Kapiteln 1 und 2 korrigiert</t>
  </si>
  <si>
    <t>Berechnung der Unterkapitelbewertungen an verschiedenen Orten in den Kapitel 3-11 korrigiert</t>
  </si>
  <si>
    <t>Bezug im Kapitel 10.3.2. korrigiert</t>
  </si>
  <si>
    <t>Feldfarbe für ja bei 10.3.1. auch auf grau gesetzt</t>
  </si>
  <si>
    <t>Spinne ohne FZ, BGM, OHSAS</t>
  </si>
  <si>
    <t>Kundenname in Legende integriert. Quelle für Legendentitel ist aus Auswertungen C3</t>
  </si>
  <si>
    <t>Spinne mit FZ, BGM, OHSAS</t>
  </si>
  <si>
    <t>Auswertungen</t>
  </si>
  <si>
    <t xml:space="preserve">Quelle des Kundenamen für Titel in C3 ist Firmenname im Betriebsspiegel. </t>
  </si>
  <si>
    <t>neu erstellt</t>
  </si>
  <si>
    <t>Versionnummer ergänzt und aktualisiert</t>
  </si>
  <si>
    <t>Kapitel Freizeitsicherheit ergänzt</t>
  </si>
  <si>
    <t>Kapitel BGM ergänzt</t>
  </si>
  <si>
    <t>Verschiedene Fehler gemäss vbr korrigiert</t>
  </si>
  <si>
    <t>Versionen</t>
  </si>
  <si>
    <t>Unkoordinierte Vorabversionen</t>
  </si>
  <si>
    <t xml:space="preserve"> 00 bis 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</si>
</sst>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Ja&quot;;&quot;Ja&quot;;&quot;Nein&quot;"/>
    <numFmt numFmtId="165" formatCode="0.0"/>
  </numFmts>
  <fonts count="38" x14ac:knownFonts="1">
    <font>
      <sz val="11"/>
      <color theme="1"/>
      <name val="Calibri"/>
      <family val="2"/>
      <scheme val="minor"/>
    </font>
    <font>
      <u/>
      <sz val="11"/>
      <color theme="10"/>
      <name val="Calibri"/>
      <family val="2"/>
      <scheme val="minor"/>
    </font>
    <font>
      <sz val="10"/>
      <name val="Arial"/>
      <family val="2"/>
    </font>
    <font>
      <sz val="8"/>
      <name val="Arial"/>
      <family val="2"/>
    </font>
    <font>
      <sz val="10"/>
      <name val="Helvetica 45 Light"/>
      <family val="2"/>
    </font>
    <font>
      <b/>
      <sz val="10"/>
      <name val="Arial"/>
      <family val="2"/>
    </font>
    <font>
      <b/>
      <sz val="8"/>
      <name val="Arial"/>
      <family val="2"/>
    </font>
    <font>
      <sz val="10"/>
      <color theme="0"/>
      <name val="Arial"/>
      <family val="2"/>
    </font>
    <font>
      <b/>
      <sz val="18"/>
      <name val="Arial"/>
      <family val="2"/>
    </font>
    <font>
      <b/>
      <sz val="16"/>
      <name val="Arial"/>
      <family val="2"/>
    </font>
    <font>
      <b/>
      <sz val="11"/>
      <color rgb="FF3F3F3F"/>
      <name val="Calibri"/>
      <family val="2"/>
      <scheme val="minor"/>
    </font>
    <font>
      <sz val="11"/>
      <color theme="1"/>
      <name val="Calibri"/>
      <family val="2"/>
      <scheme val="minor"/>
    </font>
    <font>
      <b/>
      <sz val="12"/>
      <name val="Arial"/>
      <family val="2"/>
    </font>
    <font>
      <b/>
      <sz val="10"/>
      <color rgb="FFFF0000"/>
      <name val="Arial"/>
      <family val="2"/>
    </font>
    <font>
      <b/>
      <sz val="16"/>
      <color theme="1"/>
      <name val="Arial"/>
      <family val="2"/>
    </font>
    <font>
      <sz val="11"/>
      <color theme="1"/>
      <name val="Arial"/>
      <family val="2"/>
    </font>
    <font>
      <b/>
      <sz val="12"/>
      <color theme="1"/>
      <name val="Arial"/>
      <family val="2"/>
    </font>
    <font>
      <b/>
      <sz val="11"/>
      <color theme="1"/>
      <name val="Arial"/>
      <family val="2"/>
    </font>
    <font>
      <b/>
      <sz val="9"/>
      <color theme="1"/>
      <name val="Arial"/>
      <family val="2"/>
    </font>
    <font>
      <sz val="11"/>
      <name val="Arial"/>
      <family val="2"/>
    </font>
    <font>
      <b/>
      <sz val="14"/>
      <color theme="1"/>
      <name val="Arial"/>
      <family val="2"/>
    </font>
    <font>
      <u/>
      <sz val="11"/>
      <color theme="10"/>
      <name val="Arial"/>
      <family val="2"/>
    </font>
    <font>
      <i/>
      <sz val="11"/>
      <color theme="1"/>
      <name val="Arial"/>
      <family val="2"/>
    </font>
    <font>
      <i/>
      <sz val="9"/>
      <color theme="1"/>
      <name val="Arial"/>
      <family val="2"/>
    </font>
    <font>
      <sz val="9"/>
      <color theme="1"/>
      <name val="Arial"/>
      <family val="2"/>
    </font>
    <font>
      <b/>
      <sz val="14"/>
      <name val="Arial"/>
      <family val="2"/>
    </font>
    <font>
      <sz val="14"/>
      <color theme="1"/>
      <name val="Arial"/>
      <family val="2"/>
    </font>
    <font>
      <sz val="11"/>
      <color rgb="FFFF0000"/>
      <name val="Arial"/>
      <family val="2"/>
    </font>
    <font>
      <b/>
      <sz val="11"/>
      <color rgb="FF3F3F3F"/>
      <name val="Arial"/>
      <family val="2"/>
    </font>
    <font>
      <sz val="10"/>
      <color theme="1"/>
      <name val="Arial"/>
      <family val="2"/>
    </font>
    <font>
      <sz val="16"/>
      <color theme="1"/>
      <name val="Arial"/>
      <family val="2"/>
    </font>
    <font>
      <sz val="9"/>
      <color indexed="81"/>
      <name val="Segoe UI"/>
      <family val="2"/>
    </font>
    <font>
      <b/>
      <sz val="9"/>
      <color indexed="81"/>
      <name val="Segoe UI"/>
      <family val="2"/>
    </font>
    <font>
      <sz val="10"/>
      <color theme="1"/>
      <name val="Calibri"/>
      <family val="2"/>
      <scheme val="minor"/>
    </font>
    <font>
      <sz val="10"/>
      <name val="Verdana"/>
      <family val="2"/>
    </font>
    <font>
      <b/>
      <i/>
      <sz val="10"/>
      <name val="Arial"/>
      <family val="2"/>
    </font>
    <font>
      <i/>
      <sz val="11"/>
      <name val="Arial"/>
      <family val="2"/>
    </font>
    <font>
      <b/>
      <sz val="11"/>
      <name val="Arial"/>
      <family val="2"/>
    </font>
  </fonts>
  <fills count="15">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F2F2F2"/>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FFA7"/>
        <bgColor indexed="64"/>
      </patternFill>
    </fill>
    <fill>
      <patternFill patternType="solid">
        <fgColor rgb="FFEA8B00"/>
        <bgColor indexed="64"/>
      </patternFill>
    </fill>
    <fill>
      <patternFill patternType="solid">
        <fgColor theme="0" tint="-0.249977111117893"/>
        <bgColor indexed="64"/>
      </patternFill>
    </fill>
    <fill>
      <patternFill patternType="solid">
        <fgColor rgb="FFE2EFDA"/>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theme="1"/>
      </left>
      <right/>
      <top style="medium">
        <color theme="1"/>
      </top>
      <bottom/>
      <diagonal/>
    </border>
    <border>
      <left/>
      <right/>
      <top style="medium">
        <color theme="1"/>
      </top>
      <bottom/>
      <diagonal/>
    </border>
    <border>
      <left/>
      <right style="thin">
        <color theme="1"/>
      </right>
      <top style="medium">
        <color theme="1"/>
      </top>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theme="1"/>
      </left>
      <right/>
      <top style="medium">
        <color indexed="64"/>
      </top>
      <bottom style="thin">
        <color indexed="64"/>
      </bottom>
      <diagonal/>
    </border>
    <border>
      <left/>
      <right/>
      <top style="medium">
        <color indexed="64"/>
      </top>
      <bottom style="thin">
        <color indexed="64"/>
      </bottom>
      <diagonal/>
    </border>
    <border>
      <left/>
      <right style="thin">
        <color theme="1"/>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diagonal/>
    </border>
  </borders>
  <cellStyleXfs count="6">
    <xf numFmtId="0" fontId="0" fillId="0" borderId="0"/>
    <xf numFmtId="0" fontId="1" fillId="0" borderId="0" applyNumberFormat="0" applyFill="0" applyBorder="0" applyAlignment="0" applyProtection="0"/>
    <xf numFmtId="0" fontId="2" fillId="0" borderId="0"/>
    <xf numFmtId="9" fontId="2" fillId="0" borderId="0" applyFont="0" applyFill="0" applyBorder="0" applyAlignment="0" applyProtection="0"/>
    <xf numFmtId="0" fontId="10" fillId="6" borderId="25" applyNumberFormat="0" applyAlignment="0" applyProtection="0"/>
    <xf numFmtId="9" fontId="11" fillId="0" borderId="0" applyFont="0" applyFill="0" applyBorder="0" applyAlignment="0" applyProtection="0"/>
  </cellStyleXfs>
  <cellXfs count="346">
    <xf numFmtId="0" fontId="0" fillId="0" borderId="0" xfId="0"/>
    <xf numFmtId="0" fontId="0" fillId="0" borderId="0" xfId="0" applyAlignment="1">
      <alignment vertical="top"/>
    </xf>
    <xf numFmtId="0" fontId="2" fillId="0" borderId="1" xfId="2" applyBorder="1" applyAlignment="1">
      <alignment vertical="top" wrapText="1"/>
    </xf>
    <xf numFmtId="49" fontId="3" fillId="0" borderId="1" xfId="2" applyNumberFormat="1" applyFont="1" applyBorder="1" applyAlignment="1">
      <alignment vertical="top"/>
    </xf>
    <xf numFmtId="2" fontId="2" fillId="3" borderId="1" xfId="2" applyNumberFormat="1" applyFill="1" applyBorder="1" applyAlignment="1">
      <alignment vertical="top"/>
    </xf>
    <xf numFmtId="0" fontId="2" fillId="3" borderId="1" xfId="2" applyFill="1" applyBorder="1" applyAlignment="1">
      <alignment vertical="top"/>
    </xf>
    <xf numFmtId="0" fontId="2" fillId="0" borderId="6" xfId="2" applyBorder="1" applyAlignment="1">
      <alignment vertical="top" wrapText="1"/>
    </xf>
    <xf numFmtId="0" fontId="5" fillId="3" borderId="1" xfId="2" applyFont="1" applyFill="1" applyBorder="1" applyAlignment="1">
      <alignment vertical="top" wrapText="1"/>
    </xf>
    <xf numFmtId="0" fontId="5" fillId="0" borderId="16" xfId="2" applyFont="1" applyBorder="1" applyAlignment="1">
      <alignment vertical="top" wrapText="1"/>
    </xf>
    <xf numFmtId="0" fontId="2" fillId="0" borderId="0" xfId="2"/>
    <xf numFmtId="0" fontId="9" fillId="0" borderId="0" xfId="2" applyFont="1" applyAlignment="1">
      <alignment horizontal="left" vertical="top" wrapText="1"/>
    </xf>
    <xf numFmtId="9" fontId="2" fillId="0" borderId="0" xfId="3" applyFont="1" applyFill="1" applyBorder="1" applyAlignment="1">
      <alignment horizontal="right" vertical="top" wrapText="1"/>
    </xf>
    <xf numFmtId="0" fontId="2" fillId="0" borderId="0" xfId="2" applyAlignment="1">
      <alignment horizontal="left" vertical="top" wrapText="1"/>
    </xf>
    <xf numFmtId="0" fontId="5" fillId="0" borderId="3" xfId="2" applyFont="1" applyBorder="1" applyAlignment="1">
      <alignment horizontal="center" vertical="top" wrapText="1"/>
    </xf>
    <xf numFmtId="0" fontId="5" fillId="0" borderId="6" xfId="2" applyFont="1" applyBorder="1" applyAlignment="1">
      <alignment horizontal="left" vertical="top" wrapText="1"/>
    </xf>
    <xf numFmtId="9" fontId="5" fillId="2" borderId="18" xfId="3" applyFont="1" applyFill="1" applyBorder="1" applyAlignment="1">
      <alignment horizontal="center" vertical="top" wrapText="1"/>
    </xf>
    <xf numFmtId="0" fontId="2" fillId="0" borderId="0" xfId="2" applyAlignment="1">
      <alignment wrapText="1"/>
    </xf>
    <xf numFmtId="0" fontId="2" fillId="0" borderId="0" xfId="2" applyAlignment="1">
      <alignment horizontal="center" vertical="top" wrapText="1"/>
    </xf>
    <xf numFmtId="0" fontId="2" fillId="3" borderId="1" xfId="2" applyFill="1" applyBorder="1" applyAlignment="1">
      <alignment vertical="top" wrapText="1"/>
    </xf>
    <xf numFmtId="49" fontId="6" fillId="8" borderId="1" xfId="2" applyNumberFormat="1" applyFont="1" applyFill="1" applyBorder="1" applyAlignment="1">
      <alignment vertical="top"/>
    </xf>
    <xf numFmtId="0" fontId="5" fillId="8" borderId="1" xfId="2" applyFont="1" applyFill="1" applyBorder="1" applyAlignment="1">
      <alignment vertical="top" wrapText="1"/>
    </xf>
    <xf numFmtId="9" fontId="6" fillId="8" borderId="1" xfId="5" applyFont="1" applyFill="1" applyBorder="1" applyAlignment="1">
      <alignment vertical="top" wrapText="1"/>
    </xf>
    <xf numFmtId="0" fontId="2" fillId="8" borderId="1" xfId="2" applyFill="1" applyBorder="1" applyAlignment="1">
      <alignment vertical="top"/>
    </xf>
    <xf numFmtId="0" fontId="2" fillId="8" borderId="2" xfId="2" applyFill="1" applyBorder="1" applyAlignment="1">
      <alignment vertical="top" wrapText="1"/>
    </xf>
    <xf numFmtId="1" fontId="2" fillId="8" borderId="1" xfId="2" applyNumberFormat="1" applyFill="1" applyBorder="1" applyAlignment="1">
      <alignment vertical="top"/>
    </xf>
    <xf numFmtId="0" fontId="5" fillId="8" borderId="6" xfId="2" applyFont="1" applyFill="1" applyBorder="1" applyAlignment="1">
      <alignment vertical="top" wrapText="1"/>
    </xf>
    <xf numFmtId="49" fontId="5" fillId="8" borderId="1" xfId="2" applyNumberFormat="1" applyFont="1" applyFill="1" applyBorder="1" applyAlignment="1">
      <alignment vertical="top"/>
    </xf>
    <xf numFmtId="0" fontId="2" fillId="5" borderId="1" xfId="2" applyFill="1" applyBorder="1" applyAlignment="1">
      <alignment vertical="top"/>
    </xf>
    <xf numFmtId="1" fontId="2" fillId="5" borderId="1" xfId="2" applyNumberFormat="1" applyFill="1" applyBorder="1" applyAlignment="1">
      <alignment vertical="top"/>
    </xf>
    <xf numFmtId="0" fontId="4" fillId="8" borderId="2" xfId="2" applyFont="1" applyFill="1" applyBorder="1" applyAlignment="1">
      <alignment vertical="top" wrapText="1"/>
    </xf>
    <xf numFmtId="9" fontId="5" fillId="3" borderId="8" xfId="2" applyNumberFormat="1" applyFont="1" applyFill="1" applyBorder="1" applyAlignment="1">
      <alignment vertical="top" wrapText="1"/>
    </xf>
    <xf numFmtId="1" fontId="2" fillId="5" borderId="1" xfId="2" applyNumberFormat="1" applyFill="1" applyBorder="1" applyAlignment="1">
      <alignment vertical="top" textRotation="90"/>
    </xf>
    <xf numFmtId="0" fontId="5" fillId="5" borderId="1" xfId="2" applyFont="1" applyFill="1" applyBorder="1" applyAlignment="1">
      <alignment vertical="top" textRotation="90"/>
    </xf>
    <xf numFmtId="0" fontId="2" fillId="9" borderId="1" xfId="2" applyFill="1" applyBorder="1" applyAlignment="1" applyProtection="1">
      <alignment vertical="top" wrapText="1"/>
      <protection locked="0"/>
    </xf>
    <xf numFmtId="49" fontId="5" fillId="3" borderId="1" xfId="2" applyNumberFormat="1" applyFont="1" applyFill="1" applyBorder="1" applyAlignment="1">
      <alignment vertical="top" wrapText="1"/>
    </xf>
    <xf numFmtId="165" fontId="2" fillId="3" borderId="1" xfId="2" applyNumberFormat="1" applyFill="1" applyBorder="1" applyAlignment="1">
      <alignment vertical="top"/>
    </xf>
    <xf numFmtId="2" fontId="2" fillId="5" borderId="1" xfId="2" applyNumberFormat="1" applyFill="1" applyBorder="1" applyAlignment="1">
      <alignment vertical="top"/>
    </xf>
    <xf numFmtId="0" fontId="2" fillId="5" borderId="1" xfId="2" applyFill="1" applyBorder="1" applyAlignment="1" applyProtection="1">
      <alignment vertical="top"/>
      <protection locked="0"/>
    </xf>
    <xf numFmtId="164" fontId="3" fillId="10" borderId="1" xfId="2" applyNumberFormat="1" applyFont="1" applyFill="1" applyBorder="1" applyAlignment="1">
      <alignment vertical="top" wrapText="1"/>
    </xf>
    <xf numFmtId="0" fontId="2" fillId="10" borderId="2" xfId="2" applyFill="1" applyBorder="1" applyAlignment="1">
      <alignment vertical="top" wrapText="1"/>
    </xf>
    <xf numFmtId="0" fontId="5" fillId="10" borderId="1" xfId="2" applyFont="1" applyFill="1" applyBorder="1" applyAlignment="1">
      <alignment horizontal="left" vertical="top" wrapText="1"/>
    </xf>
    <xf numFmtId="0" fontId="2" fillId="11" borderId="2" xfId="2" applyFill="1" applyBorder="1" applyAlignment="1">
      <alignment vertical="top" wrapText="1"/>
    </xf>
    <xf numFmtId="1" fontId="2" fillId="11" borderId="1" xfId="2" applyNumberFormat="1" applyFill="1" applyBorder="1" applyAlignment="1">
      <alignment vertical="top"/>
    </xf>
    <xf numFmtId="165" fontId="2" fillId="5" borderId="1" xfId="2" applyNumberFormat="1" applyFill="1" applyBorder="1" applyAlignment="1">
      <alignment vertical="top"/>
    </xf>
    <xf numFmtId="0" fontId="2" fillId="5" borderId="0" xfId="2" applyFill="1" applyAlignment="1">
      <alignment vertical="top"/>
    </xf>
    <xf numFmtId="0" fontId="3" fillId="5" borderId="1" xfId="2" applyFont="1" applyFill="1" applyBorder="1" applyAlignment="1">
      <alignment vertical="top" textRotation="90" wrapText="1"/>
    </xf>
    <xf numFmtId="0" fontId="2" fillId="11" borderId="1" xfId="2" applyFill="1" applyBorder="1" applyAlignment="1">
      <alignment vertical="top"/>
    </xf>
    <xf numFmtId="1" fontId="2" fillId="12" borderId="1" xfId="2" applyNumberFormat="1" applyFill="1" applyBorder="1" applyAlignment="1">
      <alignment vertical="top"/>
    </xf>
    <xf numFmtId="1" fontId="2" fillId="3" borderId="1" xfId="2" applyNumberFormat="1" applyFill="1" applyBorder="1" applyAlignment="1">
      <alignment vertical="top"/>
    </xf>
    <xf numFmtId="165" fontId="2" fillId="12" borderId="1" xfId="2" applyNumberFormat="1" applyFill="1" applyBorder="1" applyAlignment="1">
      <alignment vertical="top"/>
    </xf>
    <xf numFmtId="9" fontId="2" fillId="8" borderId="2" xfId="5" applyFont="1" applyFill="1" applyBorder="1" applyAlignment="1">
      <alignment vertical="top" wrapText="1"/>
    </xf>
    <xf numFmtId="9" fontId="0" fillId="0" borderId="0" xfId="5" applyFont="1" applyFill="1"/>
    <xf numFmtId="2" fontId="2" fillId="8" borderId="1" xfId="2" applyNumberFormat="1" applyFill="1" applyBorder="1" applyAlignment="1">
      <alignment vertical="top"/>
    </xf>
    <xf numFmtId="165" fontId="2" fillId="5" borderId="1" xfId="2" applyNumberFormat="1" applyFill="1" applyBorder="1" applyAlignment="1">
      <alignment vertical="top" textRotation="90"/>
    </xf>
    <xf numFmtId="165" fontId="0" fillId="0" borderId="0" xfId="0" applyNumberFormat="1"/>
    <xf numFmtId="1" fontId="2" fillId="11" borderId="2" xfId="2" applyNumberFormat="1" applyFill="1" applyBorder="1" applyAlignment="1">
      <alignment vertical="top" wrapText="1"/>
    </xf>
    <xf numFmtId="1" fontId="2" fillId="8" borderId="2" xfId="2" applyNumberFormat="1" applyFill="1" applyBorder="1" applyAlignment="1">
      <alignment vertical="top" wrapText="1"/>
    </xf>
    <xf numFmtId="1" fontId="0" fillId="0" borderId="0" xfId="0" applyNumberFormat="1"/>
    <xf numFmtId="0" fontId="2" fillId="5" borderId="8" xfId="2" applyFill="1" applyBorder="1" applyAlignment="1">
      <alignment vertical="top"/>
    </xf>
    <xf numFmtId="0" fontId="2" fillId="0" borderId="9" xfId="2" applyBorder="1" applyAlignment="1">
      <alignment vertical="center" wrapText="1"/>
    </xf>
    <xf numFmtId="9" fontId="5" fillId="13" borderId="18" xfId="3" applyFont="1" applyFill="1" applyBorder="1" applyAlignment="1" applyProtection="1">
      <alignment horizontal="center" vertical="top" wrapText="1"/>
      <protection locked="0"/>
    </xf>
    <xf numFmtId="0" fontId="5" fillId="0" borderId="6" xfId="2" applyFont="1" applyBorder="1" applyAlignment="1">
      <alignment wrapText="1"/>
    </xf>
    <xf numFmtId="0" fontId="5" fillId="0" borderId="6" xfId="2" applyFont="1" applyBorder="1" applyAlignment="1">
      <alignment vertical="center" wrapText="1"/>
    </xf>
    <xf numFmtId="0" fontId="5" fillId="0" borderId="19" xfId="2" applyFont="1" applyBorder="1" applyAlignment="1">
      <alignment horizontal="center" vertical="center" wrapText="1"/>
    </xf>
    <xf numFmtId="0" fontId="15" fillId="0" borderId="0" xfId="0" applyFont="1"/>
    <xf numFmtId="0" fontId="17" fillId="0" borderId="8" xfId="0" applyFont="1" applyBorder="1" applyAlignment="1">
      <alignment horizontal="left" vertical="top"/>
    </xf>
    <xf numFmtId="0" fontId="15" fillId="0" borderId="1" xfId="0" applyFont="1" applyBorder="1" applyAlignment="1">
      <alignment vertical="top" wrapText="1"/>
    </xf>
    <xf numFmtId="0" fontId="17" fillId="0" borderId="1" xfId="0" applyFont="1" applyBorder="1" applyAlignment="1">
      <alignment vertical="top"/>
    </xf>
    <xf numFmtId="0" fontId="15" fillId="0" borderId="1" xfId="0" applyFont="1" applyBorder="1" applyAlignment="1">
      <alignment vertical="top"/>
    </xf>
    <xf numFmtId="0" fontId="15" fillId="0" borderId="0" xfId="0" applyFont="1" applyAlignment="1">
      <alignment vertical="top"/>
    </xf>
    <xf numFmtId="49" fontId="17" fillId="0" borderId="1" xfId="0" applyNumberFormat="1" applyFont="1" applyBorder="1" applyAlignment="1">
      <alignment horizontal="left" vertical="top"/>
    </xf>
    <xf numFmtId="0" fontId="17" fillId="0" borderId="1" xfId="0" applyFont="1" applyBorder="1" applyAlignment="1">
      <alignment horizontal="left" vertical="top"/>
    </xf>
    <xf numFmtId="0" fontId="17" fillId="0" borderId="1" xfId="0" applyFont="1" applyBorder="1" applyAlignment="1">
      <alignment horizontal="left" vertical="top" wrapText="1"/>
    </xf>
    <xf numFmtId="49" fontId="20" fillId="0" borderId="1" xfId="0" applyNumberFormat="1" applyFont="1" applyBorder="1" applyAlignment="1">
      <alignment horizontal="right" vertical="top"/>
    </xf>
    <xf numFmtId="0" fontId="20" fillId="0" borderId="1" xfId="0" applyFont="1" applyBorder="1" applyAlignment="1">
      <alignment horizontal="left" vertical="top"/>
    </xf>
    <xf numFmtId="0" fontId="20" fillId="0" borderId="1" xfId="0" applyFont="1" applyBorder="1" applyAlignment="1">
      <alignment vertical="top"/>
    </xf>
    <xf numFmtId="0" fontId="17" fillId="0" borderId="0" xfId="0" applyFont="1" applyAlignment="1">
      <alignment vertical="top"/>
    </xf>
    <xf numFmtId="0" fontId="16" fillId="0" borderId="1" xfId="0" applyFont="1" applyBorder="1" applyAlignment="1">
      <alignment horizontal="left" vertical="top"/>
    </xf>
    <xf numFmtId="49" fontId="17" fillId="0" borderId="1" xfId="0" applyNumberFormat="1" applyFont="1" applyBorder="1" applyAlignment="1">
      <alignment horizontal="right" vertical="top"/>
    </xf>
    <xf numFmtId="49" fontId="15" fillId="0" borderId="1" xfId="0" applyNumberFormat="1" applyFont="1" applyBorder="1" applyAlignment="1">
      <alignment horizontal="right" vertical="top"/>
    </xf>
    <xf numFmtId="0" fontId="15" fillId="0" borderId="1" xfId="0" applyFont="1" applyBorder="1" applyAlignment="1">
      <alignment horizontal="left" vertical="top"/>
    </xf>
    <xf numFmtId="0" fontId="15" fillId="0" borderId="1" xfId="0" applyFont="1" applyBorder="1" applyAlignment="1">
      <alignment horizontal="left" vertical="top" wrapText="1"/>
    </xf>
    <xf numFmtId="0" fontId="15" fillId="4" borderId="1" xfId="0" applyFont="1" applyFill="1" applyBorder="1" applyAlignment="1" applyProtection="1">
      <alignment vertical="top"/>
      <protection locked="0"/>
    </xf>
    <xf numFmtId="49" fontId="15" fillId="0" borderId="1" xfId="0" applyNumberFormat="1" applyFont="1" applyBorder="1" applyAlignment="1" applyProtection="1">
      <alignment vertical="top" wrapText="1"/>
      <protection locked="0"/>
    </xf>
    <xf numFmtId="0" fontId="20" fillId="0" borderId="1" xfId="0" quotePrefix="1" applyFont="1" applyBorder="1" applyAlignment="1">
      <alignment vertical="top"/>
    </xf>
    <xf numFmtId="0" fontId="15" fillId="0" borderId="1" xfId="0" applyFont="1" applyBorder="1" applyAlignment="1">
      <alignment horizontal="right" vertical="top"/>
    </xf>
    <xf numFmtId="0" fontId="15" fillId="5" borderId="1" xfId="0" applyFont="1" applyFill="1" applyBorder="1" applyAlignment="1" applyProtection="1">
      <alignment vertical="top"/>
      <protection locked="0"/>
    </xf>
    <xf numFmtId="0" fontId="15" fillId="0" borderId="1" xfId="0" applyFont="1" applyBorder="1" applyAlignment="1" applyProtection="1">
      <alignment vertical="top" wrapText="1"/>
      <protection locked="0"/>
    </xf>
    <xf numFmtId="0" fontId="21" fillId="0" borderId="1" xfId="1" quotePrefix="1" applyFont="1" applyFill="1" applyBorder="1" applyAlignment="1" applyProtection="1">
      <alignment vertical="top"/>
    </xf>
    <xf numFmtId="49" fontId="15" fillId="5" borderId="1" xfId="0" applyNumberFormat="1" applyFont="1" applyFill="1" applyBorder="1" applyAlignment="1" applyProtection="1">
      <alignment vertical="top" wrapText="1"/>
      <protection locked="0"/>
    </xf>
    <xf numFmtId="0" fontId="15" fillId="7" borderId="1" xfId="0" applyFont="1" applyFill="1" applyBorder="1" applyAlignment="1">
      <alignment horizontal="right" vertical="top"/>
    </xf>
    <xf numFmtId="0" fontId="15" fillId="7" borderId="1" xfId="0" applyFont="1" applyFill="1" applyBorder="1" applyAlignment="1">
      <alignment horizontal="left" vertical="top"/>
    </xf>
    <xf numFmtId="0" fontId="15" fillId="7" borderId="1" xfId="0" applyFont="1" applyFill="1" applyBorder="1" applyAlignment="1">
      <alignment horizontal="left" vertical="top" wrapText="1"/>
    </xf>
    <xf numFmtId="0" fontId="15" fillId="5" borderId="1" xfId="0" applyFont="1" applyFill="1" applyBorder="1" applyAlignment="1" applyProtection="1">
      <alignment vertical="top" wrapText="1"/>
      <protection locked="0"/>
    </xf>
    <xf numFmtId="0" fontId="15" fillId="0" borderId="1" xfId="0" applyFont="1" applyBorder="1" applyAlignment="1" applyProtection="1">
      <alignment vertical="top"/>
      <protection locked="0"/>
    </xf>
    <xf numFmtId="0" fontId="22" fillId="7" borderId="1" xfId="0" applyFont="1" applyFill="1" applyBorder="1" applyAlignment="1">
      <alignment horizontal="left" vertical="top" wrapText="1"/>
    </xf>
    <xf numFmtId="0" fontId="17" fillId="0" borderId="1" xfId="0" applyFont="1" applyBorder="1" applyAlignment="1">
      <alignment vertical="top" wrapText="1"/>
    </xf>
    <xf numFmtId="49" fontId="15" fillId="7" borderId="1" xfId="0" applyNumberFormat="1" applyFont="1" applyFill="1" applyBorder="1" applyAlignment="1">
      <alignment horizontal="right" vertical="top"/>
    </xf>
    <xf numFmtId="49" fontId="15" fillId="0" borderId="1" xfId="0" applyNumberFormat="1" applyFont="1" applyBorder="1" applyAlignment="1">
      <alignment horizontal="right" vertical="top" wrapText="1"/>
    </xf>
    <xf numFmtId="0" fontId="15" fillId="0" borderId="8" xfId="0" applyFont="1" applyBorder="1" applyAlignment="1">
      <alignment vertical="top"/>
    </xf>
    <xf numFmtId="49" fontId="15" fillId="7" borderId="1" xfId="0" applyNumberFormat="1" applyFont="1" applyFill="1" applyBorder="1" applyAlignment="1">
      <alignment horizontal="right" vertical="top" wrapText="1"/>
    </xf>
    <xf numFmtId="49" fontId="15" fillId="0" borderId="6" xfId="0" applyNumberFormat="1" applyFont="1" applyBorder="1" applyAlignment="1" applyProtection="1">
      <alignment vertical="top" wrapText="1"/>
      <protection locked="0"/>
    </xf>
    <xf numFmtId="49" fontId="15" fillId="5" borderId="6" xfId="0" applyNumberFormat="1" applyFont="1" applyFill="1" applyBorder="1" applyAlignment="1" applyProtection="1">
      <alignment vertical="top" wrapText="1"/>
      <protection locked="0"/>
    </xf>
    <xf numFmtId="0" fontId="15" fillId="0" borderId="6" xfId="0" applyFont="1" applyBorder="1" applyAlignment="1" applyProtection="1">
      <alignment vertical="top"/>
      <protection locked="0"/>
    </xf>
    <xf numFmtId="0" fontId="15" fillId="0" borderId="11" xfId="0" applyFont="1" applyBorder="1" applyAlignment="1">
      <alignment vertical="top"/>
    </xf>
    <xf numFmtId="49" fontId="15" fillId="0" borderId="0" xfId="0" applyNumberFormat="1" applyFont="1" applyAlignment="1">
      <alignment horizontal="right" vertical="top" wrapText="1"/>
    </xf>
    <xf numFmtId="0" fontId="15" fillId="0" borderId="0" xfId="0" applyFont="1" applyAlignment="1">
      <alignment horizontal="left" vertical="top"/>
    </xf>
    <xf numFmtId="0" fontId="15" fillId="0" borderId="0" xfId="0" applyFont="1" applyAlignment="1">
      <alignment horizontal="left" vertical="top" wrapText="1"/>
    </xf>
    <xf numFmtId="49" fontId="15" fillId="0" borderId="0" xfId="0" applyNumberFormat="1" applyFont="1" applyAlignment="1">
      <alignment vertical="top" wrapText="1"/>
    </xf>
    <xf numFmtId="49" fontId="20" fillId="0" borderId="29" xfId="0" applyNumberFormat="1" applyFont="1" applyBorder="1" applyAlignment="1">
      <alignment horizontal="right" vertical="top"/>
    </xf>
    <xf numFmtId="0" fontId="20" fillId="0" borderId="29" xfId="0" applyFont="1" applyBorder="1" applyAlignment="1">
      <alignment horizontal="left" vertical="top"/>
    </xf>
    <xf numFmtId="0" fontId="20" fillId="0" borderId="30" xfId="0" applyFont="1" applyBorder="1" applyAlignment="1">
      <alignment horizontal="left" vertical="top"/>
    </xf>
    <xf numFmtId="0" fontId="20" fillId="0" borderId="30" xfId="0" applyFont="1" applyBorder="1" applyAlignment="1">
      <alignment vertical="top"/>
    </xf>
    <xf numFmtId="0" fontId="20" fillId="0" borderId="31" xfId="0" applyFont="1" applyBorder="1" applyAlignment="1">
      <alignment horizontal="left" vertical="top"/>
    </xf>
    <xf numFmtId="0" fontId="17" fillId="0" borderId="2" xfId="0" applyFont="1" applyBorder="1" applyAlignment="1">
      <alignment vertical="top"/>
    </xf>
    <xf numFmtId="0" fontId="17" fillId="7" borderId="1" xfId="0" applyFont="1" applyFill="1" applyBorder="1" applyAlignment="1">
      <alignment horizontal="left" vertical="top"/>
    </xf>
    <xf numFmtId="0" fontId="17" fillId="5" borderId="1" xfId="0" applyFont="1" applyFill="1" applyBorder="1" applyAlignment="1" applyProtection="1">
      <alignment vertical="top"/>
      <protection locked="0"/>
    </xf>
    <xf numFmtId="0" fontId="17" fillId="0" borderId="2" xfId="0" applyFont="1" applyBorder="1" applyAlignment="1" applyProtection="1">
      <alignment vertical="top"/>
      <protection locked="0"/>
    </xf>
    <xf numFmtId="0" fontId="17" fillId="5" borderId="2" xfId="0" applyFont="1" applyFill="1" applyBorder="1" applyAlignment="1" applyProtection="1">
      <alignment vertical="top"/>
      <protection locked="0"/>
    </xf>
    <xf numFmtId="0" fontId="15" fillId="0" borderId="1" xfId="0" applyFont="1" applyBorder="1" applyAlignment="1">
      <alignment horizontal="center" vertical="top"/>
    </xf>
    <xf numFmtId="49" fontId="15" fillId="0" borderId="2" xfId="0" applyNumberFormat="1" applyFont="1" applyBorder="1" applyAlignment="1">
      <alignment vertical="top" wrapText="1"/>
    </xf>
    <xf numFmtId="0" fontId="21" fillId="0" borderId="1" xfId="1" applyFont="1" applyFill="1" applyBorder="1" applyAlignment="1" applyProtection="1">
      <alignment horizontal="left" vertical="top"/>
    </xf>
    <xf numFmtId="0" fontId="15" fillId="5" borderId="1" xfId="0" applyFont="1" applyFill="1" applyBorder="1" applyAlignment="1" applyProtection="1">
      <alignment horizontal="center" vertical="top"/>
      <protection locked="0"/>
    </xf>
    <xf numFmtId="0" fontId="25" fillId="0" borderId="1" xfId="1" applyFont="1" applyFill="1" applyBorder="1" applyAlignment="1" applyProtection="1">
      <alignment vertical="top" wrapText="1"/>
    </xf>
    <xf numFmtId="49" fontId="15" fillId="0" borderId="1" xfId="0" applyNumberFormat="1" applyFont="1" applyBorder="1" applyAlignment="1">
      <alignment vertical="top" wrapText="1"/>
    </xf>
    <xf numFmtId="49" fontId="17" fillId="0" borderId="1" xfId="0" applyNumberFormat="1" applyFont="1" applyBorder="1" applyAlignment="1">
      <alignment horizontal="right" vertical="top" wrapText="1"/>
    </xf>
    <xf numFmtId="0" fontId="15" fillId="0" borderId="1" xfId="0" applyFont="1" applyBorder="1" applyAlignment="1" applyProtection="1">
      <alignment horizontal="left" vertical="top" wrapText="1"/>
      <protection locked="0"/>
    </xf>
    <xf numFmtId="0" fontId="26" fillId="0" borderId="1" xfId="0" applyFont="1" applyBorder="1" applyAlignment="1">
      <alignment vertical="top"/>
    </xf>
    <xf numFmtId="49" fontId="20" fillId="0" borderId="22" xfId="0" applyNumberFormat="1" applyFont="1" applyBorder="1" applyAlignment="1">
      <alignment horizontal="right" vertical="top"/>
    </xf>
    <xf numFmtId="0" fontId="20" fillId="0" borderId="22" xfId="0" applyFont="1" applyBorder="1" applyAlignment="1">
      <alignment horizontal="left" vertical="top"/>
    </xf>
    <xf numFmtId="0" fontId="20" fillId="0" borderId="23" xfId="0" applyFont="1" applyBorder="1" applyAlignment="1">
      <alignment horizontal="left" vertical="top"/>
    </xf>
    <xf numFmtId="0" fontId="20" fillId="0" borderId="23" xfId="0" applyFont="1" applyBorder="1" applyAlignment="1">
      <alignment vertical="top"/>
    </xf>
    <xf numFmtId="0" fontId="20" fillId="0" borderId="24" xfId="0" applyFont="1" applyBorder="1" applyAlignment="1">
      <alignment horizontal="left" vertical="top"/>
    </xf>
    <xf numFmtId="0" fontId="17" fillId="0" borderId="1" xfId="0" applyFont="1" applyBorder="1" applyAlignment="1">
      <alignment horizontal="center" vertical="top"/>
    </xf>
    <xf numFmtId="0" fontId="25" fillId="0" borderId="1" xfId="1" applyFont="1" applyFill="1" applyBorder="1" applyAlignment="1" applyProtection="1">
      <alignment horizontal="left" vertical="top"/>
    </xf>
    <xf numFmtId="0" fontId="15" fillId="0" borderId="3" xfId="0" applyFont="1" applyBorder="1" applyAlignment="1">
      <alignment horizontal="left" vertical="top"/>
    </xf>
    <xf numFmtId="0" fontId="15" fillId="7" borderId="1" xfId="0" applyFont="1" applyFill="1" applyBorder="1" applyAlignment="1">
      <alignment horizontal="right" vertical="top" wrapText="1"/>
    </xf>
    <xf numFmtId="0" fontId="27" fillId="0" borderId="1" xfId="0" applyFont="1" applyBorder="1" applyAlignment="1">
      <alignment vertical="top"/>
    </xf>
    <xf numFmtId="49" fontId="27" fillId="0" borderId="1" xfId="0" applyNumberFormat="1" applyFont="1" applyBorder="1" applyAlignment="1">
      <alignment vertical="top" wrapText="1"/>
    </xf>
    <xf numFmtId="0" fontId="27" fillId="0" borderId="1" xfId="0" applyFont="1" applyBorder="1" applyAlignment="1">
      <alignment horizontal="left" vertical="top"/>
    </xf>
    <xf numFmtId="0" fontId="15" fillId="7" borderId="0" xfId="0" applyFont="1" applyFill="1" applyAlignment="1">
      <alignment horizontal="left" vertical="top"/>
    </xf>
    <xf numFmtId="0" fontId="15" fillId="0" borderId="1" xfId="0" applyFont="1" applyBorder="1" applyAlignment="1">
      <alignment horizontal="right" vertical="top" wrapText="1"/>
    </xf>
    <xf numFmtId="0" fontId="27" fillId="0" borderId="0" xfId="0" applyFont="1" applyAlignment="1">
      <alignment vertical="top"/>
    </xf>
    <xf numFmtId="49" fontId="27" fillId="0" borderId="0" xfId="0" applyNumberFormat="1" applyFont="1" applyAlignment="1">
      <alignment vertical="top" wrapText="1"/>
    </xf>
    <xf numFmtId="0" fontId="27" fillId="0" borderId="0" xfId="0" applyFont="1" applyAlignment="1">
      <alignment horizontal="left" vertical="top"/>
    </xf>
    <xf numFmtId="0" fontId="28" fillId="5" borderId="1" xfId="4" applyFont="1" applyFill="1" applyBorder="1" applyAlignment="1" applyProtection="1">
      <alignment vertical="top"/>
      <protection locked="0"/>
    </xf>
    <xf numFmtId="49" fontId="28" fillId="0" borderId="1" xfId="4" applyNumberFormat="1" applyFont="1" applyFill="1" applyBorder="1" applyAlignment="1" applyProtection="1">
      <alignment vertical="top" wrapText="1"/>
      <protection locked="0"/>
    </xf>
    <xf numFmtId="0" fontId="28" fillId="0" borderId="1" xfId="4" applyFont="1" applyFill="1" applyBorder="1" applyAlignment="1" applyProtection="1">
      <alignment horizontal="left" vertical="top"/>
    </xf>
    <xf numFmtId="49" fontId="28" fillId="5" borderId="1" xfId="4" applyNumberFormat="1" applyFont="1" applyFill="1" applyBorder="1" applyAlignment="1" applyProtection="1">
      <alignment vertical="top" wrapText="1"/>
      <protection locked="0"/>
    </xf>
    <xf numFmtId="0" fontId="28" fillId="0" borderId="1" xfId="4" applyFont="1" applyFill="1" applyBorder="1" applyAlignment="1" applyProtection="1">
      <alignment vertical="top"/>
    </xf>
    <xf numFmtId="49" fontId="28" fillId="0" borderId="1" xfId="4" applyNumberFormat="1" applyFont="1" applyFill="1" applyBorder="1" applyAlignment="1" applyProtection="1">
      <alignment vertical="top" wrapText="1"/>
    </xf>
    <xf numFmtId="0" fontId="15" fillId="0" borderId="8" xfId="0" applyFont="1" applyBorder="1" applyAlignment="1">
      <alignment horizontal="left" vertical="top"/>
    </xf>
    <xf numFmtId="0" fontId="15" fillId="0" borderId="8" xfId="0" applyFont="1" applyBorder="1" applyAlignment="1">
      <alignment horizontal="left" vertical="top" wrapText="1"/>
    </xf>
    <xf numFmtId="0" fontId="28" fillId="0" borderId="1" xfId="4" applyFont="1" applyFill="1" applyBorder="1" applyAlignment="1" applyProtection="1">
      <alignment horizontal="center" vertical="top"/>
    </xf>
    <xf numFmtId="49" fontId="28" fillId="0" borderId="1" xfId="4" applyNumberFormat="1" applyFont="1" applyFill="1" applyBorder="1" applyAlignment="1" applyProtection="1">
      <alignment horizontal="center" vertical="top" wrapText="1"/>
    </xf>
    <xf numFmtId="0" fontId="28" fillId="0" borderId="8" xfId="4" applyFont="1" applyFill="1" applyBorder="1" applyAlignment="1" applyProtection="1">
      <alignment horizontal="left" vertical="top"/>
    </xf>
    <xf numFmtId="0" fontId="28" fillId="0" borderId="0" xfId="4" applyFont="1" applyFill="1" applyBorder="1" applyAlignment="1" applyProtection="1">
      <alignment vertical="top"/>
    </xf>
    <xf numFmtId="49" fontId="28" fillId="0" borderId="0" xfId="4" applyNumberFormat="1" applyFont="1" applyFill="1" applyBorder="1" applyAlignment="1" applyProtection="1">
      <alignment vertical="top" wrapText="1"/>
    </xf>
    <xf numFmtId="0" fontId="28" fillId="0" borderId="0" xfId="4" applyFont="1" applyFill="1" applyBorder="1" applyAlignment="1" applyProtection="1">
      <alignment horizontal="left" vertical="top"/>
    </xf>
    <xf numFmtId="49" fontId="20" fillId="0" borderId="28" xfId="0" applyNumberFormat="1" applyFont="1" applyBorder="1" applyAlignment="1">
      <alignment horizontal="right" vertical="top"/>
    </xf>
    <xf numFmtId="0" fontId="20" fillId="0" borderId="28" xfId="0" applyFont="1" applyBorder="1" applyAlignment="1">
      <alignment horizontal="left" vertical="top"/>
    </xf>
    <xf numFmtId="0" fontId="15" fillId="0" borderId="28" xfId="0" applyFont="1" applyBorder="1" applyAlignment="1">
      <alignment horizontal="left" vertical="top" wrapText="1"/>
    </xf>
    <xf numFmtId="0" fontId="20" fillId="0" borderId="28" xfId="0" applyFont="1" applyBorder="1" applyAlignment="1">
      <alignment vertical="top"/>
    </xf>
    <xf numFmtId="0" fontId="28" fillId="0" borderId="28" xfId="4" applyFont="1" applyFill="1" applyBorder="1" applyAlignment="1" applyProtection="1">
      <alignment vertical="top"/>
    </xf>
    <xf numFmtId="49" fontId="28" fillId="0" borderId="28" xfId="4" applyNumberFormat="1" applyFont="1" applyFill="1" applyBorder="1" applyAlignment="1" applyProtection="1">
      <alignment vertical="top" wrapText="1"/>
    </xf>
    <xf numFmtId="0" fontId="28" fillId="0" borderId="28" xfId="4" applyFont="1" applyFill="1" applyBorder="1" applyAlignment="1" applyProtection="1">
      <alignment horizontal="left" vertical="top"/>
    </xf>
    <xf numFmtId="49" fontId="15" fillId="0" borderId="0" xfId="0" applyNumberFormat="1" applyFont="1" applyAlignment="1">
      <alignment horizontal="right" vertical="top"/>
    </xf>
    <xf numFmtId="0" fontId="15" fillId="0" borderId="0" xfId="0" applyFont="1" applyAlignment="1">
      <alignment horizontal="center" vertical="top"/>
    </xf>
    <xf numFmtId="0" fontId="15" fillId="0" borderId="0" xfId="0" applyFont="1" applyAlignment="1">
      <alignment horizontal="left"/>
    </xf>
    <xf numFmtId="0" fontId="15" fillId="0" borderId="0" xfId="0" applyFont="1" applyAlignment="1">
      <alignment horizontal="left" wrapText="1"/>
    </xf>
    <xf numFmtId="0" fontId="15" fillId="0" borderId="0" xfId="0" applyFont="1" applyAlignment="1">
      <alignment horizontal="center"/>
    </xf>
    <xf numFmtId="0" fontId="15" fillId="5" borderId="1" xfId="0" applyFont="1" applyFill="1" applyBorder="1" applyAlignment="1" applyProtection="1">
      <alignment horizontal="center"/>
      <protection locked="0"/>
    </xf>
    <xf numFmtId="0" fontId="20" fillId="0" borderId="1" xfId="0" applyFont="1" applyBorder="1" applyAlignment="1">
      <alignment horizontal="left" vertical="center"/>
    </xf>
    <xf numFmtId="0" fontId="15" fillId="0" borderId="1" xfId="0" applyFont="1" applyBorder="1" applyAlignment="1">
      <alignment horizontal="left"/>
    </xf>
    <xf numFmtId="0" fontId="20" fillId="0" borderId="1" xfId="0" applyFont="1" applyBorder="1" applyAlignment="1">
      <alignment horizontal="left"/>
    </xf>
    <xf numFmtId="0" fontId="15" fillId="0" borderId="1" xfId="0" applyFont="1" applyBorder="1" applyAlignment="1">
      <alignment horizontal="center"/>
    </xf>
    <xf numFmtId="0" fontId="15" fillId="0" borderId="0" xfId="0" applyFont="1" applyAlignment="1">
      <alignment horizontal="right" vertical="top"/>
    </xf>
    <xf numFmtId="0" fontId="15" fillId="7" borderId="1" xfId="0" applyFont="1" applyFill="1" applyBorder="1" applyAlignment="1" applyProtection="1">
      <alignment horizontal="center"/>
      <protection locked="0"/>
    </xf>
    <xf numFmtId="0" fontId="15" fillId="0" borderId="1" xfId="0" applyFont="1" applyBorder="1" applyAlignment="1">
      <alignment horizontal="left" vertical="center"/>
    </xf>
    <xf numFmtId="0" fontId="17" fillId="0" borderId="1" xfId="0" applyFont="1" applyBorder="1" applyAlignment="1">
      <alignment horizontal="right" vertical="top"/>
    </xf>
    <xf numFmtId="0" fontId="15" fillId="5" borderId="1" xfId="0" applyFont="1" applyFill="1" applyBorder="1" applyProtection="1">
      <protection locked="0"/>
    </xf>
    <xf numFmtId="0" fontId="22" fillId="0" borderId="1" xfId="0" applyFont="1" applyBorder="1" applyAlignment="1">
      <alignment horizontal="left" vertical="top" wrapText="1"/>
    </xf>
    <xf numFmtId="0" fontId="17" fillId="0" borderId="1" xfId="0" applyFont="1" applyBorder="1" applyAlignment="1">
      <alignment horizontal="left"/>
    </xf>
    <xf numFmtId="0" fontId="26" fillId="0" borderId="1" xfId="0" applyFont="1" applyBorder="1" applyAlignment="1">
      <alignment horizontal="left"/>
    </xf>
    <xf numFmtId="0" fontId="17" fillId="0" borderId="1" xfId="0" applyFont="1" applyBorder="1" applyAlignment="1">
      <alignment horizontal="left" vertical="center"/>
    </xf>
    <xf numFmtId="0" fontId="20" fillId="0" borderId="28" xfId="0" applyFont="1" applyBorder="1" applyAlignment="1">
      <alignment horizontal="left"/>
    </xf>
    <xf numFmtId="0" fontId="15" fillId="0" borderId="28" xfId="0" applyFont="1" applyBorder="1" applyAlignment="1">
      <alignment horizontal="left" wrapText="1"/>
    </xf>
    <xf numFmtId="0" fontId="15" fillId="0" borderId="28" xfId="0" applyFont="1" applyBorder="1" applyAlignment="1">
      <alignment horizontal="center"/>
    </xf>
    <xf numFmtId="49" fontId="15" fillId="0" borderId="28" xfId="0" applyNumberFormat="1" applyFont="1" applyBorder="1" applyAlignment="1">
      <alignment vertical="top" wrapText="1"/>
    </xf>
    <xf numFmtId="0" fontId="15" fillId="0" borderId="28" xfId="0" applyFont="1" applyBorder="1" applyAlignment="1">
      <alignment horizontal="left"/>
    </xf>
    <xf numFmtId="49" fontId="17" fillId="0" borderId="6" xfId="0" applyNumberFormat="1" applyFont="1" applyBorder="1" applyAlignment="1">
      <alignment horizontal="right" vertical="top"/>
    </xf>
    <xf numFmtId="0" fontId="16" fillId="0" borderId="1" xfId="0" applyFont="1" applyBorder="1" applyAlignment="1">
      <alignment horizontal="left"/>
    </xf>
    <xf numFmtId="0" fontId="15" fillId="0" borderId="2" xfId="0" applyFont="1" applyBorder="1" applyAlignment="1">
      <alignment horizontal="left" wrapText="1"/>
    </xf>
    <xf numFmtId="0" fontId="17" fillId="0" borderId="11" xfId="0" applyFont="1" applyBorder="1" applyAlignment="1">
      <alignment horizontal="left"/>
    </xf>
    <xf numFmtId="0" fontId="15" fillId="0" borderId="1" xfId="0" applyFont="1" applyBorder="1" applyAlignment="1">
      <alignment horizontal="left" wrapText="1"/>
    </xf>
    <xf numFmtId="0" fontId="29" fillId="0" borderId="1" xfId="0" applyFont="1" applyBorder="1" applyAlignment="1">
      <alignment horizontal="right" vertical="top"/>
    </xf>
    <xf numFmtId="49" fontId="15" fillId="0" borderId="0" xfId="0" applyNumberFormat="1" applyFont="1" applyAlignment="1">
      <alignment horizontal="right"/>
    </xf>
    <xf numFmtId="0" fontId="15" fillId="0" borderId="0" xfId="0" applyFont="1" applyAlignment="1">
      <alignment wrapText="1"/>
    </xf>
    <xf numFmtId="0" fontId="15" fillId="0" borderId="0" xfId="0" applyFont="1" applyAlignment="1" applyProtection="1">
      <alignment wrapText="1"/>
      <protection locked="0"/>
    </xf>
    <xf numFmtId="0" fontId="15" fillId="0" borderId="0" xfId="0" applyFont="1" applyAlignment="1" applyProtection="1">
      <alignment horizontal="center"/>
      <protection locked="0"/>
    </xf>
    <xf numFmtId="49" fontId="15" fillId="0" borderId="0" xfId="0" applyNumberFormat="1" applyFont="1" applyAlignment="1" applyProtection="1">
      <alignment vertical="top" wrapText="1"/>
      <protection locked="0"/>
    </xf>
    <xf numFmtId="0" fontId="15" fillId="0" borderId="0" xfId="0" applyFont="1" applyAlignment="1" applyProtection="1">
      <alignment horizontal="left"/>
      <protection locked="0"/>
    </xf>
    <xf numFmtId="0" fontId="17" fillId="0" borderId="1" xfId="0" applyFont="1" applyBorder="1" applyAlignment="1">
      <alignment vertical="center"/>
    </xf>
    <xf numFmtId="0" fontId="17" fillId="0" borderId="8" xfId="0" applyFont="1" applyBorder="1" applyAlignment="1">
      <alignment vertical="center" wrapText="1"/>
    </xf>
    <xf numFmtId="0" fontId="30" fillId="0" borderId="0" xfId="0" applyFont="1"/>
    <xf numFmtId="0" fontId="14" fillId="0" borderId="9" xfId="0" applyFont="1" applyBorder="1" applyAlignment="1">
      <alignment vertical="top"/>
    </xf>
    <xf numFmtId="49" fontId="17" fillId="0" borderId="1" xfId="0" applyNumberFormat="1" applyFont="1" applyBorder="1" applyAlignment="1">
      <alignment vertical="top"/>
    </xf>
    <xf numFmtId="0" fontId="15" fillId="5" borderId="1" xfId="0" applyFont="1" applyFill="1" applyBorder="1" applyAlignment="1" applyProtection="1">
      <alignment wrapText="1"/>
      <protection locked="0"/>
    </xf>
    <xf numFmtId="0" fontId="19" fillId="5" borderId="1" xfId="0" applyFont="1" applyFill="1" applyBorder="1" applyAlignment="1" applyProtection="1">
      <alignment wrapText="1"/>
      <protection locked="0"/>
    </xf>
    <xf numFmtId="0" fontId="15" fillId="0" borderId="1" xfId="0" applyFont="1" applyBorder="1" applyAlignment="1">
      <alignment wrapText="1"/>
    </xf>
    <xf numFmtId="0" fontId="15" fillId="0" borderId="1" xfId="0" applyFont="1" applyBorder="1" applyAlignment="1" applyProtection="1">
      <alignment wrapText="1"/>
      <protection locked="0"/>
    </xf>
    <xf numFmtId="0" fontId="15" fillId="0" borderId="1" xfId="0" applyFont="1" applyBorder="1" applyProtection="1">
      <protection locked="0"/>
    </xf>
    <xf numFmtId="0" fontId="12" fillId="5" borderId="27" xfId="2" applyFont="1" applyFill="1" applyBorder="1" applyAlignment="1">
      <alignment vertical="top"/>
    </xf>
    <xf numFmtId="0" fontId="12" fillId="5" borderId="9" xfId="2" applyFont="1" applyFill="1" applyBorder="1" applyAlignment="1">
      <alignment vertical="top" wrapText="1"/>
    </xf>
    <xf numFmtId="1" fontId="12" fillId="5" borderId="9" xfId="2" applyNumberFormat="1" applyFont="1" applyFill="1" applyBorder="1" applyAlignment="1">
      <alignment vertical="top" wrapText="1"/>
    </xf>
    <xf numFmtId="165" fontId="12" fillId="5" borderId="10" xfId="2" applyNumberFormat="1" applyFont="1" applyFill="1" applyBorder="1" applyAlignment="1">
      <alignment vertical="top" wrapText="1"/>
    </xf>
    <xf numFmtId="0" fontId="16" fillId="0" borderId="1" xfId="0" quotePrefix="1" applyFont="1" applyBorder="1" applyAlignment="1">
      <alignment vertical="top"/>
    </xf>
    <xf numFmtId="0" fontId="16" fillId="0" borderId="1" xfId="0" applyFont="1" applyBorder="1" applyAlignment="1">
      <alignment vertical="top"/>
    </xf>
    <xf numFmtId="0" fontId="12" fillId="0" borderId="1" xfId="1" applyFont="1" applyFill="1" applyBorder="1" applyAlignment="1" applyProtection="1">
      <alignment horizontal="left" vertical="top" wrapText="1"/>
    </xf>
    <xf numFmtId="0" fontId="12" fillId="0" borderId="1" xfId="1" applyFont="1" applyFill="1" applyBorder="1" applyAlignment="1" applyProtection="1">
      <alignment vertical="top" wrapText="1"/>
    </xf>
    <xf numFmtId="0" fontId="16" fillId="0" borderId="8" xfId="0" applyFont="1" applyBorder="1" applyAlignment="1">
      <alignment horizontal="left" vertical="top"/>
    </xf>
    <xf numFmtId="49" fontId="16" fillId="0" borderId="1" xfId="0" applyNumberFormat="1" applyFont="1" applyBorder="1" applyAlignment="1">
      <alignment horizontal="left" vertical="top"/>
    </xf>
    <xf numFmtId="0" fontId="16" fillId="0" borderId="1" xfId="0" applyFont="1" applyBorder="1" applyAlignment="1">
      <alignment horizontal="left" vertical="center"/>
    </xf>
    <xf numFmtId="0" fontId="15" fillId="5" borderId="2" xfId="0" applyFont="1" applyFill="1" applyBorder="1" applyAlignment="1" applyProtection="1">
      <alignment vertical="top" wrapText="1"/>
      <protection locked="0"/>
    </xf>
    <xf numFmtId="9" fontId="5" fillId="2" borderId="18" xfId="3" applyFont="1" applyFill="1" applyBorder="1" applyAlignment="1" applyProtection="1">
      <alignment horizontal="center" vertical="top" wrapText="1"/>
    </xf>
    <xf numFmtId="9" fontId="13" fillId="2" borderId="18" xfId="3" applyFont="1" applyFill="1" applyBorder="1" applyAlignment="1" applyProtection="1">
      <alignment horizontal="center" vertical="top" wrapText="1"/>
    </xf>
    <xf numFmtId="9" fontId="5" fillId="0" borderId="18" xfId="3" applyFont="1" applyFill="1" applyBorder="1" applyAlignment="1" applyProtection="1">
      <alignment horizontal="center" vertical="top" wrapText="1"/>
    </xf>
    <xf numFmtId="0" fontId="22" fillId="14" borderId="1" xfId="0" applyFont="1" applyFill="1" applyBorder="1" applyAlignment="1">
      <alignment horizontal="left" vertical="top" wrapText="1"/>
    </xf>
    <xf numFmtId="49" fontId="2" fillId="0" borderId="6" xfId="2" applyNumberFormat="1" applyBorder="1" applyAlignment="1">
      <alignment vertical="top" wrapText="1"/>
    </xf>
    <xf numFmtId="9" fontId="3" fillId="9" borderId="5" xfId="5" applyFont="1" applyFill="1" applyBorder="1" applyAlignment="1" applyProtection="1">
      <alignment vertical="top" wrapText="1"/>
      <protection locked="0"/>
    </xf>
    <xf numFmtId="9" fontId="12" fillId="9" borderId="10" xfId="5" applyFont="1" applyFill="1" applyBorder="1" applyAlignment="1">
      <alignment horizontal="left" vertical="top" wrapText="1"/>
    </xf>
    <xf numFmtId="9" fontId="2" fillId="3" borderId="2" xfId="5" applyFont="1" applyFill="1" applyBorder="1" applyAlignment="1">
      <alignment vertical="top" wrapText="1"/>
    </xf>
    <xf numFmtId="0" fontId="2" fillId="8" borderId="1" xfId="2" applyFill="1" applyBorder="1" applyAlignment="1">
      <alignment vertical="top" wrapText="1"/>
    </xf>
    <xf numFmtId="0" fontId="2" fillId="9" borderId="1" xfId="2" applyFill="1" applyBorder="1" applyAlignment="1">
      <alignment vertical="top" wrapText="1"/>
    </xf>
    <xf numFmtId="0" fontId="2" fillId="7" borderId="1" xfId="2" applyFill="1" applyBorder="1" applyAlignment="1">
      <alignment horizontal="left" vertical="top" textRotation="90"/>
    </xf>
    <xf numFmtId="0" fontId="2" fillId="7" borderId="1" xfId="2" applyFill="1" applyBorder="1" applyAlignment="1" applyProtection="1">
      <alignment vertical="top" wrapText="1"/>
      <protection locked="0"/>
    </xf>
    <xf numFmtId="0" fontId="4" fillId="7" borderId="1" xfId="2" applyFont="1" applyFill="1" applyBorder="1" applyAlignment="1" applyProtection="1">
      <alignment vertical="top" wrapText="1"/>
      <protection locked="0"/>
    </xf>
    <xf numFmtId="0" fontId="2" fillId="7" borderId="1" xfId="2" applyFill="1" applyBorder="1" applyAlignment="1">
      <alignment vertical="top" wrapText="1"/>
    </xf>
    <xf numFmtId="0" fontId="7" fillId="7" borderId="1" xfId="2" applyFont="1" applyFill="1" applyBorder="1" applyAlignment="1">
      <alignment vertical="top" wrapText="1"/>
    </xf>
    <xf numFmtId="9" fontId="0" fillId="0" borderId="0" xfId="5" applyFont="1" applyFill="1" applyBorder="1"/>
    <xf numFmtId="9" fontId="13" fillId="2" borderId="35" xfId="3" applyFont="1" applyFill="1" applyBorder="1" applyAlignment="1" applyProtection="1">
      <alignment horizontal="center" vertical="top" wrapText="1"/>
    </xf>
    <xf numFmtId="9" fontId="5" fillId="9" borderId="2" xfId="5" applyFont="1" applyFill="1" applyBorder="1" applyAlignment="1">
      <alignment horizontal="left" vertical="top" textRotation="90" wrapText="1"/>
    </xf>
    <xf numFmtId="0" fontId="5" fillId="0" borderId="17" xfId="2" applyFont="1" applyBorder="1" applyAlignment="1">
      <alignment vertical="top" wrapText="1"/>
    </xf>
    <xf numFmtId="164" fontId="5" fillId="0" borderId="16" xfId="2" applyNumberFormat="1" applyFont="1" applyBorder="1" applyAlignment="1">
      <alignment vertical="top" wrapText="1"/>
    </xf>
    <xf numFmtId="9" fontId="2" fillId="0" borderId="14" xfId="5" applyFont="1" applyFill="1" applyBorder="1" applyAlignment="1">
      <alignment vertical="top" wrapText="1"/>
    </xf>
    <xf numFmtId="0" fontId="2" fillId="0" borderId="32" xfId="2" applyBorder="1" applyAlignment="1">
      <alignment vertical="top"/>
    </xf>
    <xf numFmtId="0" fontId="33" fillId="0" borderId="0" xfId="0" applyFont="1"/>
    <xf numFmtId="0" fontId="25" fillId="0" borderId="0" xfId="0" applyFont="1"/>
    <xf numFmtId="0" fontId="5" fillId="5" borderId="0" xfId="0" applyFont="1" applyFill="1"/>
    <xf numFmtId="0" fontId="2" fillId="0" borderId="26" xfId="0" applyFont="1" applyBorder="1"/>
    <xf numFmtId="0" fontId="2" fillId="5" borderId="4" xfId="0" applyFont="1" applyFill="1" applyBorder="1"/>
    <xf numFmtId="0" fontId="2" fillId="5" borderId="13" xfId="0" applyFont="1" applyFill="1" applyBorder="1"/>
    <xf numFmtId="0" fontId="2" fillId="5" borderId="27" xfId="0" applyFont="1" applyFill="1" applyBorder="1"/>
    <xf numFmtId="0" fontId="34" fillId="0" borderId="0" xfId="0" applyFont="1" applyAlignment="1">
      <alignment horizontal="left" vertical="center"/>
    </xf>
    <xf numFmtId="0" fontId="15" fillId="0" borderId="0" xfId="0" applyFont="1" applyAlignment="1">
      <alignment horizontal="right"/>
    </xf>
    <xf numFmtId="49" fontId="15" fillId="0" borderId="1" xfId="0" applyNumberFormat="1" applyFont="1" applyBorder="1" applyAlignment="1" applyProtection="1">
      <alignment vertical="top"/>
      <protection locked="0"/>
    </xf>
    <xf numFmtId="0" fontId="15" fillId="5" borderId="1" xfId="0" applyFont="1" applyFill="1" applyBorder="1" applyAlignment="1" applyProtection="1">
      <alignment horizontal="center" vertical="top" wrapText="1"/>
      <protection locked="0"/>
    </xf>
    <xf numFmtId="0" fontId="28" fillId="5" borderId="1" xfId="4" applyFont="1" applyFill="1" applyBorder="1" applyAlignment="1" applyProtection="1">
      <alignment vertical="top" wrapText="1"/>
      <protection locked="0"/>
    </xf>
    <xf numFmtId="0" fontId="28" fillId="0" borderId="1" xfId="4" applyFont="1" applyFill="1" applyBorder="1" applyAlignment="1" applyProtection="1">
      <alignment horizontal="left" vertical="top" wrapText="1"/>
    </xf>
    <xf numFmtId="0" fontId="15" fillId="0" borderId="0" xfId="0" applyFont="1" applyAlignment="1">
      <alignment vertical="top" wrapText="1"/>
    </xf>
    <xf numFmtId="0" fontId="16" fillId="0" borderId="1" xfId="0" applyFont="1" applyBorder="1" applyAlignment="1">
      <alignment horizontal="left" vertical="top" wrapText="1"/>
    </xf>
    <xf numFmtId="0" fontId="15" fillId="4" borderId="1" xfId="0" applyFont="1" applyFill="1" applyBorder="1" applyAlignment="1" applyProtection="1">
      <alignment vertical="top" wrapText="1"/>
      <protection locked="0"/>
    </xf>
    <xf numFmtId="0" fontId="35" fillId="5" borderId="26" xfId="0" applyFont="1" applyFill="1" applyBorder="1"/>
    <xf numFmtId="14" fontId="35" fillId="5" borderId="26" xfId="0" applyNumberFormat="1" applyFont="1" applyFill="1" applyBorder="1"/>
    <xf numFmtId="2" fontId="0" fillId="0" borderId="0" xfId="0" applyNumberFormat="1"/>
    <xf numFmtId="0" fontId="2" fillId="0" borderId="8" xfId="0" applyFont="1" applyBorder="1"/>
    <xf numFmtId="0" fontId="2" fillId="0" borderId="13" xfId="0" applyFont="1" applyBorder="1"/>
    <xf numFmtId="0" fontId="2" fillId="0" borderId="11" xfId="0" applyFont="1" applyBorder="1"/>
    <xf numFmtId="0" fontId="17" fillId="0" borderId="1" xfId="0" applyFont="1" applyBorder="1" applyAlignment="1" applyProtection="1">
      <alignment vertical="top"/>
      <protection locked="0"/>
    </xf>
    <xf numFmtId="49" fontId="17" fillId="0" borderId="1" xfId="0" applyNumberFormat="1" applyFont="1" applyBorder="1" applyAlignment="1" applyProtection="1">
      <alignment vertical="top" wrapText="1"/>
      <protection locked="0"/>
    </xf>
    <xf numFmtId="0" fontId="17" fillId="0" borderId="1" xfId="0" applyFont="1" applyBorder="1" applyAlignment="1" applyProtection="1">
      <alignment vertical="top" wrapText="1"/>
      <protection locked="0"/>
    </xf>
    <xf numFmtId="0" fontId="2" fillId="0" borderId="14" xfId="2" applyBorder="1" applyAlignment="1">
      <alignment vertical="top"/>
    </xf>
    <xf numFmtId="0" fontId="5" fillId="0" borderId="34" xfId="2" applyFont="1" applyBorder="1" applyAlignment="1">
      <alignment vertical="top" wrapText="1"/>
    </xf>
    <xf numFmtId="0" fontId="2" fillId="5" borderId="26" xfId="0" applyFont="1" applyFill="1" applyBorder="1"/>
    <xf numFmtId="0" fontId="5" fillId="5" borderId="8" xfId="0" applyFont="1" applyFill="1" applyBorder="1" applyAlignment="1">
      <alignment horizontal="left" vertical="center"/>
    </xf>
    <xf numFmtId="0" fontId="2" fillId="5" borderId="13" xfId="0" applyFont="1" applyFill="1" applyBorder="1" applyAlignment="1">
      <alignment horizontal="left" vertical="center"/>
    </xf>
    <xf numFmtId="0" fontId="2" fillId="5" borderId="11" xfId="0" applyFont="1" applyFill="1" applyBorder="1" applyAlignment="1">
      <alignment horizontal="left" vertical="center"/>
    </xf>
    <xf numFmtId="0" fontId="2" fillId="5" borderId="8" xfId="0" applyFont="1" applyFill="1" applyBorder="1"/>
    <xf numFmtId="0" fontId="2" fillId="5" borderId="7" xfId="0" applyFont="1" applyFill="1" applyBorder="1" applyAlignment="1">
      <alignment horizontal="left" vertical="center"/>
    </xf>
    <xf numFmtId="0" fontId="2" fillId="5" borderId="12" xfId="0" applyFont="1" applyFill="1" applyBorder="1" applyAlignment="1">
      <alignment horizontal="left" vertical="center"/>
    </xf>
    <xf numFmtId="0" fontId="2" fillId="0" borderId="4" xfId="0" applyFont="1" applyBorder="1"/>
    <xf numFmtId="0" fontId="35" fillId="0" borderId="26" xfId="0" applyFont="1" applyBorder="1"/>
    <xf numFmtId="14" fontId="35" fillId="0" borderId="26" xfId="0" applyNumberFormat="1" applyFont="1" applyBorder="1"/>
    <xf numFmtId="0" fontId="2" fillId="0" borderId="12" xfId="0" applyFont="1" applyBorder="1"/>
    <xf numFmtId="165" fontId="2" fillId="8" borderId="1" xfId="2" applyNumberFormat="1" applyFill="1" applyBorder="1" applyAlignment="1">
      <alignment vertical="top"/>
    </xf>
    <xf numFmtId="0" fontId="19" fillId="0" borderId="1" xfId="0" applyFont="1" applyBorder="1" applyAlignment="1">
      <alignment horizontal="left" vertical="top" wrapText="1"/>
    </xf>
    <xf numFmtId="0" fontId="36" fillId="7" borderId="1" xfId="0" applyFont="1" applyFill="1" applyBorder="1" applyAlignment="1">
      <alignment horizontal="left" vertical="top" wrapText="1"/>
    </xf>
    <xf numFmtId="0" fontId="37" fillId="0" borderId="11" xfId="0" applyFont="1" applyBorder="1" applyAlignment="1">
      <alignment horizontal="left"/>
    </xf>
    <xf numFmtId="0" fontId="19" fillId="0" borderId="0" xfId="0" applyFont="1" applyAlignment="1">
      <alignment horizontal="left" wrapText="1"/>
    </xf>
    <xf numFmtId="0" fontId="19" fillId="0" borderId="1" xfId="0" applyFont="1" applyBorder="1" applyAlignment="1">
      <alignment horizontal="left"/>
    </xf>
    <xf numFmtId="0" fontId="19" fillId="0" borderId="1" xfId="0" applyFont="1" applyBorder="1" applyAlignment="1">
      <alignment horizontal="left" wrapText="1"/>
    </xf>
    <xf numFmtId="0" fontId="2" fillId="5" borderId="11" xfId="0" applyFont="1" applyFill="1" applyBorder="1"/>
    <xf numFmtId="9" fontId="6" fillId="8" borderId="2" xfId="5" applyFont="1" applyFill="1" applyBorder="1" applyAlignment="1">
      <alignment vertical="top" wrapText="1"/>
    </xf>
    <xf numFmtId="0" fontId="3" fillId="10" borderId="1" xfId="2" applyFont="1" applyFill="1" applyBorder="1" applyAlignment="1">
      <alignment vertical="top" wrapText="1"/>
    </xf>
    <xf numFmtId="0" fontId="14" fillId="0" borderId="9" xfId="0" applyFont="1" applyBorder="1" applyAlignment="1">
      <alignment horizontal="left" vertical="top"/>
    </xf>
    <xf numFmtId="0" fontId="17" fillId="0" borderId="1" xfId="0" applyFont="1" applyBorder="1" applyAlignment="1">
      <alignment horizontal="left" vertical="top"/>
    </xf>
    <xf numFmtId="0" fontId="0" fillId="0" borderId="6" xfId="0" applyBorder="1" applyAlignment="1">
      <alignment horizontal="center"/>
    </xf>
    <xf numFmtId="0" fontId="0" fillId="0" borderId="2" xfId="0" applyBorder="1" applyAlignment="1">
      <alignment horizontal="center"/>
    </xf>
    <xf numFmtId="0" fontId="17" fillId="0" borderId="1" xfId="0" applyFont="1" applyBorder="1" applyAlignment="1">
      <alignment vertical="top" wrapText="1"/>
    </xf>
    <xf numFmtId="0" fontId="17" fillId="0" borderId="1" xfId="0" applyFont="1" applyBorder="1" applyAlignment="1">
      <alignment vertical="top"/>
    </xf>
    <xf numFmtId="0" fontId="17" fillId="0" borderId="6" xfId="0" applyFont="1" applyBorder="1" applyAlignment="1">
      <alignment vertical="top" wrapText="1"/>
    </xf>
    <xf numFmtId="0" fontId="17" fillId="0" borderId="2" xfId="0" applyFont="1" applyBorder="1" applyAlignment="1">
      <alignment vertical="top" wrapText="1"/>
    </xf>
    <xf numFmtId="0" fontId="17" fillId="0" borderId="8" xfId="0" applyFont="1" applyBorder="1" applyAlignment="1">
      <alignment vertical="top" wrapText="1"/>
    </xf>
    <xf numFmtId="0" fontId="17" fillId="0" borderId="13" xfId="0" applyFont="1" applyBorder="1" applyAlignment="1">
      <alignment vertical="top" wrapText="1"/>
    </xf>
    <xf numFmtId="0" fontId="17" fillId="0" borderId="11" xfId="0" applyFont="1" applyBorder="1" applyAlignment="1">
      <alignment vertical="top" wrapText="1"/>
    </xf>
    <xf numFmtId="0" fontId="14" fillId="0" borderId="0" xfId="0" applyFont="1" applyAlignment="1">
      <alignment vertical="top" wrapText="1"/>
    </xf>
    <xf numFmtId="0" fontId="0" fillId="0" borderId="2" xfId="0" applyBorder="1" applyAlignment="1">
      <alignment vertical="top" wrapText="1"/>
    </xf>
    <xf numFmtId="0" fontId="37" fillId="0" borderId="6" xfId="0" applyFont="1" applyBorder="1" applyAlignment="1">
      <alignment horizontal="left"/>
    </xf>
    <xf numFmtId="0" fontId="37" fillId="0" borderId="2" xfId="0" applyFont="1" applyBorder="1" applyAlignment="1">
      <alignment horizontal="left"/>
    </xf>
    <xf numFmtId="0" fontId="37" fillId="0" borderId="1" xfId="0" applyFont="1" applyBorder="1" applyAlignment="1">
      <alignment horizontal="left" wrapText="1"/>
    </xf>
    <xf numFmtId="0" fontId="37" fillId="0" borderId="6" xfId="0" applyFont="1" applyBorder="1" applyAlignment="1">
      <alignment horizontal="left" wrapText="1"/>
    </xf>
    <xf numFmtId="0" fontId="37" fillId="0" borderId="2" xfId="0" applyFont="1" applyBorder="1" applyAlignment="1">
      <alignment horizontal="left" wrapText="1"/>
    </xf>
    <xf numFmtId="49" fontId="14" fillId="0" borderId="9" xfId="0" applyNumberFormat="1" applyFont="1" applyBorder="1" applyAlignment="1">
      <alignment horizontal="left" vertical="top"/>
    </xf>
    <xf numFmtId="0" fontId="20" fillId="4" borderId="1" xfId="0" applyFont="1" applyFill="1" applyBorder="1" applyAlignment="1" applyProtection="1">
      <alignment vertical="top"/>
      <protection locked="0"/>
    </xf>
    <xf numFmtId="0" fontId="15" fillId="0" borderId="1" xfId="0" applyFont="1" applyBorder="1" applyAlignment="1">
      <alignment horizontal="center" vertical="top"/>
    </xf>
    <xf numFmtId="0" fontId="20" fillId="4" borderId="1" xfId="0" applyFont="1" applyFill="1" applyBorder="1" applyAlignment="1" applyProtection="1">
      <alignment horizontal="left" vertical="top"/>
      <protection locked="0"/>
    </xf>
    <xf numFmtId="0" fontId="16" fillId="0" borderId="8" xfId="0" applyFont="1" applyBorder="1" applyAlignment="1">
      <alignment horizontal="left" vertical="top"/>
    </xf>
    <xf numFmtId="0" fontId="20" fillId="0" borderId="11" xfId="0" applyFont="1" applyBorder="1" applyAlignment="1">
      <alignment horizontal="left" vertical="top"/>
    </xf>
    <xf numFmtId="0" fontId="20" fillId="4" borderId="6" xfId="0" applyFont="1" applyFill="1" applyBorder="1" applyAlignment="1" applyProtection="1">
      <alignment horizontal="left" vertical="top"/>
      <protection locked="0"/>
    </xf>
    <xf numFmtId="0" fontId="20" fillId="4" borderId="3" xfId="0" applyFont="1" applyFill="1" applyBorder="1" applyAlignment="1" applyProtection="1">
      <alignment horizontal="left" vertical="top"/>
      <protection locked="0"/>
    </xf>
    <xf numFmtId="0" fontId="20" fillId="4" borderId="2" xfId="0" applyFont="1" applyFill="1" applyBorder="1" applyAlignment="1" applyProtection="1">
      <alignment horizontal="left" vertical="top"/>
      <protection locked="0"/>
    </xf>
    <xf numFmtId="0" fontId="17" fillId="0" borderId="1" xfId="0" applyFont="1" applyBorder="1" applyAlignment="1">
      <alignment horizontal="left" vertical="top" wrapText="1"/>
    </xf>
    <xf numFmtId="0" fontId="15" fillId="5" borderId="3" xfId="0" applyFont="1" applyFill="1" applyBorder="1" applyAlignment="1" applyProtection="1">
      <alignment horizontal="left"/>
      <protection locked="0"/>
    </xf>
    <xf numFmtId="0" fontId="15" fillId="5" borderId="2" xfId="0" applyFont="1" applyFill="1" applyBorder="1" applyAlignment="1" applyProtection="1">
      <alignment horizontal="left"/>
      <protection locked="0"/>
    </xf>
    <xf numFmtId="0" fontId="15" fillId="0" borderId="6" xfId="0" applyFont="1" applyBorder="1" applyAlignment="1">
      <alignment horizontal="center" vertical="top"/>
    </xf>
    <xf numFmtId="0" fontId="15" fillId="0" borderId="3" xfId="0" applyFont="1" applyBorder="1" applyAlignment="1">
      <alignment horizontal="center" vertical="top"/>
    </xf>
    <xf numFmtId="0" fontId="15" fillId="0" borderId="2" xfId="0" applyFont="1" applyBorder="1" applyAlignment="1">
      <alignment horizontal="center" vertical="top"/>
    </xf>
    <xf numFmtId="0" fontId="14" fillId="0" borderId="10" xfId="0" applyFont="1" applyBorder="1" applyAlignment="1">
      <alignment horizontal="left" vertical="top" wrapText="1"/>
    </xf>
    <xf numFmtId="0" fontId="14" fillId="0" borderId="27" xfId="0" applyFont="1" applyBorder="1" applyAlignment="1">
      <alignment horizontal="left" vertical="top"/>
    </xf>
    <xf numFmtId="164" fontId="12" fillId="10" borderId="11" xfId="2" applyNumberFormat="1" applyFont="1" applyFill="1" applyBorder="1" applyAlignment="1">
      <alignment horizontal="left" vertical="top" wrapText="1"/>
    </xf>
    <xf numFmtId="0" fontId="8" fillId="0" borderId="26" xfId="2" applyFont="1" applyBorder="1" applyAlignment="1">
      <alignment horizontal="left" vertical="top" wrapText="1"/>
    </xf>
    <xf numFmtId="0" fontId="8" fillId="0" borderId="12" xfId="2" applyFont="1" applyBorder="1" applyAlignment="1">
      <alignment horizontal="left" vertical="top" wrapText="1"/>
    </xf>
    <xf numFmtId="0" fontId="8" fillId="0" borderId="27" xfId="2" applyFont="1" applyBorder="1" applyAlignment="1">
      <alignment horizontal="left" vertical="top" wrapText="1"/>
    </xf>
    <xf numFmtId="0" fontId="8" fillId="0" borderId="10" xfId="2" applyFont="1" applyBorder="1" applyAlignment="1">
      <alignment horizontal="left" vertical="top" wrapText="1"/>
    </xf>
    <xf numFmtId="0" fontId="2" fillId="0" borderId="33" xfId="2" applyBorder="1" applyAlignment="1">
      <alignment vertical="top"/>
    </xf>
    <xf numFmtId="0" fontId="2" fillId="0" borderId="34" xfId="2" applyBorder="1" applyAlignment="1">
      <alignment vertical="top"/>
    </xf>
    <xf numFmtId="0" fontId="2" fillId="0" borderId="14" xfId="2" applyBorder="1" applyAlignment="1">
      <alignment vertical="top"/>
    </xf>
    <xf numFmtId="0" fontId="5" fillId="7" borderId="27" xfId="2" applyFont="1" applyFill="1" applyBorder="1" applyAlignment="1">
      <alignment horizontal="center" vertical="top" wrapText="1"/>
    </xf>
    <xf numFmtId="0" fontId="5" fillId="7" borderId="9" xfId="2" applyFont="1" applyFill="1" applyBorder="1" applyAlignment="1">
      <alignment horizontal="center" vertical="top" wrapText="1"/>
    </xf>
    <xf numFmtId="0" fontId="5" fillId="7" borderId="10" xfId="2" applyFont="1" applyFill="1" applyBorder="1" applyAlignment="1">
      <alignment horizontal="center" vertical="top" wrapText="1"/>
    </xf>
    <xf numFmtId="0" fontId="5" fillId="0" borderId="21" xfId="2" applyFont="1" applyBorder="1" applyAlignment="1">
      <alignment wrapText="1"/>
    </xf>
    <xf numFmtId="0" fontId="5" fillId="0" borderId="20" xfId="2" applyFont="1" applyBorder="1" applyAlignment="1">
      <alignment wrapText="1"/>
    </xf>
    <xf numFmtId="0" fontId="5" fillId="0" borderId="17" xfId="2" applyFont="1" applyBorder="1" applyAlignment="1">
      <alignment wrapText="1"/>
    </xf>
    <xf numFmtId="0" fontId="5" fillId="0" borderId="15" xfId="2" applyFont="1" applyBorder="1" applyAlignment="1">
      <alignment wrapText="1"/>
    </xf>
    <xf numFmtId="0" fontId="5" fillId="0" borderId="0" xfId="2" applyFont="1" applyAlignment="1"/>
    <xf numFmtId="0" fontId="2" fillId="0" borderId="0" xfId="2" applyAlignment="1"/>
  </cellXfs>
  <cellStyles count="6">
    <cellStyle name="Hyperlink" xfId="1" builtinId="8"/>
    <cellStyle name="Normal" xfId="0" builtinId="0"/>
    <cellStyle name="Output" xfId="4" builtinId="21"/>
    <cellStyle name="Percent" xfId="5" builtinId="5"/>
    <cellStyle name="Prozent 2" xfId="3" xr:uid="{00000000-0005-0000-0000-000003000000}"/>
    <cellStyle name="Standard 2" xfId="2" xr:uid="{00000000-0005-0000-0000-000005000000}"/>
  </cellStyles>
  <dxfs count="70">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2EFDA"/>
      <color rgb="FFEA8B00"/>
      <color rgb="FFFFFFA7"/>
      <color rgb="FFFFFF7D"/>
      <color rgb="FFFFFF9B"/>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8.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Auswertungen!$B$3</c:f>
              <c:strCache>
                <c:ptCount val="1"/>
                <c:pt idx="0">
                  <c:v>Autovalutazione Muster AG</c:v>
                </c:pt>
              </c:strCache>
            </c:strRef>
          </c:tx>
          <c:spPr>
            <a:ln w="25400">
              <a:solidFill>
                <a:srgbClr val="0070C0"/>
              </a:solidFill>
            </a:ln>
          </c:spPr>
          <c:marker>
            <c:symbol val="x"/>
            <c:size val="7"/>
            <c:spPr>
              <a:solidFill>
                <a:srgbClr val="0070C0"/>
              </a:solidFill>
              <a:ln w="6350">
                <a:solidFill>
                  <a:srgbClr val="0070C0"/>
                </a:solidFill>
              </a:ln>
            </c:spPr>
          </c:marker>
          <c:cat>
            <c:strRef>
              <c:f>Auswertungen!$A$5:$A$18</c:f>
              <c:strCache>
                <c:ptCount val="14"/>
                <c:pt idx="0">
                  <c:v>1 Principi, obiettivi e strategie</c:v>
                </c:pt>
                <c:pt idx="1">
                  <c:v>2. Organizzazione</c:v>
                </c:pt>
                <c:pt idx="2">
                  <c:v>3. Qualificazione, formazione, comunicazione</c:v>
                </c:pt>
                <c:pt idx="3">
                  <c:v>4. Norme di sicurezza</c:v>
                </c:pt>
                <c:pt idx="4">
                  <c:v>5. Individuazione dei pericoli, valutazione dei  rischi</c:v>
                </c:pt>
                <c:pt idx="5">
                  <c:v>6. Misure</c:v>
                </c:pt>
                <c:pt idx="6">
                  <c:v>7. Organizzazione per i casi di emergenza</c:v>
                </c:pt>
                <c:pt idx="7">
                  <c:v>8. Partecipazione</c:v>
                </c:pt>
                <c:pt idx="8">
                  <c:v>9. Tutela della salute</c:v>
                </c:pt>
                <c:pt idx="9">
                  <c:v>10. Controllo</c:v>
                </c:pt>
                <c:pt idx="10">
                  <c:v>11. Assenze</c:v>
                </c:pt>
                <c:pt idx="11">
                  <c:v>12 Sicurezza nel tempo libero (parte facoltativa)</c:v>
                </c:pt>
                <c:pt idx="12">
                  <c:v>13 GSA: gestione della salute in azienda (parte facoltativa)</c:v>
                </c:pt>
                <c:pt idx="13">
                  <c:v>14 Ampliamento per l'ISO 45001 (parte facoltativa)</c:v>
                </c:pt>
              </c:strCache>
            </c:strRef>
          </c:cat>
          <c:val>
            <c:numRef>
              <c:f>Auswertungen!$C$5:$C$15</c:f>
              <c:numCache>
                <c:formatCode>0%</c:formatCode>
                <c:ptCount val="11"/>
                <c:pt idx="0">
                  <c:v>0</c:v>
                </c:pt>
                <c:pt idx="1">
                  <c:v>0</c:v>
                </c:pt>
                <c:pt idx="2">
                  <c:v>0</c:v>
                </c:pt>
                <c:pt idx="3">
                  <c:v>0.5</c:v>
                </c:pt>
                <c:pt idx="4">
                  <c:v>3.4090909090909088E-2</c:v>
                </c:pt>
                <c:pt idx="5">
                  <c:v>0</c:v>
                </c:pt>
                <c:pt idx="6">
                  <c:v>0</c:v>
                </c:pt>
                <c:pt idx="7">
                  <c:v>0</c:v>
                </c:pt>
                <c:pt idx="8">
                  <c:v>0.15833333333333333</c:v>
                </c:pt>
                <c:pt idx="9">
                  <c:v>0</c:v>
                </c:pt>
                <c:pt idx="10">
                  <c:v>0</c:v>
                </c:pt>
              </c:numCache>
            </c:numRef>
          </c:val>
          <c:extLst>
            <c:ext xmlns:c16="http://schemas.microsoft.com/office/drawing/2014/chart" uri="{C3380CC4-5D6E-409C-BE32-E72D297353CC}">
              <c16:uniqueId val="{00000000-F62E-4A8A-8D0A-C80CDAD5894C}"/>
            </c:ext>
          </c:extLst>
        </c:ser>
        <c:ser>
          <c:idx val="1"/>
          <c:order val="1"/>
          <c:tx>
            <c:strRef>
              <c:f>Auswertungen!$D$3</c:f>
              <c:strCache>
                <c:ptCount val="1"/>
                <c:pt idx="0">
                  <c:v>Valutazione Suva</c:v>
                </c:pt>
              </c:strCache>
            </c:strRef>
          </c:tx>
          <c:spPr>
            <a:ln w="25400">
              <a:solidFill>
                <a:srgbClr val="FF0000"/>
              </a:solidFill>
            </a:ln>
          </c:spPr>
          <c:marker>
            <c:symbol val="circle"/>
            <c:size val="7"/>
            <c:spPr>
              <a:solidFill>
                <a:srgbClr val="FF0000"/>
              </a:solidFill>
              <a:ln>
                <a:solidFill>
                  <a:srgbClr val="FF0000"/>
                </a:solidFill>
              </a:ln>
            </c:spPr>
          </c:marker>
          <c:val>
            <c:numRef>
              <c:f>Auswertungen!$E$5:$E$15</c:f>
              <c:numCache>
                <c:formatCode>0%</c:formatCode>
                <c:ptCount val="11"/>
                <c:pt idx="0">
                  <c:v>0</c:v>
                </c:pt>
                <c:pt idx="1">
                  <c:v>0</c:v>
                </c:pt>
                <c:pt idx="2">
                  <c:v>0</c:v>
                </c:pt>
                <c:pt idx="3">
                  <c:v>0</c:v>
                </c:pt>
                <c:pt idx="4">
                  <c:v>3.4090909090909088E-2</c:v>
                </c:pt>
                <c:pt idx="5">
                  <c:v>0</c:v>
                </c:pt>
                <c:pt idx="6">
                  <c:v>0</c:v>
                </c:pt>
                <c:pt idx="7">
                  <c:v>0</c:v>
                </c:pt>
                <c:pt idx="8">
                  <c:v>0.15833333333333333</c:v>
                </c:pt>
                <c:pt idx="9">
                  <c:v>0</c:v>
                </c:pt>
                <c:pt idx="10">
                  <c:v>0</c:v>
                </c:pt>
              </c:numCache>
            </c:numRef>
          </c:val>
          <c:extLst>
            <c:ext xmlns:c16="http://schemas.microsoft.com/office/drawing/2014/chart" uri="{C3380CC4-5D6E-409C-BE32-E72D297353CC}">
              <c16:uniqueId val="{00000001-F62E-4A8A-8D0A-C80CDAD5894C}"/>
            </c:ext>
          </c:extLst>
        </c:ser>
        <c:dLbls>
          <c:showLegendKey val="0"/>
          <c:showVal val="0"/>
          <c:showCatName val="0"/>
          <c:showSerName val="0"/>
          <c:showPercent val="0"/>
          <c:showBubbleSize val="0"/>
        </c:dLbls>
        <c:axId val="637601264"/>
        <c:axId val="637590680"/>
      </c:radarChart>
      <c:catAx>
        <c:axId val="637601264"/>
        <c:scaling>
          <c:orientation val="minMax"/>
        </c:scaling>
        <c:delete val="0"/>
        <c:axPos val="b"/>
        <c:majorGridlines/>
        <c:numFmt formatCode="General" sourceLinked="1"/>
        <c:majorTickMark val="out"/>
        <c:minorTickMark val="none"/>
        <c:tickLblPos val="nextTo"/>
        <c:txPr>
          <a:bodyPr/>
          <a:lstStyle/>
          <a:p>
            <a:pPr>
              <a:defRPr sz="1100" b="1"/>
            </a:pPr>
            <a:endParaRPr lang="en-US"/>
          </a:p>
        </c:txPr>
        <c:crossAx val="637590680"/>
        <c:crosses val="autoZero"/>
        <c:auto val="1"/>
        <c:lblAlgn val="ctr"/>
        <c:lblOffset val="100"/>
        <c:noMultiLvlLbl val="0"/>
      </c:catAx>
      <c:valAx>
        <c:axId val="637590680"/>
        <c:scaling>
          <c:orientation val="minMax"/>
          <c:max val="1"/>
          <c:min val="0"/>
        </c:scaling>
        <c:delete val="0"/>
        <c:axPos val="l"/>
        <c:majorGridlines>
          <c:spPr>
            <a:ln>
              <a:solidFill>
                <a:schemeClr val="tx1">
                  <a:lumMod val="50000"/>
                  <a:lumOff val="50000"/>
                </a:schemeClr>
              </a:solidFill>
            </a:ln>
          </c:spPr>
        </c:majorGridlines>
        <c:numFmt formatCode="0%" sourceLinked="0"/>
        <c:majorTickMark val="cross"/>
        <c:minorTickMark val="none"/>
        <c:tickLblPos val="none"/>
        <c:spPr>
          <a:ln>
            <a:solidFill>
              <a:schemeClr val="tx1"/>
            </a:solidFill>
          </a:ln>
        </c:spPr>
        <c:txPr>
          <a:bodyPr/>
          <a:lstStyle/>
          <a:p>
            <a:pPr>
              <a:defRPr sz="600"/>
            </a:pPr>
            <a:endParaRPr lang="en-US"/>
          </a:p>
        </c:txPr>
        <c:crossAx val="637601264"/>
        <c:crosses val="autoZero"/>
        <c:crossBetween val="between"/>
        <c:majorUnit val="0.1"/>
        <c:minorUnit val="5.000000000000001E-2"/>
      </c:valAx>
    </c:plotArea>
    <c:legend>
      <c:legendPos val="b"/>
      <c:overlay val="0"/>
    </c:legend>
    <c:plotVisOnly val="1"/>
    <c:dispBlanksAs val="gap"/>
    <c:showDLblsOverMax val="0"/>
  </c:chart>
  <c:spPr>
    <a:ln>
      <a:noFill/>
    </a:ln>
  </c:sp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Auswertungen!$B$3</c:f>
              <c:strCache>
                <c:ptCount val="1"/>
                <c:pt idx="0">
                  <c:v>Autovalutazione Muster AG</c:v>
                </c:pt>
              </c:strCache>
            </c:strRef>
          </c:tx>
          <c:spPr>
            <a:ln w="25400">
              <a:solidFill>
                <a:srgbClr val="0070C0"/>
              </a:solidFill>
            </a:ln>
          </c:spPr>
          <c:marker>
            <c:symbol val="square"/>
            <c:size val="7"/>
            <c:spPr>
              <a:solidFill>
                <a:srgbClr val="0070C0"/>
              </a:solidFill>
            </c:spPr>
          </c:marker>
          <c:cat>
            <c:strRef>
              <c:f>Auswertungen!$A$5:$A$18</c:f>
              <c:strCache>
                <c:ptCount val="14"/>
                <c:pt idx="0">
                  <c:v>1 Principi, obiettivi e strategie</c:v>
                </c:pt>
                <c:pt idx="1">
                  <c:v>2. Organizzazione</c:v>
                </c:pt>
                <c:pt idx="2">
                  <c:v>3. Qualificazione, formazione, comunicazione</c:v>
                </c:pt>
                <c:pt idx="3">
                  <c:v>4. Norme di sicurezza</c:v>
                </c:pt>
                <c:pt idx="4">
                  <c:v>5. Individuazione dei pericoli, valutazione dei  rischi</c:v>
                </c:pt>
                <c:pt idx="5">
                  <c:v>6. Misure</c:v>
                </c:pt>
                <c:pt idx="6">
                  <c:v>7. Organizzazione per i casi di emergenza</c:v>
                </c:pt>
                <c:pt idx="7">
                  <c:v>8. Partecipazione</c:v>
                </c:pt>
                <c:pt idx="8">
                  <c:v>9. Tutela della salute</c:v>
                </c:pt>
                <c:pt idx="9">
                  <c:v>10. Controllo</c:v>
                </c:pt>
                <c:pt idx="10">
                  <c:v>11. Assenze</c:v>
                </c:pt>
                <c:pt idx="11">
                  <c:v>12 Sicurezza nel tempo libero (parte facoltativa)</c:v>
                </c:pt>
                <c:pt idx="12">
                  <c:v>13 GSA: gestione della salute in azienda (parte facoltativa)</c:v>
                </c:pt>
                <c:pt idx="13">
                  <c:v>14 Ampliamento per l'ISO 45001 (parte facoltativa)</c:v>
                </c:pt>
              </c:strCache>
            </c:strRef>
          </c:cat>
          <c:val>
            <c:numRef>
              <c:f>Auswertungen!$C$5:$C$18</c:f>
              <c:numCache>
                <c:formatCode>0%</c:formatCode>
                <c:ptCount val="14"/>
                <c:pt idx="0">
                  <c:v>0</c:v>
                </c:pt>
                <c:pt idx="1">
                  <c:v>0</c:v>
                </c:pt>
                <c:pt idx="2">
                  <c:v>0</c:v>
                </c:pt>
                <c:pt idx="3">
                  <c:v>0.5</c:v>
                </c:pt>
                <c:pt idx="4">
                  <c:v>3.4090909090909088E-2</c:v>
                </c:pt>
                <c:pt idx="5">
                  <c:v>0</c:v>
                </c:pt>
                <c:pt idx="6">
                  <c:v>0</c:v>
                </c:pt>
                <c:pt idx="7">
                  <c:v>0</c:v>
                </c:pt>
                <c:pt idx="8">
                  <c:v>0.15833333333333333</c:v>
                </c:pt>
                <c:pt idx="9">
                  <c:v>0</c:v>
                </c:pt>
                <c:pt idx="10">
                  <c:v>0</c:v>
                </c:pt>
                <c:pt idx="11">
                  <c:v>0</c:v>
                </c:pt>
                <c:pt idx="12">
                  <c:v>0</c:v>
                </c:pt>
                <c:pt idx="13">
                  <c:v>0</c:v>
                </c:pt>
              </c:numCache>
            </c:numRef>
          </c:val>
          <c:extLst>
            <c:ext xmlns:c16="http://schemas.microsoft.com/office/drawing/2014/chart" uri="{C3380CC4-5D6E-409C-BE32-E72D297353CC}">
              <c16:uniqueId val="{00000000-DCF8-4E4C-9133-89DD6D518774}"/>
            </c:ext>
          </c:extLst>
        </c:ser>
        <c:ser>
          <c:idx val="1"/>
          <c:order val="1"/>
          <c:tx>
            <c:strRef>
              <c:f>Auswertungen!$D$3</c:f>
              <c:strCache>
                <c:ptCount val="1"/>
                <c:pt idx="0">
                  <c:v>Valutazione Suva</c:v>
                </c:pt>
              </c:strCache>
            </c:strRef>
          </c:tx>
          <c:spPr>
            <a:ln w="25400" cap="rnd">
              <a:solidFill>
                <a:srgbClr val="FF0000"/>
              </a:solidFill>
            </a:ln>
          </c:spPr>
          <c:marker>
            <c:symbol val="diamond"/>
            <c:size val="7"/>
            <c:spPr>
              <a:solidFill>
                <a:srgbClr val="FF0000"/>
              </a:solidFill>
              <a:ln cap="rnd">
                <a:solidFill>
                  <a:srgbClr val="FF0000"/>
                </a:solidFill>
              </a:ln>
            </c:spPr>
          </c:marker>
          <c:dPt>
            <c:idx val="3"/>
            <c:marker>
              <c:spPr>
                <a:solidFill>
                  <a:srgbClr val="FF0000"/>
                </a:solidFill>
                <a:ln w="6350" cap="rnd">
                  <a:solidFill>
                    <a:srgbClr val="FF0000"/>
                  </a:solidFill>
                </a:ln>
              </c:spPr>
            </c:marker>
            <c:bubble3D val="0"/>
            <c:extLst>
              <c:ext xmlns:c16="http://schemas.microsoft.com/office/drawing/2014/chart" uri="{C3380CC4-5D6E-409C-BE32-E72D297353CC}">
                <c16:uniqueId val="{00000001-DCF8-4E4C-9133-89DD6D518774}"/>
              </c:ext>
            </c:extLst>
          </c:dPt>
          <c:val>
            <c:numRef>
              <c:f>Auswertungen!$E$5:$E$18</c:f>
              <c:numCache>
                <c:formatCode>0%</c:formatCode>
                <c:ptCount val="14"/>
                <c:pt idx="0">
                  <c:v>0</c:v>
                </c:pt>
                <c:pt idx="1">
                  <c:v>0</c:v>
                </c:pt>
                <c:pt idx="2">
                  <c:v>0</c:v>
                </c:pt>
                <c:pt idx="3">
                  <c:v>0</c:v>
                </c:pt>
                <c:pt idx="4">
                  <c:v>3.4090909090909088E-2</c:v>
                </c:pt>
                <c:pt idx="5">
                  <c:v>0</c:v>
                </c:pt>
                <c:pt idx="6">
                  <c:v>0</c:v>
                </c:pt>
                <c:pt idx="7">
                  <c:v>0</c:v>
                </c:pt>
                <c:pt idx="8">
                  <c:v>0.15833333333333333</c:v>
                </c:pt>
                <c:pt idx="9">
                  <c:v>0</c:v>
                </c:pt>
                <c:pt idx="10">
                  <c:v>0</c:v>
                </c:pt>
                <c:pt idx="11">
                  <c:v>0</c:v>
                </c:pt>
                <c:pt idx="12">
                  <c:v>0</c:v>
                </c:pt>
                <c:pt idx="13">
                  <c:v>0</c:v>
                </c:pt>
              </c:numCache>
            </c:numRef>
          </c:val>
          <c:extLst>
            <c:ext xmlns:c16="http://schemas.microsoft.com/office/drawing/2014/chart" uri="{C3380CC4-5D6E-409C-BE32-E72D297353CC}">
              <c16:uniqueId val="{00000002-DCF8-4E4C-9133-89DD6D518774}"/>
            </c:ext>
          </c:extLst>
        </c:ser>
        <c:dLbls>
          <c:showLegendKey val="0"/>
          <c:showVal val="0"/>
          <c:showCatName val="0"/>
          <c:showSerName val="0"/>
          <c:showPercent val="0"/>
          <c:showBubbleSize val="0"/>
        </c:dLbls>
        <c:axId val="637601656"/>
        <c:axId val="637599304"/>
      </c:radarChart>
      <c:catAx>
        <c:axId val="637601656"/>
        <c:scaling>
          <c:orientation val="minMax"/>
        </c:scaling>
        <c:delete val="0"/>
        <c:axPos val="b"/>
        <c:majorGridlines/>
        <c:numFmt formatCode="General" sourceLinked="1"/>
        <c:majorTickMark val="out"/>
        <c:minorTickMark val="none"/>
        <c:tickLblPos val="nextTo"/>
        <c:txPr>
          <a:bodyPr/>
          <a:lstStyle/>
          <a:p>
            <a:pPr>
              <a:defRPr sz="1100" b="1"/>
            </a:pPr>
            <a:endParaRPr lang="en-US"/>
          </a:p>
        </c:txPr>
        <c:crossAx val="637599304"/>
        <c:crosses val="autoZero"/>
        <c:auto val="1"/>
        <c:lblAlgn val="ctr"/>
        <c:lblOffset val="100"/>
        <c:noMultiLvlLbl val="0"/>
      </c:catAx>
      <c:valAx>
        <c:axId val="637599304"/>
        <c:scaling>
          <c:orientation val="minMax"/>
          <c:max val="1"/>
          <c:min val="0"/>
        </c:scaling>
        <c:delete val="0"/>
        <c:axPos val="l"/>
        <c:majorGridlines/>
        <c:numFmt formatCode="0%" sourceLinked="1"/>
        <c:majorTickMark val="cross"/>
        <c:minorTickMark val="none"/>
        <c:tickLblPos val="none"/>
        <c:spPr>
          <a:ln>
            <a:solidFill>
              <a:schemeClr val="tx1"/>
            </a:solidFill>
          </a:ln>
        </c:spPr>
        <c:crossAx val="637601656"/>
        <c:crosses val="autoZero"/>
        <c:crossBetween val="between"/>
        <c:majorUnit val="0.1"/>
        <c:minorUnit val="5.000000000000001E-2"/>
      </c:valAx>
    </c:plotArea>
    <c:legend>
      <c:legendPos val="b"/>
      <c:overlay val="0"/>
    </c:legend>
    <c:plotVisOnly val="1"/>
    <c:dispBlanksAs val="gap"/>
    <c:showDLblsOverMax val="0"/>
  </c:chart>
  <c:spPr>
    <a:ln>
      <a:noFill/>
    </a:ln>
  </c:sp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workbookViewId="0" zoomToFit="1"/>
  </sheetViews>
  <pageMargins left="0.7" right="0.7" top="0.78740157499999996" bottom="0.78740157499999996"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sheetViews>
    <sheetView workbookViewId="0" zoomToFit="1"/>
  </sheetViews>
  <pageMargins left="0.7" right="0.7" top="0.78740157499999996" bottom="0.78740157499999996"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9288780" cy="6004560"/>
    <xdr:graphicFrame macro="">
      <xdr:nvGraphicFramePr>
        <xdr:cNvPr id="2" name="Diagramm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288780" cy="6004560"/>
    <xdr:graphicFrame macro="">
      <xdr:nvGraphicFramePr>
        <xdr:cNvPr id="2" name="Diagramm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showGridLines="0" zoomScaleNormal="100" workbookViewId="0">
      <pane ySplit="1" topLeftCell="A2" activePane="bottomLeft" state="frozen"/>
      <selection pane="bottomLeft" activeCell="A8" sqref="A8"/>
    </sheetView>
  </sheetViews>
  <sheetFormatPr defaultColWidth="11.44140625" defaultRowHeight="13.8" x14ac:dyDescent="0.25"/>
  <cols>
    <col min="1" max="1" width="87.88671875" style="64" customWidth="1"/>
    <col min="2" max="16384" width="11.44140625" style="64"/>
  </cols>
  <sheetData>
    <row r="1" spans="1:1" s="204" customFormat="1" ht="30" customHeight="1" x14ac:dyDescent="0.35">
      <c r="A1" s="205" t="s">
        <v>0</v>
      </c>
    </row>
    <row r="2" spans="1:1" ht="110.25" customHeight="1" x14ac:dyDescent="0.25">
      <c r="A2" s="66" t="s">
        <v>1</v>
      </c>
    </row>
    <row r="3" spans="1:1" ht="96" customHeight="1" x14ac:dyDescent="0.25">
      <c r="A3" s="81" t="s">
        <v>2</v>
      </c>
    </row>
    <row r="4" spans="1:1" ht="87" customHeight="1" x14ac:dyDescent="0.25">
      <c r="A4" s="81" t="s">
        <v>3</v>
      </c>
    </row>
    <row r="5" spans="1:1" ht="38.25" customHeight="1" x14ac:dyDescent="0.25">
      <c r="A5" s="72" t="s">
        <v>4</v>
      </c>
    </row>
    <row r="6" spans="1:1" ht="83.25" customHeight="1" x14ac:dyDescent="0.25">
      <c r="A6" s="81" t="s">
        <v>5</v>
      </c>
    </row>
    <row r="7" spans="1:1" ht="130.5" customHeight="1" x14ac:dyDescent="0.25">
      <c r="A7" s="81" t="s">
        <v>6</v>
      </c>
    </row>
    <row r="8" spans="1:1" ht="111.75" customHeight="1" x14ac:dyDescent="0.25">
      <c r="A8" s="81" t="s">
        <v>7</v>
      </c>
    </row>
    <row r="9" spans="1:1" x14ac:dyDescent="0.25">
      <c r="A9" s="254" t="s">
        <v>8</v>
      </c>
    </row>
  </sheetData>
  <sheetProtection sheet="1" selectLockedCells="1"/>
  <pageMargins left="0.70866141732283472" right="0.70866141732283472" top="0.74803149606299213" bottom="0.74803149606299213"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8"/>
  <dimension ref="A1:C33"/>
  <sheetViews>
    <sheetView showGridLines="0" zoomScaleNormal="100" workbookViewId="0">
      <pane ySplit="2" topLeftCell="A3" activePane="bottomLeft" state="frozen"/>
      <selection pane="bottomLeft" activeCell="C3" sqref="C3"/>
    </sheetView>
  </sheetViews>
  <sheetFormatPr defaultColWidth="11.44140625" defaultRowHeight="14.4" x14ac:dyDescent="0.3"/>
  <cols>
    <col min="1" max="1" width="33" customWidth="1"/>
    <col min="2" max="2" width="21.5546875" customWidth="1"/>
    <col min="3" max="3" width="32.33203125" customWidth="1"/>
    <col min="7" max="7" width="11.5546875" customWidth="1"/>
  </cols>
  <sheetData>
    <row r="1" spans="1:3" s="1" customFormat="1" ht="30" customHeight="1" x14ac:dyDescent="0.3">
      <c r="A1" s="294" t="s">
        <v>9</v>
      </c>
      <c r="B1" s="294"/>
      <c r="C1" s="294"/>
    </row>
    <row r="2" spans="1:3" ht="18.899999999999999" customHeight="1" x14ac:dyDescent="0.3">
      <c r="A2" s="296"/>
      <c r="B2" s="297"/>
      <c r="C2" s="65" t="s">
        <v>10</v>
      </c>
    </row>
    <row r="3" spans="1:3" ht="18.899999999999999" customHeight="1" x14ac:dyDescent="0.3">
      <c r="A3" s="295" t="s">
        <v>11</v>
      </c>
      <c r="B3" s="295"/>
      <c r="C3" s="207" t="s">
        <v>12</v>
      </c>
    </row>
    <row r="4" spans="1:3" ht="18.899999999999999" customHeight="1" x14ac:dyDescent="0.3">
      <c r="A4" s="295" t="s">
        <v>13</v>
      </c>
      <c r="B4" s="295"/>
      <c r="C4" s="207"/>
    </row>
    <row r="5" spans="1:3" ht="18.899999999999999" customHeight="1" x14ac:dyDescent="0.3">
      <c r="A5" s="295" t="s">
        <v>14</v>
      </c>
      <c r="B5" s="295"/>
      <c r="C5" s="207"/>
    </row>
    <row r="6" spans="1:3" ht="18.899999999999999" customHeight="1" x14ac:dyDescent="0.3">
      <c r="A6" s="295" t="s">
        <v>15</v>
      </c>
      <c r="B6" s="295"/>
      <c r="C6" s="207"/>
    </row>
    <row r="7" spans="1:3" ht="18.899999999999999" customHeight="1" x14ac:dyDescent="0.3">
      <c r="A7" s="295" t="s">
        <v>16</v>
      </c>
      <c r="B7" s="295"/>
      <c r="C7" s="207"/>
    </row>
    <row r="8" spans="1:3" ht="18.899999999999999" customHeight="1" x14ac:dyDescent="0.3">
      <c r="A8" s="295" t="s">
        <v>17</v>
      </c>
      <c r="B8" s="295"/>
      <c r="C8" s="207"/>
    </row>
    <row r="9" spans="1:3" ht="18.899999999999999" customHeight="1" x14ac:dyDescent="0.3">
      <c r="A9" s="295" t="s">
        <v>18</v>
      </c>
      <c r="B9" s="295"/>
      <c r="C9" s="207"/>
    </row>
    <row r="10" spans="1:3" ht="18.899999999999999" customHeight="1" x14ac:dyDescent="0.3">
      <c r="A10" s="295" t="s">
        <v>19</v>
      </c>
      <c r="B10" s="295"/>
      <c r="C10" s="207"/>
    </row>
    <row r="11" spans="1:3" ht="18.899999999999999" customHeight="1" x14ac:dyDescent="0.3">
      <c r="A11" s="295" t="s">
        <v>20</v>
      </c>
      <c r="B11" s="295"/>
      <c r="C11" s="207"/>
    </row>
    <row r="12" spans="1:3" ht="18.899999999999999" customHeight="1" x14ac:dyDescent="0.3">
      <c r="A12" s="298" t="s">
        <v>21</v>
      </c>
      <c r="B12" s="299"/>
      <c r="C12" s="207"/>
    </row>
    <row r="13" spans="1:3" ht="18.899999999999999" customHeight="1" x14ac:dyDescent="0.3">
      <c r="A13" s="299" t="s">
        <v>22</v>
      </c>
      <c r="B13" s="299"/>
      <c r="C13" s="207"/>
    </row>
    <row r="14" spans="1:3" ht="48" customHeight="1" x14ac:dyDescent="0.3">
      <c r="A14" s="300" t="s">
        <v>23</v>
      </c>
      <c r="B14" s="301"/>
      <c r="C14" s="207"/>
    </row>
    <row r="15" spans="1:3" ht="28.5" customHeight="1" x14ac:dyDescent="0.3">
      <c r="A15" s="298" t="s">
        <v>24</v>
      </c>
      <c r="B15" s="66" t="s">
        <v>25</v>
      </c>
      <c r="C15" s="207"/>
    </row>
    <row r="16" spans="1:3" ht="27.6" x14ac:dyDescent="0.3">
      <c r="A16" s="298"/>
      <c r="B16" s="66" t="s">
        <v>26</v>
      </c>
      <c r="C16" s="207"/>
    </row>
    <row r="17" spans="1:3" ht="27.6" x14ac:dyDescent="0.3">
      <c r="A17" s="298"/>
      <c r="B17" s="66" t="s">
        <v>27</v>
      </c>
      <c r="C17" s="207"/>
    </row>
    <row r="18" spans="1:3" x14ac:dyDescent="0.3">
      <c r="A18" s="299" t="s">
        <v>28</v>
      </c>
      <c r="B18" s="67" t="s">
        <v>29</v>
      </c>
      <c r="C18" s="208"/>
    </row>
    <row r="19" spans="1:3" x14ac:dyDescent="0.3">
      <c r="A19" s="299"/>
      <c r="B19" s="67" t="s">
        <v>30</v>
      </c>
      <c r="C19" s="208"/>
    </row>
    <row r="20" spans="1:3" x14ac:dyDescent="0.3">
      <c r="A20" s="299"/>
      <c r="B20" s="67" t="s">
        <v>31</v>
      </c>
      <c r="C20" s="208"/>
    </row>
    <row r="21" spans="1:3" x14ac:dyDescent="0.3">
      <c r="A21" s="299"/>
      <c r="B21" s="67" t="s">
        <v>32</v>
      </c>
      <c r="C21" s="208"/>
    </row>
    <row r="22" spans="1:3" x14ac:dyDescent="0.3">
      <c r="A22" s="299"/>
      <c r="B22" s="67" t="s">
        <v>33</v>
      </c>
      <c r="C22" s="208"/>
    </row>
    <row r="23" spans="1:3" ht="15" customHeight="1" x14ac:dyDescent="0.3">
      <c r="A23" s="302" t="s">
        <v>34</v>
      </c>
      <c r="B23" s="68" t="s">
        <v>30</v>
      </c>
      <c r="C23" s="208"/>
    </row>
    <row r="24" spans="1:3" x14ac:dyDescent="0.3">
      <c r="A24" s="303"/>
      <c r="B24" s="68" t="s">
        <v>31</v>
      </c>
      <c r="C24" s="208"/>
    </row>
    <row r="25" spans="1:3" x14ac:dyDescent="0.3">
      <c r="A25" s="303"/>
      <c r="B25" s="68" t="s">
        <v>32</v>
      </c>
      <c r="C25" s="208"/>
    </row>
    <row r="26" spans="1:3" ht="18.75" customHeight="1" x14ac:dyDescent="0.3">
      <c r="A26" s="304"/>
      <c r="B26" s="68" t="s">
        <v>35</v>
      </c>
      <c r="C26" s="207"/>
    </row>
    <row r="27" spans="1:3" ht="15" customHeight="1" x14ac:dyDescent="0.3">
      <c r="A27" s="298" t="s">
        <v>36</v>
      </c>
      <c r="B27" s="66" t="s">
        <v>37</v>
      </c>
      <c r="C27" s="207"/>
    </row>
    <row r="28" spans="1:3" ht="41.4" x14ac:dyDescent="0.3">
      <c r="A28" s="298"/>
      <c r="B28" s="66" t="s">
        <v>38</v>
      </c>
      <c r="C28" s="207"/>
    </row>
    <row r="29" spans="1:3" ht="27.6" x14ac:dyDescent="0.3">
      <c r="A29" s="298"/>
      <c r="B29" s="66" t="s">
        <v>39</v>
      </c>
      <c r="C29" s="207"/>
    </row>
    <row r="30" spans="1:3" x14ac:dyDescent="0.3">
      <c r="A30" s="298"/>
      <c r="B30" s="66" t="s">
        <v>40</v>
      </c>
      <c r="C30" s="207"/>
    </row>
    <row r="31" spans="1:3" ht="18.899999999999999" customHeight="1" x14ac:dyDescent="0.3">
      <c r="A31" s="299" t="s">
        <v>41</v>
      </c>
      <c r="B31" s="299"/>
      <c r="C31" s="207"/>
    </row>
    <row r="32" spans="1:3" ht="18.899999999999999" customHeight="1" x14ac:dyDescent="0.3">
      <c r="A32" s="299" t="s">
        <v>42</v>
      </c>
      <c r="B32" s="299"/>
      <c r="C32" s="207"/>
    </row>
    <row r="33" spans="1:3" ht="18.899999999999999" customHeight="1" x14ac:dyDescent="0.3">
      <c r="A33" s="299" t="s">
        <v>43</v>
      </c>
      <c r="B33" s="299"/>
      <c r="C33" s="207"/>
    </row>
  </sheetData>
  <sheetProtection sheet="1" objects="1" scenarios="1" selectLockedCells="1"/>
  <mergeCells count="21">
    <mergeCell ref="A31:B31"/>
    <mergeCell ref="A32:B32"/>
    <mergeCell ref="A33:B33"/>
    <mergeCell ref="A14:B14"/>
    <mergeCell ref="A15:A17"/>
    <mergeCell ref="A23:A26"/>
    <mergeCell ref="A18:A22"/>
    <mergeCell ref="A27:A30"/>
    <mergeCell ref="A9:B9"/>
    <mergeCell ref="A10:B10"/>
    <mergeCell ref="A11:B11"/>
    <mergeCell ref="A12:B12"/>
    <mergeCell ref="A13:B13"/>
    <mergeCell ref="A1:C1"/>
    <mergeCell ref="A8:B8"/>
    <mergeCell ref="A3:B3"/>
    <mergeCell ref="A4:B4"/>
    <mergeCell ref="A5:B5"/>
    <mergeCell ref="A6:B6"/>
    <mergeCell ref="A7:B7"/>
    <mergeCell ref="A2:B2"/>
  </mergeCells>
  <pageMargins left="0.70866141732283472" right="0.70866141732283472" top="0.78740157480314965" bottom="0.78740157480314965"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9"/>
  <dimension ref="A1:B133"/>
  <sheetViews>
    <sheetView zoomScaleNormal="100" zoomScaleSheetLayoutView="80" workbookViewId="0">
      <pane ySplit="2" topLeftCell="A3" activePane="bottomLeft" state="frozen"/>
      <selection pane="bottomLeft" activeCell="A17" sqref="A17"/>
    </sheetView>
  </sheetViews>
  <sheetFormatPr defaultColWidth="11.44140625" defaultRowHeight="13.8" x14ac:dyDescent="0.25"/>
  <cols>
    <col min="1" max="1" width="44" style="64" customWidth="1"/>
    <col min="2" max="2" width="43.33203125" style="64" customWidth="1"/>
    <col min="3" max="16384" width="11.44140625" style="64"/>
  </cols>
  <sheetData>
    <row r="1" spans="1:2" ht="30" customHeight="1" x14ac:dyDescent="0.25">
      <c r="A1" s="305" t="s">
        <v>44</v>
      </c>
      <c r="B1" s="305"/>
    </row>
    <row r="2" spans="1:2" x14ac:dyDescent="0.25">
      <c r="A2" s="96" t="s">
        <v>45</v>
      </c>
      <c r="B2" s="96" t="s">
        <v>46</v>
      </c>
    </row>
    <row r="3" spans="1:2" ht="14.4" x14ac:dyDescent="0.25">
      <c r="A3" s="300" t="s">
        <v>47</v>
      </c>
      <c r="B3" s="306"/>
    </row>
    <row r="4" spans="1:2" x14ac:dyDescent="0.25">
      <c r="A4" s="93"/>
      <c r="B4" s="93"/>
    </row>
    <row r="5" spans="1:2" x14ac:dyDescent="0.25">
      <c r="A5" s="93"/>
      <c r="B5" s="93"/>
    </row>
    <row r="6" spans="1:2" x14ac:dyDescent="0.25">
      <c r="A6" s="93"/>
      <c r="B6" s="93"/>
    </row>
    <row r="7" spans="1:2" x14ac:dyDescent="0.25">
      <c r="A7" s="93"/>
      <c r="B7" s="93"/>
    </row>
    <row r="8" spans="1:2" x14ac:dyDescent="0.25">
      <c r="A8" s="93"/>
      <c r="B8" s="93"/>
    </row>
    <row r="9" spans="1:2" x14ac:dyDescent="0.25">
      <c r="A9" s="93"/>
      <c r="B9" s="93"/>
    </row>
    <row r="10" spans="1:2" x14ac:dyDescent="0.25">
      <c r="A10" s="93"/>
      <c r="B10" s="93"/>
    </row>
    <row r="11" spans="1:2" x14ac:dyDescent="0.25">
      <c r="A11" s="93"/>
      <c r="B11" s="93"/>
    </row>
    <row r="12" spans="1:2" x14ac:dyDescent="0.25">
      <c r="A12" s="93"/>
      <c r="B12" s="93"/>
    </row>
    <row r="13" spans="1:2" x14ac:dyDescent="0.25">
      <c r="A13" s="93"/>
      <c r="B13" s="93"/>
    </row>
    <row r="14" spans="1:2" ht="15" customHeight="1" x14ac:dyDescent="0.25">
      <c r="A14" s="300" t="s">
        <v>48</v>
      </c>
      <c r="B14" s="306"/>
    </row>
    <row r="15" spans="1:2" x14ac:dyDescent="0.25">
      <c r="A15" s="93"/>
      <c r="B15" s="93"/>
    </row>
    <row r="16" spans="1:2" x14ac:dyDescent="0.25">
      <c r="A16" s="93"/>
      <c r="B16" s="93"/>
    </row>
    <row r="17" spans="1:2" x14ac:dyDescent="0.25">
      <c r="A17" s="93"/>
      <c r="B17" s="93"/>
    </row>
    <row r="18" spans="1:2" x14ac:dyDescent="0.25">
      <c r="A18" s="93"/>
      <c r="B18" s="93"/>
    </row>
    <row r="19" spans="1:2" x14ac:dyDescent="0.25">
      <c r="A19" s="93"/>
      <c r="B19" s="93"/>
    </row>
    <row r="20" spans="1:2" x14ac:dyDescent="0.25">
      <c r="A20" s="93"/>
      <c r="B20" s="93"/>
    </row>
    <row r="21" spans="1:2" x14ac:dyDescent="0.25">
      <c r="A21" s="93"/>
      <c r="B21" s="93"/>
    </row>
    <row r="22" spans="1:2" x14ac:dyDescent="0.25">
      <c r="A22" s="93"/>
      <c r="B22" s="93"/>
    </row>
    <row r="23" spans="1:2" x14ac:dyDescent="0.25">
      <c r="A23" s="93"/>
      <c r="B23" s="93"/>
    </row>
    <row r="24" spans="1:2" x14ac:dyDescent="0.25">
      <c r="A24" s="93"/>
      <c r="B24" s="93"/>
    </row>
    <row r="25" spans="1:2" x14ac:dyDescent="0.25">
      <c r="A25" s="93"/>
      <c r="B25" s="93"/>
    </row>
    <row r="26" spans="1:2" ht="14.4" x14ac:dyDescent="0.25">
      <c r="A26" s="300" t="s">
        <v>49</v>
      </c>
      <c r="B26" s="306"/>
    </row>
    <row r="27" spans="1:2" x14ac:dyDescent="0.25">
      <c r="A27" s="93"/>
      <c r="B27" s="93"/>
    </row>
    <row r="28" spans="1:2" x14ac:dyDescent="0.25">
      <c r="A28" s="93"/>
      <c r="B28" s="93"/>
    </row>
    <row r="29" spans="1:2" x14ac:dyDescent="0.25">
      <c r="A29" s="93"/>
      <c r="B29" s="93"/>
    </row>
    <row r="30" spans="1:2" x14ac:dyDescent="0.25">
      <c r="A30" s="93"/>
      <c r="B30" s="93"/>
    </row>
    <row r="31" spans="1:2" x14ac:dyDescent="0.25">
      <c r="A31" s="93"/>
      <c r="B31" s="93"/>
    </row>
    <row r="32" spans="1:2" x14ac:dyDescent="0.25">
      <c r="A32" s="93"/>
      <c r="B32" s="93"/>
    </row>
    <row r="33" spans="1:2" x14ac:dyDescent="0.25">
      <c r="A33" s="93"/>
      <c r="B33" s="93"/>
    </row>
    <row r="34" spans="1:2" x14ac:dyDescent="0.25">
      <c r="A34" s="93"/>
      <c r="B34" s="93"/>
    </row>
    <row r="35" spans="1:2" x14ac:dyDescent="0.25">
      <c r="A35" s="93"/>
      <c r="B35" s="93"/>
    </row>
    <row r="36" spans="1:2" x14ac:dyDescent="0.25">
      <c r="A36" s="93"/>
      <c r="B36" s="93"/>
    </row>
    <row r="37" spans="1:2" ht="14.4" x14ac:dyDescent="0.25">
      <c r="A37" s="300" t="s">
        <v>50</v>
      </c>
      <c r="B37" s="306"/>
    </row>
    <row r="38" spans="1:2" x14ac:dyDescent="0.25">
      <c r="A38" s="66" t="s">
        <v>51</v>
      </c>
      <c r="B38" s="93"/>
    </row>
    <row r="39" spans="1:2" x14ac:dyDescent="0.25">
      <c r="A39" s="66" t="s">
        <v>52</v>
      </c>
      <c r="B39" s="93"/>
    </row>
    <row r="40" spans="1:2" x14ac:dyDescent="0.25">
      <c r="A40" s="66" t="s">
        <v>53</v>
      </c>
      <c r="B40" s="93"/>
    </row>
    <row r="41" spans="1:2" x14ac:dyDescent="0.25">
      <c r="A41" s="66" t="s">
        <v>54</v>
      </c>
      <c r="B41" s="93"/>
    </row>
    <row r="42" spans="1:2" x14ac:dyDescent="0.25">
      <c r="A42" s="66" t="s">
        <v>55</v>
      </c>
      <c r="B42" s="93"/>
    </row>
    <row r="43" spans="1:2" x14ac:dyDescent="0.25">
      <c r="A43" s="66" t="s">
        <v>56</v>
      </c>
      <c r="B43" s="93"/>
    </row>
    <row r="44" spans="1:2" x14ac:dyDescent="0.25">
      <c r="A44" s="66" t="s">
        <v>57</v>
      </c>
      <c r="B44" s="93"/>
    </row>
    <row r="45" spans="1:2" x14ac:dyDescent="0.25">
      <c r="A45" s="66" t="s">
        <v>58</v>
      </c>
      <c r="B45" s="93"/>
    </row>
    <row r="46" spans="1:2" x14ac:dyDescent="0.25">
      <c r="A46" s="93"/>
      <c r="B46" s="93"/>
    </row>
    <row r="47" spans="1:2" ht="14.4" x14ac:dyDescent="0.25">
      <c r="A47" s="300" t="s">
        <v>59</v>
      </c>
      <c r="B47" s="306"/>
    </row>
    <row r="48" spans="1:2" x14ac:dyDescent="0.25">
      <c r="A48" s="66" t="s">
        <v>60</v>
      </c>
      <c r="B48" s="93"/>
    </row>
    <row r="49" spans="1:2" x14ac:dyDescent="0.25">
      <c r="A49" s="66" t="s">
        <v>61</v>
      </c>
      <c r="B49" s="93"/>
    </row>
    <row r="50" spans="1:2" x14ac:dyDescent="0.25">
      <c r="A50" s="66" t="s">
        <v>62</v>
      </c>
      <c r="B50" s="93"/>
    </row>
    <row r="51" spans="1:2" x14ac:dyDescent="0.25">
      <c r="A51" s="93"/>
      <c r="B51" s="223"/>
    </row>
    <row r="52" spans="1:2" ht="14.4" x14ac:dyDescent="0.25">
      <c r="A52" s="300" t="s">
        <v>63</v>
      </c>
      <c r="B52" s="306"/>
    </row>
    <row r="53" spans="1:2" x14ac:dyDescent="0.25">
      <c r="A53" s="66" t="s">
        <v>64</v>
      </c>
      <c r="B53" s="93"/>
    </row>
    <row r="54" spans="1:2" x14ac:dyDescent="0.25">
      <c r="A54" s="66" t="s">
        <v>65</v>
      </c>
      <c r="B54" s="93"/>
    </row>
    <row r="55" spans="1:2" x14ac:dyDescent="0.25">
      <c r="A55" s="66" t="s">
        <v>66</v>
      </c>
      <c r="B55" s="93"/>
    </row>
    <row r="56" spans="1:2" x14ac:dyDescent="0.25">
      <c r="A56" s="93"/>
      <c r="B56" s="223"/>
    </row>
    <row r="57" spans="1:2" ht="14.4" x14ac:dyDescent="0.25">
      <c r="A57" s="300" t="s">
        <v>67</v>
      </c>
      <c r="B57" s="306"/>
    </row>
    <row r="58" spans="1:2" x14ac:dyDescent="0.25">
      <c r="A58" s="66" t="s">
        <v>68</v>
      </c>
      <c r="B58" s="93"/>
    </row>
    <row r="59" spans="1:2" x14ac:dyDescent="0.25">
      <c r="A59" s="66" t="s">
        <v>69</v>
      </c>
      <c r="B59" s="93"/>
    </row>
    <row r="60" spans="1:2" x14ac:dyDescent="0.25">
      <c r="A60" s="66" t="s">
        <v>70</v>
      </c>
      <c r="B60" s="93"/>
    </row>
    <row r="61" spans="1:2" x14ac:dyDescent="0.25">
      <c r="A61" s="93"/>
      <c r="B61" s="223"/>
    </row>
    <row r="62" spans="1:2" ht="14.4" x14ac:dyDescent="0.25">
      <c r="A62" s="300" t="s">
        <v>71</v>
      </c>
      <c r="B62" s="306"/>
    </row>
    <row r="63" spans="1:2" x14ac:dyDescent="0.25">
      <c r="A63" s="66" t="s">
        <v>72</v>
      </c>
      <c r="B63" s="93"/>
    </row>
    <row r="64" spans="1:2" x14ac:dyDescent="0.25">
      <c r="A64" s="66" t="s">
        <v>73</v>
      </c>
      <c r="B64" s="93"/>
    </row>
    <row r="65" spans="1:2" x14ac:dyDescent="0.25">
      <c r="A65" s="66" t="s">
        <v>74</v>
      </c>
      <c r="B65" s="93"/>
    </row>
    <row r="66" spans="1:2" x14ac:dyDescent="0.25">
      <c r="A66" s="66" t="s">
        <v>75</v>
      </c>
      <c r="B66" s="93"/>
    </row>
    <row r="67" spans="1:2" x14ac:dyDescent="0.25">
      <c r="A67" s="66" t="s">
        <v>76</v>
      </c>
      <c r="B67" s="93"/>
    </row>
    <row r="68" spans="1:2" x14ac:dyDescent="0.25">
      <c r="A68" s="93"/>
      <c r="B68" s="223"/>
    </row>
    <row r="69" spans="1:2" ht="14.4" x14ac:dyDescent="0.25">
      <c r="A69" s="300" t="s">
        <v>77</v>
      </c>
      <c r="B69" s="306"/>
    </row>
    <row r="70" spans="1:2" x14ac:dyDescent="0.25">
      <c r="A70" s="66" t="s">
        <v>78</v>
      </c>
      <c r="B70" s="93"/>
    </row>
    <row r="71" spans="1:2" x14ac:dyDescent="0.25">
      <c r="A71" s="93"/>
      <c r="B71" s="223"/>
    </row>
    <row r="72" spans="1:2" ht="14.4" x14ac:dyDescent="0.25">
      <c r="A72" s="300" t="s">
        <v>79</v>
      </c>
      <c r="B72" s="306"/>
    </row>
    <row r="73" spans="1:2" x14ac:dyDescent="0.25">
      <c r="A73" s="66" t="s">
        <v>80</v>
      </c>
      <c r="B73" s="93"/>
    </row>
    <row r="74" spans="1:2" x14ac:dyDescent="0.25">
      <c r="A74" s="66" t="s">
        <v>81</v>
      </c>
      <c r="B74" s="93"/>
    </row>
    <row r="75" spans="1:2" x14ac:dyDescent="0.25">
      <c r="A75" s="93"/>
      <c r="B75" s="223"/>
    </row>
    <row r="76" spans="1:2" ht="14.4" x14ac:dyDescent="0.25">
      <c r="A76" s="300" t="s">
        <v>82</v>
      </c>
      <c r="B76" s="306"/>
    </row>
    <row r="77" spans="1:2" x14ac:dyDescent="0.25">
      <c r="A77" s="66" t="s">
        <v>83</v>
      </c>
      <c r="B77" s="93"/>
    </row>
    <row r="78" spans="1:2" x14ac:dyDescent="0.25">
      <c r="A78" s="66" t="s">
        <v>84</v>
      </c>
      <c r="B78" s="93"/>
    </row>
    <row r="79" spans="1:2" x14ac:dyDescent="0.25">
      <c r="A79" s="66" t="s">
        <v>85</v>
      </c>
      <c r="B79" s="93"/>
    </row>
    <row r="80" spans="1:2" x14ac:dyDescent="0.25">
      <c r="A80" s="93"/>
      <c r="B80" s="223"/>
    </row>
    <row r="81" spans="1:2" x14ac:dyDescent="0.25">
      <c r="A81" s="96" t="s">
        <v>86</v>
      </c>
      <c r="B81" s="66"/>
    </row>
    <row r="82" spans="1:2" x14ac:dyDescent="0.25">
      <c r="A82" s="66" t="s">
        <v>87</v>
      </c>
      <c r="B82" s="93"/>
    </row>
    <row r="83" spans="1:2" x14ac:dyDescent="0.25">
      <c r="A83" s="66" t="s">
        <v>88</v>
      </c>
      <c r="B83" s="93"/>
    </row>
    <row r="84" spans="1:2" ht="14.4" x14ac:dyDescent="0.25">
      <c r="A84" s="300" t="s">
        <v>89</v>
      </c>
      <c r="B84" s="306"/>
    </row>
    <row r="85" spans="1:2" x14ac:dyDescent="0.25">
      <c r="A85" s="66" t="s">
        <v>90</v>
      </c>
      <c r="B85" s="93"/>
    </row>
    <row r="86" spans="1:2" x14ac:dyDescent="0.25">
      <c r="A86" s="66" t="s">
        <v>91</v>
      </c>
      <c r="B86" s="93"/>
    </row>
    <row r="87" spans="1:2" x14ac:dyDescent="0.25">
      <c r="A87" s="93"/>
      <c r="B87" s="223"/>
    </row>
    <row r="88" spans="1:2" ht="14.4" x14ac:dyDescent="0.25">
      <c r="A88" s="300" t="s">
        <v>92</v>
      </c>
      <c r="B88" s="306"/>
    </row>
    <row r="89" spans="1:2" x14ac:dyDescent="0.25">
      <c r="A89" s="66" t="s">
        <v>93</v>
      </c>
      <c r="B89" s="93"/>
    </row>
    <row r="90" spans="1:2" x14ac:dyDescent="0.25">
      <c r="A90" s="66" t="s">
        <v>94</v>
      </c>
      <c r="B90" s="93"/>
    </row>
    <row r="91" spans="1:2" x14ac:dyDescent="0.25">
      <c r="A91" s="93"/>
      <c r="B91" s="223"/>
    </row>
    <row r="92" spans="1:2" ht="14.4" x14ac:dyDescent="0.25">
      <c r="A92" s="300" t="s">
        <v>95</v>
      </c>
      <c r="B92" s="306"/>
    </row>
    <row r="93" spans="1:2" x14ac:dyDescent="0.25">
      <c r="A93" s="66" t="s">
        <v>96</v>
      </c>
      <c r="B93" s="93"/>
    </row>
    <row r="94" spans="1:2" x14ac:dyDescent="0.25">
      <c r="A94" s="66" t="s">
        <v>97</v>
      </c>
      <c r="B94" s="93"/>
    </row>
    <row r="95" spans="1:2" x14ac:dyDescent="0.25">
      <c r="A95" s="93"/>
      <c r="B95" s="223"/>
    </row>
    <row r="96" spans="1:2" ht="14.4" x14ac:dyDescent="0.25">
      <c r="A96" s="300" t="s">
        <v>98</v>
      </c>
      <c r="B96" s="306"/>
    </row>
    <row r="97" spans="1:2" x14ac:dyDescent="0.25">
      <c r="A97" s="66" t="s">
        <v>99</v>
      </c>
      <c r="B97" s="93"/>
    </row>
    <row r="98" spans="1:2" x14ac:dyDescent="0.25">
      <c r="A98" s="66" t="s">
        <v>100</v>
      </c>
      <c r="B98" s="93"/>
    </row>
    <row r="99" spans="1:2" x14ac:dyDescent="0.25">
      <c r="A99" s="66" t="s">
        <v>101</v>
      </c>
      <c r="B99" s="93"/>
    </row>
    <row r="100" spans="1:2" ht="14.4" x14ac:dyDescent="0.25">
      <c r="A100" s="300" t="s">
        <v>102</v>
      </c>
      <c r="B100" s="306"/>
    </row>
    <row r="101" spans="1:2" x14ac:dyDescent="0.25">
      <c r="A101" s="66" t="s">
        <v>103</v>
      </c>
      <c r="B101" s="93"/>
    </row>
    <row r="102" spans="1:2" x14ac:dyDescent="0.25">
      <c r="A102" s="66" t="s">
        <v>104</v>
      </c>
      <c r="B102" s="93"/>
    </row>
    <row r="103" spans="1:2" x14ac:dyDescent="0.25">
      <c r="A103" s="66" t="s">
        <v>105</v>
      </c>
      <c r="B103" s="93"/>
    </row>
    <row r="104" spans="1:2" x14ac:dyDescent="0.25">
      <c r="A104" s="66" t="s">
        <v>106</v>
      </c>
      <c r="B104" s="93"/>
    </row>
    <row r="105" spans="1:2" x14ac:dyDescent="0.25">
      <c r="A105" s="93"/>
      <c r="B105" s="93"/>
    </row>
    <row r="106" spans="1:2" x14ac:dyDescent="0.25">
      <c r="A106" s="96" t="s">
        <v>107</v>
      </c>
      <c r="B106" s="66"/>
    </row>
    <row r="107" spans="1:2" x14ac:dyDescent="0.25">
      <c r="A107" s="66" t="s">
        <v>108</v>
      </c>
      <c r="B107" s="93"/>
    </row>
    <row r="108" spans="1:2" x14ac:dyDescent="0.25">
      <c r="A108" s="66" t="s">
        <v>109</v>
      </c>
      <c r="B108" s="93"/>
    </row>
    <row r="109" spans="1:2" x14ac:dyDescent="0.25">
      <c r="A109" s="93"/>
      <c r="B109" s="223"/>
    </row>
    <row r="110" spans="1:2" x14ac:dyDescent="0.25">
      <c r="A110" s="96" t="s">
        <v>110</v>
      </c>
      <c r="B110" s="66"/>
    </row>
    <row r="111" spans="1:2" x14ac:dyDescent="0.25">
      <c r="A111" s="66" t="s">
        <v>111</v>
      </c>
      <c r="B111" s="93"/>
    </row>
    <row r="112" spans="1:2" x14ac:dyDescent="0.25">
      <c r="A112" s="66" t="s">
        <v>112</v>
      </c>
      <c r="B112" s="93"/>
    </row>
    <row r="113" spans="1:2" x14ac:dyDescent="0.25">
      <c r="A113" s="66" t="s">
        <v>113</v>
      </c>
      <c r="B113" s="93"/>
    </row>
    <row r="114" spans="1:2" x14ac:dyDescent="0.25">
      <c r="A114" s="93"/>
      <c r="B114" s="223"/>
    </row>
    <row r="115" spans="1:2" x14ac:dyDescent="0.25">
      <c r="A115" s="96" t="s">
        <v>114</v>
      </c>
      <c r="B115" s="66"/>
    </row>
    <row r="116" spans="1:2" x14ac:dyDescent="0.25">
      <c r="A116" s="66" t="s">
        <v>115</v>
      </c>
      <c r="B116" s="93"/>
    </row>
    <row r="117" spans="1:2" x14ac:dyDescent="0.25">
      <c r="A117" s="66" t="s">
        <v>116</v>
      </c>
      <c r="B117" s="93"/>
    </row>
    <row r="118" spans="1:2" x14ac:dyDescent="0.25">
      <c r="A118" s="66" t="s">
        <v>117</v>
      </c>
      <c r="B118" s="93"/>
    </row>
    <row r="119" spans="1:2" x14ac:dyDescent="0.25">
      <c r="A119" s="209" t="s">
        <v>118</v>
      </c>
      <c r="B119" s="207"/>
    </row>
    <row r="120" spans="1:2" x14ac:dyDescent="0.25">
      <c r="A120" s="93"/>
      <c r="B120" s="223"/>
    </row>
    <row r="121" spans="1:2" ht="15" customHeight="1" x14ac:dyDescent="0.25">
      <c r="A121" s="300" t="s">
        <v>119</v>
      </c>
      <c r="B121" s="306"/>
    </row>
    <row r="122" spans="1:2" x14ac:dyDescent="0.25">
      <c r="A122" s="210"/>
      <c r="B122" s="210"/>
    </row>
    <row r="123" spans="1:2" x14ac:dyDescent="0.25">
      <c r="A123" s="210"/>
      <c r="B123" s="210"/>
    </row>
    <row r="124" spans="1:2" x14ac:dyDescent="0.25">
      <c r="A124" s="210"/>
      <c r="B124" s="210"/>
    </row>
    <row r="125" spans="1:2" x14ac:dyDescent="0.25">
      <c r="A125" s="210"/>
      <c r="B125" s="210"/>
    </row>
    <row r="126" spans="1:2" x14ac:dyDescent="0.25">
      <c r="A126" s="210"/>
      <c r="B126" s="210"/>
    </row>
    <row r="127" spans="1:2" x14ac:dyDescent="0.25">
      <c r="A127" s="210"/>
      <c r="B127" s="210"/>
    </row>
    <row r="128" spans="1:2" x14ac:dyDescent="0.25">
      <c r="A128" s="211"/>
      <c r="B128" s="211"/>
    </row>
    <row r="129" spans="1:2" x14ac:dyDescent="0.25">
      <c r="A129" s="211"/>
      <c r="B129" s="211"/>
    </row>
    <row r="130" spans="1:2" x14ac:dyDescent="0.25">
      <c r="A130" s="211"/>
      <c r="B130" s="211"/>
    </row>
    <row r="131" spans="1:2" x14ac:dyDescent="0.25">
      <c r="A131" s="211"/>
      <c r="B131" s="211"/>
    </row>
    <row r="132" spans="1:2" x14ac:dyDescent="0.25">
      <c r="A132" s="211"/>
      <c r="B132" s="211"/>
    </row>
    <row r="133" spans="1:2" x14ac:dyDescent="0.25">
      <c r="A133" s="211"/>
      <c r="B133" s="211"/>
    </row>
  </sheetData>
  <sheetProtection sheet="1" objects="1" scenarios="1" selectLockedCells="1"/>
  <mergeCells count="18">
    <mergeCell ref="A92:B92"/>
    <mergeCell ref="A96:B96"/>
    <mergeCell ref="A100:B100"/>
    <mergeCell ref="A121:B121"/>
    <mergeCell ref="A3:B3"/>
    <mergeCell ref="A14:B14"/>
    <mergeCell ref="A26:B26"/>
    <mergeCell ref="A62:B62"/>
    <mergeCell ref="A76:B76"/>
    <mergeCell ref="A72:B72"/>
    <mergeCell ref="A69:B69"/>
    <mergeCell ref="A88:B88"/>
    <mergeCell ref="A84:B84"/>
    <mergeCell ref="A1:B1"/>
    <mergeCell ref="A37:B37"/>
    <mergeCell ref="A47:B47"/>
    <mergeCell ref="A52:B52"/>
    <mergeCell ref="A57:B57"/>
  </mergeCells>
  <pageMargins left="0.70866141732283472" right="0.70866141732283472" top="0.78740157480314965" bottom="0.78740157480314965"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rowBreaks count="1" manualBreakCount="1">
    <brk id="36" max="16383" man="1"/>
  </rowBreaks>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dimension ref="A1:H706"/>
  <sheetViews>
    <sheetView tabSelected="1" zoomScale="85" zoomScaleNormal="85" workbookViewId="0">
      <pane ySplit="2" topLeftCell="A3" activePane="bottomLeft" state="frozen"/>
      <selection pane="bottomLeft" activeCell="F18" sqref="F18"/>
    </sheetView>
  </sheetViews>
  <sheetFormatPr defaultColWidth="11.44140625" defaultRowHeight="13.8" outlineLevelCol="1" x14ac:dyDescent="0.25"/>
  <cols>
    <col min="1" max="1" width="10.33203125" style="196" bestFit="1" customWidth="1"/>
    <col min="2" max="2" width="3.109375" style="168" customWidth="1"/>
    <col min="3" max="3" width="64.88671875" style="198" customWidth="1"/>
    <col min="4" max="5" width="4.5546875" style="199" customWidth="1" outlineLevel="1"/>
    <col min="6" max="6" width="42.44140625" style="200" customWidth="1" outlineLevel="1"/>
    <col min="7" max="7" width="12.6640625" style="201" customWidth="1" outlineLevel="1"/>
    <col min="8" max="16384" width="11.44140625" style="64"/>
  </cols>
  <sheetData>
    <row r="1" spans="1:7" s="69" customFormat="1" ht="30" customHeight="1" x14ac:dyDescent="0.3">
      <c r="A1" s="312" t="s">
        <v>120</v>
      </c>
      <c r="B1" s="312"/>
      <c r="C1" s="312"/>
      <c r="D1" s="312"/>
      <c r="E1" s="312"/>
      <c r="F1" s="312"/>
      <c r="G1" s="312"/>
    </row>
    <row r="2" spans="1:7" s="69" customFormat="1" ht="27.6" x14ac:dyDescent="0.3">
      <c r="A2" s="70" t="s">
        <v>121</v>
      </c>
      <c r="B2" s="71"/>
      <c r="C2" s="72" t="s">
        <v>122</v>
      </c>
      <c r="D2" s="268" t="s">
        <v>123</v>
      </c>
      <c r="E2" s="268" t="s">
        <v>124</v>
      </c>
      <c r="F2" s="269" t="s">
        <v>125</v>
      </c>
      <c r="G2" s="270" t="s">
        <v>126</v>
      </c>
    </row>
    <row r="3" spans="1:7" s="76" customFormat="1" ht="17.399999999999999" x14ac:dyDescent="0.3">
      <c r="A3" s="73" t="s">
        <v>127</v>
      </c>
      <c r="B3" s="74" t="s">
        <v>128</v>
      </c>
      <c r="C3" s="74"/>
      <c r="D3" s="75"/>
      <c r="E3" s="75"/>
      <c r="F3" s="75"/>
      <c r="G3" s="75"/>
    </row>
    <row r="4" spans="1:7" s="76" customFormat="1" ht="18.75" customHeight="1" x14ac:dyDescent="0.3">
      <c r="A4" s="73"/>
      <c r="B4" s="191" t="s">
        <v>129</v>
      </c>
      <c r="C4" s="77"/>
      <c r="D4" s="313"/>
      <c r="E4" s="313"/>
      <c r="F4" s="313"/>
      <c r="G4" s="75"/>
    </row>
    <row r="5" spans="1:7" s="76" customFormat="1" x14ac:dyDescent="0.3">
      <c r="A5" s="78" t="s">
        <v>130</v>
      </c>
      <c r="B5" s="295" t="s">
        <v>131</v>
      </c>
      <c r="C5" s="295"/>
      <c r="D5" s="67"/>
      <c r="E5" s="67"/>
      <c r="F5" s="67"/>
      <c r="G5" s="67"/>
    </row>
    <row r="6" spans="1:7" s="69" customFormat="1" ht="15.6" x14ac:dyDescent="0.3">
      <c r="A6" s="79" t="s">
        <v>132</v>
      </c>
      <c r="B6" s="80"/>
      <c r="C6" s="81" t="s">
        <v>133</v>
      </c>
      <c r="D6" s="82"/>
      <c r="E6" s="82"/>
      <c r="F6" s="83"/>
      <c r="G6" s="216" t="s">
        <v>134</v>
      </c>
    </row>
    <row r="7" spans="1:7" s="69" customFormat="1" ht="27.6" x14ac:dyDescent="0.3">
      <c r="A7" s="85" t="s">
        <v>135</v>
      </c>
      <c r="B7" s="80"/>
      <c r="C7" s="81" t="s">
        <v>136</v>
      </c>
      <c r="D7" s="82"/>
      <c r="E7" s="86"/>
      <c r="F7" s="87"/>
      <c r="G7" s="84"/>
    </row>
    <row r="8" spans="1:7" s="69" customFormat="1" ht="27.6" x14ac:dyDescent="0.3">
      <c r="A8" s="85" t="s">
        <v>137</v>
      </c>
      <c r="B8" s="80"/>
      <c r="C8" s="81" t="s">
        <v>138</v>
      </c>
      <c r="D8" s="82"/>
      <c r="E8" s="86"/>
      <c r="F8" s="83"/>
      <c r="G8" s="88"/>
    </row>
    <row r="9" spans="1:7" s="69" customFormat="1" x14ac:dyDescent="0.3">
      <c r="A9" s="85" t="s">
        <v>139</v>
      </c>
      <c r="B9" s="80"/>
      <c r="C9" s="81" t="s">
        <v>140</v>
      </c>
      <c r="D9" s="82"/>
      <c r="E9" s="86"/>
      <c r="F9" s="83"/>
      <c r="G9" s="88"/>
    </row>
    <row r="10" spans="1:7" s="69" customFormat="1" ht="27.6" x14ac:dyDescent="0.3">
      <c r="A10" s="85" t="s">
        <v>141</v>
      </c>
      <c r="B10" s="80"/>
      <c r="C10" s="81" t="s">
        <v>142</v>
      </c>
      <c r="D10" s="82"/>
      <c r="E10" s="86"/>
      <c r="F10" s="89"/>
      <c r="G10" s="88"/>
    </row>
    <row r="11" spans="1:7" s="69" customFormat="1" ht="27.6" x14ac:dyDescent="0.3">
      <c r="A11" s="85" t="s">
        <v>143</v>
      </c>
      <c r="B11" s="80"/>
      <c r="C11" s="81" t="s">
        <v>144</v>
      </c>
      <c r="D11" s="82"/>
      <c r="E11" s="86"/>
      <c r="F11" s="83"/>
      <c r="G11" s="217" t="s">
        <v>145</v>
      </c>
    </row>
    <row r="12" spans="1:7" s="69" customFormat="1" x14ac:dyDescent="0.3">
      <c r="A12" s="85" t="s">
        <v>146</v>
      </c>
      <c r="B12" s="80"/>
      <c r="C12" s="81" t="s">
        <v>147</v>
      </c>
      <c r="D12" s="82"/>
      <c r="E12" s="86"/>
      <c r="F12" s="255"/>
      <c r="G12" s="88"/>
    </row>
    <row r="13" spans="1:7" s="69" customFormat="1" ht="56.4" x14ac:dyDescent="0.3">
      <c r="A13" s="90" t="s">
        <v>148</v>
      </c>
      <c r="B13" s="91"/>
      <c r="C13" s="92" t="s">
        <v>149</v>
      </c>
      <c r="D13" s="82"/>
      <c r="E13" s="86"/>
      <c r="F13" s="86"/>
      <c r="G13" s="88"/>
    </row>
    <row r="14" spans="1:7" s="76" customFormat="1" ht="28.8" x14ac:dyDescent="0.3">
      <c r="A14" s="90" t="s">
        <v>150</v>
      </c>
      <c r="B14" s="91"/>
      <c r="C14" s="95" t="s">
        <v>151</v>
      </c>
      <c r="D14" s="82"/>
      <c r="E14" s="86"/>
      <c r="F14" s="86"/>
      <c r="G14" s="68"/>
    </row>
    <row r="15" spans="1:7" s="69" customFormat="1" x14ac:dyDescent="0.3">
      <c r="A15" s="78" t="s">
        <v>152</v>
      </c>
      <c r="B15" s="71" t="s">
        <v>153</v>
      </c>
      <c r="C15" s="72"/>
      <c r="D15" s="82"/>
      <c r="E15" s="93"/>
      <c r="F15" s="87"/>
      <c r="G15" s="66"/>
    </row>
    <row r="16" spans="1:7" s="69" customFormat="1" ht="27.6" x14ac:dyDescent="0.3">
      <c r="A16" s="79" t="s">
        <v>154</v>
      </c>
      <c r="B16" s="80"/>
      <c r="C16" s="81" t="s">
        <v>155</v>
      </c>
      <c r="D16" s="82"/>
      <c r="E16" s="86"/>
      <c r="F16" s="83"/>
      <c r="G16" s="75"/>
    </row>
    <row r="17" spans="1:7" s="69" customFormat="1" ht="27.6" x14ac:dyDescent="0.3">
      <c r="A17" s="85" t="s">
        <v>156</v>
      </c>
      <c r="B17" s="80"/>
      <c r="C17" s="81" t="s">
        <v>157</v>
      </c>
      <c r="D17" s="82"/>
      <c r="E17" s="86"/>
      <c r="F17" s="83"/>
      <c r="G17" s="68"/>
    </row>
    <row r="18" spans="1:7" s="69" customFormat="1" ht="27.6" x14ac:dyDescent="0.3">
      <c r="A18" s="85" t="s">
        <v>158</v>
      </c>
      <c r="B18" s="80"/>
      <c r="C18" s="81" t="s">
        <v>159</v>
      </c>
      <c r="D18" s="82"/>
      <c r="E18" s="86"/>
      <c r="F18" s="83"/>
      <c r="G18" s="68"/>
    </row>
    <row r="19" spans="1:7" s="69" customFormat="1" ht="27.6" x14ac:dyDescent="0.3">
      <c r="A19" s="85" t="s">
        <v>160</v>
      </c>
      <c r="B19" s="80"/>
      <c r="C19" s="81" t="s">
        <v>161</v>
      </c>
      <c r="D19" s="82"/>
      <c r="E19" s="86"/>
      <c r="F19" s="83"/>
      <c r="G19" s="68"/>
    </row>
    <row r="20" spans="1:7" s="259" customFormat="1" ht="31.5" customHeight="1" x14ac:dyDescent="0.3">
      <c r="A20" s="136" t="s">
        <v>162</v>
      </c>
      <c r="B20" s="91"/>
      <c r="C20" s="92" t="s">
        <v>163</v>
      </c>
      <c r="D20" s="261"/>
      <c r="E20" s="93"/>
      <c r="F20" s="87"/>
      <c r="G20" s="66"/>
    </row>
    <row r="21" spans="1:7" s="69" customFormat="1" ht="14.4" x14ac:dyDescent="0.3">
      <c r="A21" s="90" t="s">
        <v>164</v>
      </c>
      <c r="B21" s="91"/>
      <c r="C21" s="95" t="s">
        <v>165</v>
      </c>
      <c r="D21" s="82"/>
      <c r="E21" s="86"/>
      <c r="F21" s="83"/>
      <c r="G21" s="68"/>
    </row>
    <row r="22" spans="1:7" s="69" customFormat="1" ht="14.4" x14ac:dyDescent="0.3">
      <c r="A22" s="90" t="s">
        <v>166</v>
      </c>
      <c r="B22" s="91"/>
      <c r="C22" s="95" t="s">
        <v>167</v>
      </c>
      <c r="D22" s="82"/>
      <c r="E22" s="86"/>
      <c r="F22" s="83"/>
      <c r="G22" s="68"/>
    </row>
    <row r="23" spans="1:7" s="69" customFormat="1" ht="14.4" x14ac:dyDescent="0.3">
      <c r="A23" s="90" t="s">
        <v>168</v>
      </c>
      <c r="B23" s="91"/>
      <c r="C23" s="95" t="s">
        <v>169</v>
      </c>
      <c r="D23" s="82"/>
      <c r="E23" s="86"/>
      <c r="F23" s="83"/>
      <c r="G23" s="68"/>
    </row>
    <row r="24" spans="1:7" s="69" customFormat="1" ht="14.4" x14ac:dyDescent="0.3">
      <c r="A24" s="90" t="s">
        <v>170</v>
      </c>
      <c r="B24" s="91"/>
      <c r="C24" s="95" t="s">
        <v>171</v>
      </c>
      <c r="D24" s="82"/>
      <c r="E24" s="86"/>
      <c r="F24" s="83"/>
      <c r="G24" s="68"/>
    </row>
    <row r="25" spans="1:7" s="69" customFormat="1" ht="14.4" x14ac:dyDescent="0.3">
      <c r="A25" s="90" t="s">
        <v>172</v>
      </c>
      <c r="B25" s="91"/>
      <c r="C25" s="95" t="s">
        <v>173</v>
      </c>
      <c r="D25" s="82"/>
      <c r="E25" s="86"/>
      <c r="F25" s="83"/>
      <c r="G25" s="68"/>
    </row>
    <row r="26" spans="1:7" s="69" customFormat="1" ht="14.4" x14ac:dyDescent="0.3">
      <c r="A26" s="90" t="s">
        <v>174</v>
      </c>
      <c r="B26" s="91"/>
      <c r="C26" s="95" t="s">
        <v>175</v>
      </c>
      <c r="D26" s="82"/>
      <c r="E26" s="86"/>
      <c r="F26" s="83"/>
      <c r="G26" s="68"/>
    </row>
    <row r="27" spans="1:7" s="69" customFormat="1" ht="14.4" x14ac:dyDescent="0.3">
      <c r="A27" s="90" t="s">
        <v>176</v>
      </c>
      <c r="B27" s="91"/>
      <c r="C27" s="95" t="s">
        <v>177</v>
      </c>
      <c r="D27" s="82"/>
      <c r="E27" s="86"/>
      <c r="F27" s="83"/>
      <c r="G27" s="68"/>
    </row>
    <row r="28" spans="1:7" s="69" customFormat="1" ht="14.4" x14ac:dyDescent="0.3">
      <c r="A28" s="90" t="s">
        <v>178</v>
      </c>
      <c r="B28" s="91"/>
      <c r="C28" s="95" t="s">
        <v>179</v>
      </c>
      <c r="D28" s="82"/>
      <c r="E28" s="86"/>
      <c r="F28" s="89"/>
      <c r="G28" s="68"/>
    </row>
    <row r="29" spans="1:7" s="69" customFormat="1" x14ac:dyDescent="0.3">
      <c r="A29" s="78" t="s">
        <v>180</v>
      </c>
      <c r="B29" s="71" t="s">
        <v>181</v>
      </c>
      <c r="C29" s="71"/>
      <c r="D29" s="96"/>
      <c r="E29" s="96"/>
      <c r="F29" s="96"/>
      <c r="G29" s="96"/>
    </row>
    <row r="30" spans="1:7" s="69" customFormat="1" ht="42" x14ac:dyDescent="0.3">
      <c r="A30" s="97" t="s">
        <v>182</v>
      </c>
      <c r="B30" s="91"/>
      <c r="C30" s="92" t="s">
        <v>183</v>
      </c>
      <c r="D30" s="86"/>
      <c r="E30" s="86"/>
      <c r="F30" s="94"/>
      <c r="G30" s="68"/>
    </row>
    <row r="31" spans="1:7" s="69" customFormat="1" ht="14.4" x14ac:dyDescent="0.3">
      <c r="A31" s="90" t="s">
        <v>184</v>
      </c>
      <c r="B31" s="91"/>
      <c r="C31" s="95" t="s">
        <v>185</v>
      </c>
      <c r="D31" s="86"/>
      <c r="E31" s="86"/>
      <c r="F31" s="83"/>
      <c r="G31" s="68"/>
    </row>
    <row r="32" spans="1:7" s="69" customFormat="1" ht="18" customHeight="1" x14ac:dyDescent="0.3">
      <c r="A32" s="90" t="s">
        <v>186</v>
      </c>
      <c r="B32" s="91"/>
      <c r="C32" s="95" t="s">
        <v>187</v>
      </c>
      <c r="D32" s="86"/>
      <c r="E32" s="86"/>
      <c r="F32" s="89"/>
      <c r="G32" s="68"/>
    </row>
    <row r="33" spans="1:7" s="69" customFormat="1" ht="42" x14ac:dyDescent="0.3">
      <c r="A33" s="90" t="s">
        <v>188</v>
      </c>
      <c r="B33" s="91"/>
      <c r="C33" s="92" t="s">
        <v>189</v>
      </c>
      <c r="D33" s="86"/>
      <c r="E33" s="86"/>
      <c r="F33" s="83"/>
      <c r="G33" s="68"/>
    </row>
    <row r="34" spans="1:7" s="69" customFormat="1" ht="14.4" x14ac:dyDescent="0.3">
      <c r="A34" s="90" t="s">
        <v>190</v>
      </c>
      <c r="B34" s="91"/>
      <c r="C34" s="95" t="s">
        <v>191</v>
      </c>
      <c r="D34" s="86"/>
      <c r="E34" s="86"/>
      <c r="F34" s="83"/>
      <c r="G34" s="68"/>
    </row>
    <row r="35" spans="1:7" s="69" customFormat="1" ht="14.4" x14ac:dyDescent="0.3">
      <c r="A35" s="90" t="s">
        <v>192</v>
      </c>
      <c r="B35" s="91"/>
      <c r="C35" s="95" t="s">
        <v>193</v>
      </c>
      <c r="D35" s="86"/>
      <c r="E35" s="86"/>
      <c r="F35" s="94"/>
      <c r="G35" s="68"/>
    </row>
    <row r="36" spans="1:7" s="69" customFormat="1" ht="14.4" x14ac:dyDescent="0.3">
      <c r="A36" s="90" t="s">
        <v>194</v>
      </c>
      <c r="B36" s="91"/>
      <c r="C36" s="95" t="s">
        <v>195</v>
      </c>
      <c r="D36" s="86"/>
      <c r="E36" s="86"/>
      <c r="F36" s="83"/>
      <c r="G36" s="68"/>
    </row>
    <row r="37" spans="1:7" s="69" customFormat="1" ht="14.4" x14ac:dyDescent="0.3">
      <c r="A37" s="90" t="s">
        <v>196</v>
      </c>
      <c r="B37" s="91"/>
      <c r="C37" s="95" t="s">
        <v>173</v>
      </c>
      <c r="D37" s="86"/>
      <c r="E37" s="86"/>
      <c r="F37" s="83"/>
      <c r="G37" s="68"/>
    </row>
    <row r="38" spans="1:7" s="69" customFormat="1" ht="14.4" x14ac:dyDescent="0.3">
      <c r="A38" s="90" t="s">
        <v>197</v>
      </c>
      <c r="B38" s="91"/>
      <c r="C38" s="95" t="s">
        <v>175</v>
      </c>
      <c r="D38" s="86"/>
      <c r="E38" s="86"/>
      <c r="F38" s="83"/>
      <c r="G38" s="68"/>
    </row>
    <row r="39" spans="1:7" s="69" customFormat="1" ht="14.4" x14ac:dyDescent="0.3">
      <c r="A39" s="90" t="s">
        <v>198</v>
      </c>
      <c r="B39" s="91"/>
      <c r="C39" s="95" t="s">
        <v>199</v>
      </c>
      <c r="D39" s="86"/>
      <c r="E39" s="86"/>
      <c r="F39" s="83"/>
      <c r="G39" s="68"/>
    </row>
    <row r="40" spans="1:7" s="69" customFormat="1" ht="14.4" x14ac:dyDescent="0.3">
      <c r="A40" s="90" t="s">
        <v>200</v>
      </c>
      <c r="B40" s="91"/>
      <c r="C40" s="95" t="s">
        <v>179</v>
      </c>
      <c r="D40" s="86"/>
      <c r="E40" s="86"/>
      <c r="F40" s="89"/>
      <c r="G40" s="68"/>
    </row>
    <row r="41" spans="1:7" s="69" customFormat="1" ht="27.6" x14ac:dyDescent="0.3">
      <c r="A41" s="98" t="s">
        <v>201</v>
      </c>
      <c r="B41" s="80"/>
      <c r="C41" s="81" t="s">
        <v>202</v>
      </c>
      <c r="D41" s="86"/>
      <c r="E41" s="86"/>
      <c r="F41" s="83"/>
      <c r="G41" s="68"/>
    </row>
    <row r="42" spans="1:7" s="69" customFormat="1" ht="15" customHeight="1" x14ac:dyDescent="0.3">
      <c r="A42" s="78" t="s">
        <v>203</v>
      </c>
      <c r="B42" s="321" t="s">
        <v>204</v>
      </c>
      <c r="C42" s="321"/>
      <c r="D42" s="68"/>
      <c r="E42" s="68"/>
      <c r="F42" s="68"/>
      <c r="G42" s="99"/>
    </row>
    <row r="43" spans="1:7" s="69" customFormat="1" ht="64.8" x14ac:dyDescent="0.3">
      <c r="A43" s="100" t="s">
        <v>205</v>
      </c>
      <c r="B43" s="91"/>
      <c r="C43" s="92" t="s">
        <v>206</v>
      </c>
      <c r="D43" s="86"/>
      <c r="E43" s="86"/>
      <c r="F43" s="101"/>
      <c r="G43" s="217" t="s">
        <v>207</v>
      </c>
    </row>
    <row r="44" spans="1:7" s="69" customFormat="1" ht="15" customHeight="1" x14ac:dyDescent="0.3">
      <c r="A44" s="97" t="s">
        <v>208</v>
      </c>
      <c r="B44" s="91"/>
      <c r="C44" s="95" t="s">
        <v>209</v>
      </c>
      <c r="D44" s="86"/>
      <c r="E44" s="86"/>
      <c r="F44" s="101"/>
      <c r="G44" s="75"/>
    </row>
    <row r="45" spans="1:7" s="69" customFormat="1" ht="15" customHeight="1" x14ac:dyDescent="0.3">
      <c r="A45" s="97" t="s">
        <v>210</v>
      </c>
      <c r="B45" s="91"/>
      <c r="C45" s="95" t="s">
        <v>211</v>
      </c>
      <c r="D45" s="86"/>
      <c r="E45" s="86"/>
      <c r="F45" s="101"/>
      <c r="G45" s="75"/>
    </row>
    <row r="46" spans="1:7" s="69" customFormat="1" ht="15" customHeight="1" x14ac:dyDescent="0.3">
      <c r="A46" s="97" t="s">
        <v>212</v>
      </c>
      <c r="B46" s="91"/>
      <c r="C46" s="95" t="s">
        <v>213</v>
      </c>
      <c r="D46" s="86"/>
      <c r="E46" s="86"/>
      <c r="F46" s="101"/>
      <c r="G46" s="75"/>
    </row>
    <row r="47" spans="1:7" s="69" customFormat="1" ht="15" customHeight="1" x14ac:dyDescent="0.3">
      <c r="A47" s="97" t="s">
        <v>214</v>
      </c>
      <c r="B47" s="91"/>
      <c r="C47" s="95" t="s">
        <v>215</v>
      </c>
      <c r="D47" s="86"/>
      <c r="E47" s="86"/>
      <c r="F47" s="101"/>
      <c r="G47" s="75"/>
    </row>
    <row r="48" spans="1:7" s="69" customFormat="1" ht="17.399999999999999" x14ac:dyDescent="0.3">
      <c r="A48" s="97" t="s">
        <v>216</v>
      </c>
      <c r="B48" s="91"/>
      <c r="C48" s="95" t="s">
        <v>217</v>
      </c>
      <c r="D48" s="86"/>
      <c r="E48" s="86"/>
      <c r="F48" s="102"/>
      <c r="G48" s="75"/>
    </row>
    <row r="49" spans="1:7" s="69" customFormat="1" ht="45.75" customHeight="1" x14ac:dyDescent="0.3">
      <c r="A49" s="100" t="s">
        <v>218</v>
      </c>
      <c r="B49" s="91"/>
      <c r="C49" s="92" t="s">
        <v>219</v>
      </c>
      <c r="D49" s="86"/>
      <c r="E49" s="86"/>
      <c r="F49" s="103"/>
      <c r="G49" s="75"/>
    </row>
    <row r="50" spans="1:7" s="69" customFormat="1" ht="15" customHeight="1" x14ac:dyDescent="0.3">
      <c r="A50" s="97" t="s">
        <v>220</v>
      </c>
      <c r="B50" s="91"/>
      <c r="C50" s="95" t="s">
        <v>221</v>
      </c>
      <c r="D50" s="86"/>
      <c r="E50" s="86"/>
      <c r="F50" s="101"/>
      <c r="G50" s="75"/>
    </row>
    <row r="51" spans="1:7" s="69" customFormat="1" ht="15" customHeight="1" x14ac:dyDescent="0.3">
      <c r="A51" s="97" t="s">
        <v>222</v>
      </c>
      <c r="B51" s="91"/>
      <c r="C51" s="95" t="s">
        <v>211</v>
      </c>
      <c r="D51" s="86"/>
      <c r="E51" s="86"/>
      <c r="F51" s="101"/>
      <c r="G51" s="75"/>
    </row>
    <row r="52" spans="1:7" s="69" customFormat="1" ht="17.399999999999999" x14ac:dyDescent="0.3">
      <c r="A52" s="97" t="s">
        <v>223</v>
      </c>
      <c r="B52" s="91"/>
      <c r="C52" s="95" t="s">
        <v>217</v>
      </c>
      <c r="D52" s="86"/>
      <c r="E52" s="86"/>
      <c r="F52" s="102"/>
      <c r="G52" s="75"/>
    </row>
    <row r="53" spans="1:7" s="69" customFormat="1" ht="27.6" x14ac:dyDescent="0.3">
      <c r="A53" s="98" t="s">
        <v>224</v>
      </c>
      <c r="B53" s="80"/>
      <c r="C53" s="81" t="s">
        <v>225</v>
      </c>
      <c r="D53" s="86"/>
      <c r="E53" s="86"/>
      <c r="F53" s="83"/>
      <c r="G53" s="104"/>
    </row>
    <row r="54" spans="1:7" s="69" customFormat="1" ht="27.6" x14ac:dyDescent="0.3">
      <c r="A54" s="79" t="s">
        <v>226</v>
      </c>
      <c r="B54" s="80"/>
      <c r="C54" s="81" t="s">
        <v>227</v>
      </c>
      <c r="D54" s="86"/>
      <c r="E54" s="86"/>
      <c r="F54" s="83"/>
      <c r="G54" s="68"/>
    </row>
    <row r="55" spans="1:7" s="69" customFormat="1" ht="31.5" customHeight="1" x14ac:dyDescent="0.3">
      <c r="A55" s="98" t="s">
        <v>228</v>
      </c>
      <c r="B55" s="80"/>
      <c r="C55" s="81" t="s">
        <v>229</v>
      </c>
      <c r="D55" s="86"/>
      <c r="E55" s="86"/>
      <c r="F55" s="89"/>
      <c r="G55" s="68"/>
    </row>
    <row r="56" spans="1:7" s="69" customFormat="1" x14ac:dyDescent="0.3">
      <c r="A56" s="98" t="s">
        <v>230</v>
      </c>
      <c r="B56" s="295" t="s">
        <v>231</v>
      </c>
      <c r="C56" s="295"/>
      <c r="D56" s="68"/>
      <c r="E56" s="68"/>
      <c r="F56" s="68"/>
      <c r="G56" s="68"/>
    </row>
    <row r="57" spans="1:7" s="69" customFormat="1" ht="17.399999999999999" x14ac:dyDescent="0.3">
      <c r="A57" s="98" t="s">
        <v>232</v>
      </c>
      <c r="B57" s="80"/>
      <c r="C57" s="81" t="s">
        <v>233</v>
      </c>
      <c r="D57" s="86"/>
      <c r="E57" s="86"/>
      <c r="F57" s="83"/>
      <c r="G57" s="75"/>
    </row>
    <row r="58" spans="1:7" s="69" customFormat="1" ht="27.6" x14ac:dyDescent="0.3">
      <c r="A58" s="85" t="s">
        <v>234</v>
      </c>
      <c r="B58" s="80"/>
      <c r="C58" s="81" t="s">
        <v>235</v>
      </c>
      <c r="D58" s="86"/>
      <c r="E58" s="86"/>
      <c r="F58" s="83"/>
      <c r="G58" s="68"/>
    </row>
    <row r="59" spans="1:7" s="69" customFormat="1" ht="27.6" x14ac:dyDescent="0.3">
      <c r="A59" s="85" t="s">
        <v>236</v>
      </c>
      <c r="B59" s="80"/>
      <c r="C59" s="285" t="s">
        <v>237</v>
      </c>
      <c r="D59" s="86"/>
      <c r="E59" s="86"/>
      <c r="F59" s="83"/>
      <c r="G59" s="68"/>
    </row>
    <row r="60" spans="1:7" s="69" customFormat="1" ht="42" x14ac:dyDescent="0.3">
      <c r="A60" s="98" t="s">
        <v>238</v>
      </c>
      <c r="B60" s="80"/>
      <c r="C60" s="81" t="s">
        <v>239</v>
      </c>
      <c r="D60" s="86"/>
      <c r="E60" s="86"/>
      <c r="F60" s="94"/>
      <c r="G60" s="68"/>
    </row>
    <row r="61" spans="1:7" s="69" customFormat="1" ht="14.4" x14ac:dyDescent="0.3">
      <c r="A61" s="79" t="s">
        <v>240</v>
      </c>
      <c r="B61" s="80"/>
      <c r="C61" s="181" t="s">
        <v>241</v>
      </c>
      <c r="D61" s="86"/>
      <c r="E61" s="86"/>
      <c r="F61" s="83"/>
      <c r="G61" s="68"/>
    </row>
    <row r="62" spans="1:7" s="69" customFormat="1" ht="41.4" x14ac:dyDescent="0.3">
      <c r="A62" s="98" t="s">
        <v>242</v>
      </c>
      <c r="B62" s="80"/>
      <c r="C62" s="81" t="s">
        <v>243</v>
      </c>
      <c r="D62" s="86"/>
      <c r="E62" s="86"/>
      <c r="F62" s="89"/>
      <c r="G62" s="68"/>
    </row>
    <row r="63" spans="1:7" s="69" customFormat="1" ht="41.4" x14ac:dyDescent="0.3">
      <c r="A63" s="85" t="s">
        <v>244</v>
      </c>
      <c r="B63" s="80"/>
      <c r="C63" s="285" t="s">
        <v>245</v>
      </c>
      <c r="D63" s="86"/>
      <c r="E63" s="86"/>
      <c r="F63" s="89"/>
      <c r="G63" s="75"/>
    </row>
    <row r="64" spans="1:7" s="69" customFormat="1" ht="14.4" thickBot="1" x14ac:dyDescent="0.35">
      <c r="A64" s="105"/>
      <c r="B64" s="106"/>
      <c r="C64" s="107"/>
      <c r="F64" s="108"/>
      <c r="G64" s="106"/>
    </row>
    <row r="65" spans="1:7" s="69" customFormat="1" ht="17.399999999999999" x14ac:dyDescent="0.3">
      <c r="A65" s="109" t="s">
        <v>246</v>
      </c>
      <c r="B65" s="110" t="s">
        <v>247</v>
      </c>
      <c r="C65" s="111"/>
      <c r="D65" s="112"/>
      <c r="E65" s="112"/>
      <c r="F65" s="112"/>
      <c r="G65" s="113"/>
    </row>
    <row r="66" spans="1:7" s="69" customFormat="1" ht="17.399999999999999" x14ac:dyDescent="0.3">
      <c r="A66" s="73"/>
      <c r="B66" s="191" t="s">
        <v>248</v>
      </c>
      <c r="C66" s="77"/>
      <c r="D66" s="315"/>
      <c r="E66" s="315"/>
      <c r="F66" s="315"/>
      <c r="G66" s="74"/>
    </row>
    <row r="67" spans="1:7" s="69" customFormat="1" x14ac:dyDescent="0.3">
      <c r="A67" s="78" t="s">
        <v>249</v>
      </c>
      <c r="B67" s="71" t="s">
        <v>250</v>
      </c>
      <c r="C67" s="71"/>
      <c r="D67" s="67"/>
      <c r="E67" s="67"/>
      <c r="F67" s="114"/>
      <c r="G67" s="71"/>
    </row>
    <row r="68" spans="1:7" s="69" customFormat="1" x14ac:dyDescent="0.3">
      <c r="A68" s="79" t="s">
        <v>251</v>
      </c>
      <c r="B68" s="71"/>
      <c r="C68" s="71" t="s">
        <v>252</v>
      </c>
      <c r="D68" s="67"/>
      <c r="E68" s="67"/>
      <c r="F68" s="114"/>
      <c r="G68" s="71"/>
    </row>
    <row r="69" spans="1:7" s="69" customFormat="1" ht="33" customHeight="1" x14ac:dyDescent="0.3">
      <c r="A69" s="97" t="s">
        <v>253</v>
      </c>
      <c r="B69" s="115"/>
      <c r="C69" s="92" t="s">
        <v>254</v>
      </c>
      <c r="D69" s="116"/>
      <c r="E69" s="116"/>
      <c r="F69" s="117"/>
      <c r="G69" s="77" t="s">
        <v>255</v>
      </c>
    </row>
    <row r="70" spans="1:7" s="69" customFormat="1" ht="14.4" x14ac:dyDescent="0.3">
      <c r="A70" s="97" t="s">
        <v>256</v>
      </c>
      <c r="B70" s="115"/>
      <c r="C70" s="92" t="s">
        <v>257</v>
      </c>
      <c r="D70" s="116"/>
      <c r="E70" s="116"/>
      <c r="F70" s="117"/>
      <c r="G70" s="71"/>
    </row>
    <row r="71" spans="1:7" s="69" customFormat="1" ht="14.4" x14ac:dyDescent="0.3">
      <c r="A71" s="97" t="s">
        <v>258</v>
      </c>
      <c r="B71" s="115"/>
      <c r="C71" s="92" t="s">
        <v>259</v>
      </c>
      <c r="D71" s="116"/>
      <c r="E71" s="116"/>
      <c r="F71" s="117"/>
      <c r="G71" s="71"/>
    </row>
    <row r="72" spans="1:7" s="69" customFormat="1" ht="14.4" x14ac:dyDescent="0.3">
      <c r="A72" s="97" t="s">
        <v>260</v>
      </c>
      <c r="B72" s="115"/>
      <c r="C72" s="95" t="s">
        <v>261</v>
      </c>
      <c r="D72" s="116"/>
      <c r="E72" s="116"/>
      <c r="F72" s="117"/>
      <c r="G72" s="71"/>
    </row>
    <row r="73" spans="1:7" s="69" customFormat="1" ht="14.4" x14ac:dyDescent="0.3">
      <c r="A73" s="97" t="s">
        <v>262</v>
      </c>
      <c r="B73" s="115"/>
      <c r="C73" s="95" t="s">
        <v>263</v>
      </c>
      <c r="D73" s="116"/>
      <c r="E73" s="116"/>
      <c r="F73" s="117"/>
      <c r="G73" s="71"/>
    </row>
    <row r="74" spans="1:7" s="69" customFormat="1" ht="14.4" x14ac:dyDescent="0.3">
      <c r="A74" s="97" t="s">
        <v>264</v>
      </c>
      <c r="B74" s="115"/>
      <c r="C74" s="92" t="s">
        <v>265</v>
      </c>
      <c r="D74" s="116"/>
      <c r="E74" s="116"/>
      <c r="F74" s="118"/>
      <c r="G74" s="71"/>
    </row>
    <row r="75" spans="1:7" s="69" customFormat="1" x14ac:dyDescent="0.3">
      <c r="A75" s="79" t="s">
        <v>266</v>
      </c>
      <c r="B75" s="80"/>
      <c r="C75" s="71" t="s">
        <v>267</v>
      </c>
      <c r="D75" s="119"/>
      <c r="E75" s="119"/>
      <c r="F75" s="120"/>
      <c r="G75" s="121"/>
    </row>
    <row r="76" spans="1:7" s="69" customFormat="1" ht="27.6" x14ac:dyDescent="0.3">
      <c r="A76" s="79" t="s">
        <v>268</v>
      </c>
      <c r="B76" s="80"/>
      <c r="C76" s="81" t="s">
        <v>269</v>
      </c>
      <c r="D76" s="122"/>
      <c r="E76" s="122"/>
      <c r="F76" s="83"/>
      <c r="G76" s="80"/>
    </row>
    <row r="77" spans="1:7" s="69" customFormat="1" ht="33.75" customHeight="1" x14ac:dyDescent="0.3">
      <c r="A77" s="97" t="s">
        <v>270</v>
      </c>
      <c r="B77" s="91"/>
      <c r="C77" s="92" t="s">
        <v>271</v>
      </c>
      <c r="D77" s="122"/>
      <c r="E77" s="122"/>
      <c r="F77" s="83"/>
      <c r="G77" s="218" t="s">
        <v>272</v>
      </c>
    </row>
    <row r="78" spans="1:7" s="69" customFormat="1" ht="14.4" x14ac:dyDescent="0.3">
      <c r="A78" s="97" t="s">
        <v>273</v>
      </c>
      <c r="B78" s="91"/>
      <c r="C78" s="95" t="s">
        <v>274</v>
      </c>
      <c r="D78" s="122"/>
      <c r="E78" s="122"/>
      <c r="F78" s="83"/>
      <c r="G78" s="121"/>
    </row>
    <row r="79" spans="1:7" s="69" customFormat="1" ht="14.4" x14ac:dyDescent="0.3">
      <c r="A79" s="97" t="s">
        <v>275</v>
      </c>
      <c r="B79" s="91"/>
      <c r="C79" s="95" t="s">
        <v>276</v>
      </c>
      <c r="D79" s="86"/>
      <c r="E79" s="86"/>
      <c r="F79" s="83"/>
      <c r="G79" s="121"/>
    </row>
    <row r="80" spans="1:7" s="69" customFormat="1" ht="15.6" x14ac:dyDescent="0.3">
      <c r="A80" s="97" t="s">
        <v>277</v>
      </c>
      <c r="B80" s="91"/>
      <c r="C80" s="92" t="s">
        <v>278</v>
      </c>
      <c r="D80" s="122"/>
      <c r="E80" s="122"/>
      <c r="F80" s="83"/>
      <c r="G80" s="218" t="s">
        <v>279</v>
      </c>
    </row>
    <row r="81" spans="1:7" s="69" customFormat="1" ht="14.4" x14ac:dyDescent="0.3">
      <c r="A81" s="97" t="s">
        <v>280</v>
      </c>
      <c r="B81" s="91"/>
      <c r="C81" s="95" t="s">
        <v>281</v>
      </c>
      <c r="D81" s="122"/>
      <c r="E81" s="122"/>
      <c r="F81" s="83"/>
      <c r="G81" s="121"/>
    </row>
    <row r="82" spans="1:7" s="69" customFormat="1" ht="14.4" x14ac:dyDescent="0.3">
      <c r="A82" s="97" t="s">
        <v>282</v>
      </c>
      <c r="B82" s="91"/>
      <c r="C82" s="95" t="s">
        <v>283</v>
      </c>
      <c r="D82" s="122"/>
      <c r="E82" s="122"/>
      <c r="F82" s="83"/>
      <c r="G82" s="121"/>
    </row>
    <row r="83" spans="1:7" s="69" customFormat="1" ht="14.4" x14ac:dyDescent="0.3">
      <c r="A83" s="97" t="s">
        <v>284</v>
      </c>
      <c r="B83" s="91"/>
      <c r="C83" s="95" t="s">
        <v>285</v>
      </c>
      <c r="D83" s="122"/>
      <c r="E83" s="122"/>
      <c r="F83" s="83"/>
      <c r="G83" s="121"/>
    </row>
    <row r="84" spans="1:7" s="69" customFormat="1" ht="14.4" x14ac:dyDescent="0.3">
      <c r="A84" s="97" t="s">
        <v>286</v>
      </c>
      <c r="B84" s="91"/>
      <c r="C84" s="92" t="s">
        <v>265</v>
      </c>
      <c r="D84" s="122"/>
      <c r="E84" s="122"/>
      <c r="F84" s="89"/>
      <c r="G84" s="80"/>
    </row>
    <row r="85" spans="1:7" s="69" customFormat="1" ht="45.75" customHeight="1" x14ac:dyDescent="0.3">
      <c r="A85" s="100" t="s">
        <v>287</v>
      </c>
      <c r="B85" s="91"/>
      <c r="C85" s="92" t="s">
        <v>288</v>
      </c>
      <c r="D85" s="86"/>
      <c r="E85" s="86"/>
      <c r="F85" s="83"/>
      <c r="G85" s="80"/>
    </row>
    <row r="86" spans="1:7" s="69" customFormat="1" ht="15" customHeight="1" x14ac:dyDescent="0.3">
      <c r="A86" s="100" t="s">
        <v>289</v>
      </c>
      <c r="B86" s="91"/>
      <c r="C86" s="95" t="s">
        <v>274</v>
      </c>
      <c r="D86" s="86"/>
      <c r="E86" s="86"/>
      <c r="F86" s="83"/>
      <c r="G86" s="219" t="s">
        <v>290</v>
      </c>
    </row>
    <row r="87" spans="1:7" s="69" customFormat="1" ht="15" customHeight="1" x14ac:dyDescent="0.3">
      <c r="A87" s="100" t="s">
        <v>291</v>
      </c>
      <c r="B87" s="91"/>
      <c r="C87" s="95" t="s">
        <v>276</v>
      </c>
      <c r="D87" s="86"/>
      <c r="E87" s="86"/>
      <c r="F87" s="83"/>
      <c r="G87" s="123"/>
    </row>
    <row r="88" spans="1:7" s="69" customFormat="1" ht="15" customHeight="1" x14ac:dyDescent="0.3">
      <c r="A88" s="100" t="s">
        <v>292</v>
      </c>
      <c r="B88" s="91"/>
      <c r="C88" s="95" t="s">
        <v>293</v>
      </c>
      <c r="D88" s="86"/>
      <c r="E88" s="86"/>
      <c r="F88" s="83"/>
      <c r="G88" s="123"/>
    </row>
    <row r="89" spans="1:7" s="69" customFormat="1" ht="15" customHeight="1" x14ac:dyDescent="0.3">
      <c r="A89" s="100" t="s">
        <v>294</v>
      </c>
      <c r="B89" s="91"/>
      <c r="C89" s="95" t="s">
        <v>281</v>
      </c>
      <c r="D89" s="86"/>
      <c r="E89" s="86"/>
      <c r="F89" s="83"/>
      <c r="G89" s="123"/>
    </row>
    <row r="90" spans="1:7" s="69" customFormat="1" ht="15" customHeight="1" x14ac:dyDescent="0.3">
      <c r="A90" s="100" t="s">
        <v>295</v>
      </c>
      <c r="B90" s="91"/>
      <c r="C90" s="95" t="s">
        <v>283</v>
      </c>
      <c r="D90" s="86"/>
      <c r="E90" s="86"/>
      <c r="F90" s="83"/>
      <c r="G90" s="123"/>
    </row>
    <row r="91" spans="1:7" s="69" customFormat="1" ht="15" customHeight="1" x14ac:dyDescent="0.3">
      <c r="A91" s="100" t="s">
        <v>296</v>
      </c>
      <c r="B91" s="91"/>
      <c r="C91" s="95" t="s">
        <v>285</v>
      </c>
      <c r="D91" s="86"/>
      <c r="E91" s="86"/>
      <c r="F91" s="83"/>
      <c r="G91" s="123"/>
    </row>
    <row r="92" spans="1:7" s="69" customFormat="1" ht="17.399999999999999" x14ac:dyDescent="0.3">
      <c r="A92" s="100" t="s">
        <v>297</v>
      </c>
      <c r="B92" s="91"/>
      <c r="C92" s="92" t="s">
        <v>298</v>
      </c>
      <c r="D92" s="86"/>
      <c r="E92" s="86"/>
      <c r="F92" s="89"/>
      <c r="G92" s="123"/>
    </row>
    <row r="93" spans="1:7" s="69" customFormat="1" x14ac:dyDescent="0.3">
      <c r="A93" s="98" t="s">
        <v>299</v>
      </c>
      <c r="B93" s="80"/>
      <c r="C93" s="71" t="s">
        <v>300</v>
      </c>
      <c r="D93" s="68"/>
      <c r="E93" s="68"/>
      <c r="F93" s="124"/>
      <c r="G93" s="80"/>
    </row>
    <row r="94" spans="1:7" s="69" customFormat="1" ht="42" x14ac:dyDescent="0.3">
      <c r="A94" s="100" t="s">
        <v>301</v>
      </c>
      <c r="B94" s="91"/>
      <c r="C94" s="92" t="s">
        <v>302</v>
      </c>
      <c r="D94" s="86"/>
      <c r="E94" s="86"/>
      <c r="F94" s="83"/>
      <c r="G94" s="80"/>
    </row>
    <row r="95" spans="1:7" s="69" customFormat="1" ht="14.4" x14ac:dyDescent="0.3">
      <c r="A95" s="100" t="s">
        <v>303</v>
      </c>
      <c r="B95" s="91"/>
      <c r="C95" s="95" t="s">
        <v>304</v>
      </c>
      <c r="D95" s="86"/>
      <c r="E95" s="86"/>
      <c r="F95" s="83"/>
      <c r="G95" s="80"/>
    </row>
    <row r="96" spans="1:7" s="69" customFormat="1" ht="14.4" x14ac:dyDescent="0.3">
      <c r="A96" s="100" t="s">
        <v>305</v>
      </c>
      <c r="B96" s="91"/>
      <c r="C96" s="95" t="s">
        <v>306</v>
      </c>
      <c r="D96" s="86"/>
      <c r="E96" s="86"/>
      <c r="F96" s="83"/>
      <c r="G96" s="80"/>
    </row>
    <row r="97" spans="1:8" s="69" customFormat="1" ht="14.4" x14ac:dyDescent="0.3">
      <c r="A97" s="100" t="s">
        <v>307</v>
      </c>
      <c r="B97" s="91"/>
      <c r="C97" s="95" t="s">
        <v>308</v>
      </c>
      <c r="D97" s="86"/>
      <c r="E97" s="86"/>
      <c r="F97" s="89"/>
      <c r="G97" s="80"/>
    </row>
    <row r="98" spans="1:8" s="69" customFormat="1" ht="27.6" x14ac:dyDescent="0.3">
      <c r="A98" s="98" t="s">
        <v>309</v>
      </c>
      <c r="B98" s="80"/>
      <c r="C98" s="81" t="s">
        <v>310</v>
      </c>
      <c r="D98" s="86"/>
      <c r="E98" s="86"/>
      <c r="F98" s="83"/>
      <c r="G98" s="80"/>
      <c r="H98" s="142"/>
    </row>
    <row r="99" spans="1:8" s="69" customFormat="1" ht="27.6" x14ac:dyDescent="0.3">
      <c r="A99" s="98" t="s">
        <v>311</v>
      </c>
      <c r="B99" s="80"/>
      <c r="C99" s="81" t="s">
        <v>312</v>
      </c>
      <c r="D99" s="86"/>
      <c r="E99" s="86"/>
      <c r="F99" s="83"/>
      <c r="G99" s="80"/>
      <c r="H99" s="142"/>
    </row>
    <row r="100" spans="1:8" s="69" customFormat="1" ht="16.2" customHeight="1" x14ac:dyDescent="0.3">
      <c r="A100" s="98" t="s">
        <v>313</v>
      </c>
      <c r="B100" s="80"/>
      <c r="C100" s="81" t="s">
        <v>314</v>
      </c>
      <c r="D100" s="86"/>
      <c r="E100" s="86"/>
      <c r="F100" s="83"/>
      <c r="G100" s="80"/>
    </row>
    <row r="101" spans="1:8" s="69" customFormat="1" x14ac:dyDescent="0.3">
      <c r="A101" s="98" t="s">
        <v>315</v>
      </c>
      <c r="B101" s="80"/>
      <c r="C101" s="81" t="s">
        <v>316</v>
      </c>
      <c r="D101" s="86"/>
      <c r="E101" s="86"/>
      <c r="F101" s="83"/>
      <c r="G101" s="80"/>
    </row>
    <row r="102" spans="1:8" s="69" customFormat="1" ht="27.6" x14ac:dyDescent="0.3">
      <c r="A102" s="98" t="s">
        <v>317</v>
      </c>
      <c r="B102" s="80"/>
      <c r="C102" s="81" t="s">
        <v>318</v>
      </c>
      <c r="D102" s="86"/>
      <c r="E102" s="86"/>
      <c r="F102" s="83"/>
      <c r="G102" s="80"/>
    </row>
    <row r="103" spans="1:8" s="69" customFormat="1" ht="17.25" customHeight="1" x14ac:dyDescent="0.3">
      <c r="A103" s="98" t="s">
        <v>319</v>
      </c>
      <c r="B103" s="80"/>
      <c r="C103" s="81" t="s">
        <v>320</v>
      </c>
      <c r="D103" s="86"/>
      <c r="E103" s="86"/>
      <c r="F103" s="83"/>
      <c r="G103" s="80"/>
    </row>
    <row r="104" spans="1:8" s="69" customFormat="1" ht="27.6" x14ac:dyDescent="0.3">
      <c r="A104" s="98" t="s">
        <v>321</v>
      </c>
      <c r="B104" s="80"/>
      <c r="C104" s="81" t="s">
        <v>322</v>
      </c>
      <c r="D104" s="86"/>
      <c r="E104" s="86"/>
      <c r="F104" s="83"/>
      <c r="G104" s="220" t="s">
        <v>323</v>
      </c>
    </row>
    <row r="105" spans="1:8" s="69" customFormat="1" x14ac:dyDescent="0.3">
      <c r="A105" s="98" t="s">
        <v>324</v>
      </c>
      <c r="B105" s="80"/>
      <c r="C105" s="72" t="s">
        <v>325</v>
      </c>
      <c r="D105" s="68"/>
      <c r="E105" s="68"/>
      <c r="F105" s="124"/>
      <c r="G105" s="80"/>
    </row>
    <row r="106" spans="1:8" s="69" customFormat="1" ht="27.6" x14ac:dyDescent="0.3">
      <c r="A106" s="98" t="s">
        <v>326</v>
      </c>
      <c r="B106" s="80"/>
      <c r="C106" s="81" t="s">
        <v>327</v>
      </c>
      <c r="D106" s="86"/>
      <c r="E106" s="86"/>
      <c r="F106" s="83"/>
      <c r="G106" s="316" t="s">
        <v>328</v>
      </c>
    </row>
    <row r="107" spans="1:8" s="69" customFormat="1" ht="41.4" x14ac:dyDescent="0.3">
      <c r="A107" s="98" t="s">
        <v>329</v>
      </c>
      <c r="B107" s="80"/>
      <c r="C107" s="81" t="s">
        <v>330</v>
      </c>
      <c r="D107" s="86"/>
      <c r="E107" s="86"/>
      <c r="F107" s="89"/>
      <c r="G107" s="317"/>
    </row>
    <row r="108" spans="1:8" s="69" customFormat="1" x14ac:dyDescent="0.3">
      <c r="A108" s="125" t="s">
        <v>331</v>
      </c>
      <c r="B108" s="71" t="s">
        <v>50</v>
      </c>
      <c r="C108" s="81"/>
      <c r="D108" s="68"/>
      <c r="E108" s="68"/>
      <c r="F108" s="124"/>
      <c r="G108" s="80"/>
    </row>
    <row r="109" spans="1:8" s="69" customFormat="1" x14ac:dyDescent="0.3">
      <c r="A109" s="98" t="s">
        <v>332</v>
      </c>
      <c r="B109" s="80"/>
      <c r="C109" s="72" t="s">
        <v>333</v>
      </c>
      <c r="D109" s="68"/>
      <c r="E109" s="68"/>
      <c r="F109" s="124"/>
      <c r="G109" s="80"/>
    </row>
    <row r="110" spans="1:8" s="69" customFormat="1" ht="27.6" x14ac:dyDescent="0.3">
      <c r="A110" s="98" t="s">
        <v>334</v>
      </c>
      <c r="B110" s="80"/>
      <c r="C110" s="81" t="s">
        <v>335</v>
      </c>
      <c r="D110" s="86"/>
      <c r="E110" s="86"/>
      <c r="F110" s="83"/>
      <c r="G110" s="80"/>
    </row>
    <row r="111" spans="1:8" s="69" customFormat="1" ht="32.25" customHeight="1" x14ac:dyDescent="0.3">
      <c r="A111" s="98" t="s">
        <v>336</v>
      </c>
      <c r="B111" s="80"/>
      <c r="C111" s="81" t="s">
        <v>337</v>
      </c>
      <c r="D111" s="86"/>
      <c r="E111" s="86"/>
      <c r="F111" s="83"/>
      <c r="G111" s="80"/>
    </row>
    <row r="112" spans="1:8" s="69" customFormat="1" ht="27.6" x14ac:dyDescent="0.3">
      <c r="A112" s="98" t="s">
        <v>338</v>
      </c>
      <c r="B112" s="80"/>
      <c r="C112" s="81" t="s">
        <v>339</v>
      </c>
      <c r="D112" s="86"/>
      <c r="E112" s="86"/>
      <c r="F112" s="83"/>
      <c r="G112" s="77" t="s">
        <v>340</v>
      </c>
    </row>
    <row r="113" spans="1:7" s="69" customFormat="1" ht="28.2" x14ac:dyDescent="0.3">
      <c r="A113" s="100" t="s">
        <v>341</v>
      </c>
      <c r="B113" s="91"/>
      <c r="C113" s="92" t="s">
        <v>342</v>
      </c>
      <c r="D113" s="86"/>
      <c r="E113" s="86"/>
      <c r="F113" s="83"/>
      <c r="G113" s="80"/>
    </row>
    <row r="114" spans="1:7" s="69" customFormat="1" ht="14.4" x14ac:dyDescent="0.3">
      <c r="A114" s="100" t="s">
        <v>343</v>
      </c>
      <c r="B114" s="91"/>
      <c r="C114" s="95" t="s">
        <v>344</v>
      </c>
      <c r="D114" s="86"/>
      <c r="E114" s="86"/>
      <c r="F114" s="83"/>
      <c r="G114" s="80"/>
    </row>
    <row r="115" spans="1:7" s="69" customFormat="1" ht="14.4" x14ac:dyDescent="0.3">
      <c r="A115" s="100" t="s">
        <v>345</v>
      </c>
      <c r="B115" s="91"/>
      <c r="C115" s="95" t="s">
        <v>346</v>
      </c>
      <c r="D115" s="86"/>
      <c r="E115" s="86"/>
      <c r="F115" s="83"/>
      <c r="G115" s="80"/>
    </row>
    <row r="116" spans="1:7" s="69" customFormat="1" ht="14.4" x14ac:dyDescent="0.3">
      <c r="A116" s="100" t="s">
        <v>347</v>
      </c>
      <c r="B116" s="91"/>
      <c r="C116" s="95" t="s">
        <v>348</v>
      </c>
      <c r="D116" s="86"/>
      <c r="E116" s="86"/>
      <c r="F116" s="83"/>
      <c r="G116" s="80"/>
    </row>
    <row r="117" spans="1:7" s="69" customFormat="1" ht="14.4" x14ac:dyDescent="0.3">
      <c r="A117" s="100" t="s">
        <v>349</v>
      </c>
      <c r="B117" s="91"/>
      <c r="C117" s="92" t="s">
        <v>350</v>
      </c>
      <c r="D117" s="86"/>
      <c r="E117" s="86"/>
      <c r="F117" s="89"/>
      <c r="G117" s="80"/>
    </row>
    <row r="118" spans="1:7" s="69" customFormat="1" ht="27.6" x14ac:dyDescent="0.3">
      <c r="A118" s="98" t="s">
        <v>351</v>
      </c>
      <c r="B118" s="80"/>
      <c r="C118" s="81" t="s">
        <v>352</v>
      </c>
      <c r="D118" s="86"/>
      <c r="E118" s="86"/>
      <c r="F118" s="83"/>
      <c r="G118" s="80"/>
    </row>
    <row r="119" spans="1:7" s="69" customFormat="1" ht="33" customHeight="1" x14ac:dyDescent="0.3">
      <c r="A119" s="98" t="s">
        <v>353</v>
      </c>
      <c r="B119" s="80"/>
      <c r="C119" s="81" t="s">
        <v>354</v>
      </c>
      <c r="D119" s="86"/>
      <c r="E119" s="86"/>
      <c r="F119" s="83"/>
      <c r="G119" s="80"/>
    </row>
    <row r="120" spans="1:7" s="69" customFormat="1" ht="27.6" x14ac:dyDescent="0.3">
      <c r="A120" s="98" t="s">
        <v>355</v>
      </c>
      <c r="B120" s="80"/>
      <c r="C120" s="126" t="s">
        <v>356</v>
      </c>
      <c r="D120" s="86"/>
      <c r="E120" s="86"/>
      <c r="F120" s="83"/>
      <c r="G120" s="80"/>
    </row>
    <row r="121" spans="1:7" s="69" customFormat="1" x14ac:dyDescent="0.3">
      <c r="A121" s="98" t="s">
        <v>357</v>
      </c>
      <c r="B121" s="80"/>
      <c r="C121" s="72" t="s">
        <v>358</v>
      </c>
      <c r="D121" s="68"/>
      <c r="E121" s="68"/>
      <c r="F121" s="124"/>
      <c r="G121" s="80"/>
    </row>
    <row r="122" spans="1:7" s="69" customFormat="1" ht="27.6" x14ac:dyDescent="0.3">
      <c r="A122" s="98" t="s">
        <v>359</v>
      </c>
      <c r="B122" s="80"/>
      <c r="C122" s="81" t="s">
        <v>360</v>
      </c>
      <c r="D122" s="86"/>
      <c r="E122" s="86"/>
      <c r="F122" s="89"/>
      <c r="G122" s="77" t="s">
        <v>361</v>
      </c>
    </row>
    <row r="123" spans="1:7" s="69" customFormat="1" ht="27.6" x14ac:dyDescent="0.3">
      <c r="A123" s="98" t="s">
        <v>362</v>
      </c>
      <c r="B123" s="80"/>
      <c r="C123" s="285" t="s">
        <v>363</v>
      </c>
      <c r="D123" s="86"/>
      <c r="E123" s="86"/>
      <c r="F123" s="83"/>
      <c r="G123" s="80"/>
    </row>
    <row r="124" spans="1:7" s="69" customFormat="1" ht="31.5" customHeight="1" x14ac:dyDescent="0.3">
      <c r="A124" s="98" t="s">
        <v>364</v>
      </c>
      <c r="B124" s="80"/>
      <c r="C124" s="81" t="s">
        <v>365</v>
      </c>
      <c r="D124" s="86"/>
      <c r="E124" s="86"/>
      <c r="F124" s="83"/>
      <c r="G124" s="80"/>
    </row>
    <row r="125" spans="1:7" s="69" customFormat="1" x14ac:dyDescent="0.3">
      <c r="A125" s="98" t="s">
        <v>366</v>
      </c>
      <c r="B125" s="80"/>
      <c r="C125" s="71" t="s">
        <v>367</v>
      </c>
      <c r="D125" s="68"/>
      <c r="E125" s="68"/>
      <c r="F125" s="124"/>
      <c r="G125" s="80"/>
    </row>
    <row r="126" spans="1:7" s="69" customFormat="1" ht="41.4" x14ac:dyDescent="0.3">
      <c r="A126" s="98" t="s">
        <v>368</v>
      </c>
      <c r="B126" s="80"/>
      <c r="C126" s="81" t="s">
        <v>369</v>
      </c>
      <c r="D126" s="86"/>
      <c r="E126" s="86"/>
      <c r="F126" s="83"/>
      <c r="G126" s="217" t="s">
        <v>370</v>
      </c>
    </row>
    <row r="127" spans="1:7" s="69" customFormat="1" ht="27.6" x14ac:dyDescent="0.3">
      <c r="A127" s="98" t="s">
        <v>371</v>
      </c>
      <c r="B127" s="80"/>
      <c r="C127" s="81" t="s">
        <v>372</v>
      </c>
      <c r="D127" s="86"/>
      <c r="E127" s="86"/>
      <c r="F127" s="89"/>
      <c r="G127" s="127"/>
    </row>
    <row r="128" spans="1:7" s="69" customFormat="1" ht="27.6" x14ac:dyDescent="0.3">
      <c r="A128" s="98" t="s">
        <v>373</v>
      </c>
      <c r="B128" s="80"/>
      <c r="C128" s="81" t="s">
        <v>374</v>
      </c>
      <c r="D128" s="86"/>
      <c r="E128" s="86"/>
      <c r="F128" s="89"/>
      <c r="G128" s="127"/>
    </row>
    <row r="129" spans="1:7" s="69" customFormat="1" x14ac:dyDescent="0.3">
      <c r="A129" s="125" t="s">
        <v>375</v>
      </c>
      <c r="B129" s="71" t="s">
        <v>376</v>
      </c>
      <c r="C129" s="81"/>
      <c r="D129" s="68"/>
      <c r="E129" s="68"/>
      <c r="F129" s="124"/>
      <c r="G129" s="80"/>
    </row>
    <row r="130" spans="1:7" s="69" customFormat="1" x14ac:dyDescent="0.3">
      <c r="A130" s="98" t="s">
        <v>377</v>
      </c>
      <c r="B130" s="80"/>
      <c r="C130" s="72" t="s">
        <v>378</v>
      </c>
      <c r="D130" s="68"/>
      <c r="E130" s="68"/>
      <c r="F130" s="124"/>
      <c r="G130" s="80"/>
    </row>
    <row r="131" spans="1:7" s="69" customFormat="1" ht="27.6" x14ac:dyDescent="0.3">
      <c r="A131" s="98" t="s">
        <v>379</v>
      </c>
      <c r="B131" s="80"/>
      <c r="C131" s="81" t="s">
        <v>380</v>
      </c>
      <c r="D131" s="86"/>
      <c r="E131" s="86"/>
      <c r="F131" s="83"/>
      <c r="G131" s="80"/>
    </row>
    <row r="132" spans="1:7" s="69" customFormat="1" ht="27.6" x14ac:dyDescent="0.3">
      <c r="A132" s="98" t="s">
        <v>381</v>
      </c>
      <c r="B132" s="80"/>
      <c r="C132" s="81" t="s">
        <v>382</v>
      </c>
      <c r="D132" s="86"/>
      <c r="E132" s="86"/>
      <c r="F132" s="83"/>
      <c r="G132" s="80"/>
    </row>
    <row r="133" spans="1:7" s="69" customFormat="1" x14ac:dyDescent="0.3">
      <c r="A133" s="98" t="s">
        <v>383</v>
      </c>
      <c r="B133" s="80"/>
      <c r="C133" s="81" t="s">
        <v>384</v>
      </c>
      <c r="D133" s="86"/>
      <c r="E133" s="86"/>
      <c r="F133" s="83"/>
      <c r="G133" s="80"/>
    </row>
    <row r="134" spans="1:7" s="69" customFormat="1" ht="27.6" x14ac:dyDescent="0.3">
      <c r="A134" s="98" t="s">
        <v>385</v>
      </c>
      <c r="B134" s="80"/>
      <c r="C134" s="81" t="s">
        <v>386</v>
      </c>
      <c r="D134" s="86"/>
      <c r="E134" s="86"/>
      <c r="F134" s="89"/>
      <c r="G134" s="80"/>
    </row>
    <row r="135" spans="1:7" s="69" customFormat="1" x14ac:dyDescent="0.3">
      <c r="A135" s="98" t="s">
        <v>387</v>
      </c>
      <c r="B135" s="80"/>
      <c r="C135" s="72" t="s">
        <v>388</v>
      </c>
      <c r="D135" s="68"/>
      <c r="E135" s="68"/>
      <c r="F135" s="124"/>
      <c r="G135" s="80"/>
    </row>
    <row r="136" spans="1:7" s="69" customFormat="1" ht="27.6" x14ac:dyDescent="0.3">
      <c r="A136" s="98" t="s">
        <v>389</v>
      </c>
      <c r="B136" s="71"/>
      <c r="C136" s="81" t="s">
        <v>390</v>
      </c>
      <c r="D136" s="86"/>
      <c r="E136" s="86"/>
      <c r="F136" s="83"/>
      <c r="G136" s="80"/>
    </row>
    <row r="137" spans="1:7" s="69" customFormat="1" ht="27.6" x14ac:dyDescent="0.3">
      <c r="A137" s="98" t="s">
        <v>391</v>
      </c>
      <c r="B137" s="80"/>
      <c r="C137" s="81" t="s">
        <v>392</v>
      </c>
      <c r="D137" s="86"/>
      <c r="E137" s="86"/>
      <c r="F137" s="83"/>
      <c r="G137" s="80"/>
    </row>
    <row r="138" spans="1:7" s="69" customFormat="1" ht="27.6" x14ac:dyDescent="0.3">
      <c r="A138" s="98" t="s">
        <v>393</v>
      </c>
      <c r="B138" s="80"/>
      <c r="C138" s="81" t="s">
        <v>394</v>
      </c>
      <c r="D138" s="86"/>
      <c r="E138" s="86"/>
      <c r="F138" s="83"/>
      <c r="G138" s="80"/>
    </row>
    <row r="139" spans="1:7" s="69" customFormat="1" x14ac:dyDescent="0.3">
      <c r="A139" s="98" t="s">
        <v>395</v>
      </c>
      <c r="B139" s="80"/>
      <c r="C139" s="81" t="s">
        <v>396</v>
      </c>
      <c r="D139" s="86"/>
      <c r="E139" s="86"/>
      <c r="F139" s="83"/>
      <c r="G139" s="80"/>
    </row>
    <row r="140" spans="1:7" s="69" customFormat="1" ht="41.4" x14ac:dyDescent="0.3">
      <c r="A140" s="98" t="s">
        <v>397</v>
      </c>
      <c r="B140" s="80"/>
      <c r="C140" s="81" t="s">
        <v>398</v>
      </c>
      <c r="D140" s="86"/>
      <c r="E140" s="86"/>
      <c r="F140" s="89"/>
      <c r="G140" s="80"/>
    </row>
    <row r="141" spans="1:7" s="69" customFormat="1" x14ac:dyDescent="0.3">
      <c r="A141" s="98" t="s">
        <v>399</v>
      </c>
      <c r="B141" s="80"/>
      <c r="C141" s="72" t="s">
        <v>400</v>
      </c>
      <c r="D141" s="68"/>
      <c r="E141" s="68"/>
      <c r="F141" s="124"/>
      <c r="G141" s="80"/>
    </row>
    <row r="142" spans="1:7" s="69" customFormat="1" ht="27.6" x14ac:dyDescent="0.3">
      <c r="A142" s="98" t="s">
        <v>401</v>
      </c>
      <c r="B142" s="80"/>
      <c r="C142" s="81" t="s">
        <v>402</v>
      </c>
      <c r="D142" s="86"/>
      <c r="E142" s="86"/>
      <c r="F142" s="83"/>
      <c r="G142" s="80"/>
    </row>
    <row r="143" spans="1:7" s="69" customFormat="1" ht="15.6" x14ac:dyDescent="0.3">
      <c r="A143" s="98" t="s">
        <v>403</v>
      </c>
      <c r="B143" s="80"/>
      <c r="C143" s="81" t="s">
        <v>404</v>
      </c>
      <c r="D143" s="86"/>
      <c r="E143" s="86"/>
      <c r="F143" s="83"/>
      <c r="G143" s="77" t="s">
        <v>405</v>
      </c>
    </row>
    <row r="144" spans="1:7" s="69" customFormat="1" ht="27.6" x14ac:dyDescent="0.3">
      <c r="A144" s="98" t="s">
        <v>406</v>
      </c>
      <c r="B144" s="80"/>
      <c r="C144" s="81" t="s">
        <v>407</v>
      </c>
      <c r="D144" s="86"/>
      <c r="E144" s="86"/>
      <c r="F144" s="83"/>
      <c r="G144" s="80"/>
    </row>
    <row r="145" spans="1:7" s="69" customFormat="1" ht="41.4" x14ac:dyDescent="0.3">
      <c r="A145" s="98" t="s">
        <v>408</v>
      </c>
      <c r="B145" s="80"/>
      <c r="C145" s="81" t="s">
        <v>409</v>
      </c>
      <c r="D145" s="86"/>
      <c r="E145" s="86"/>
      <c r="F145" s="89"/>
      <c r="G145" s="80"/>
    </row>
    <row r="146" spans="1:7" s="69" customFormat="1" ht="14.4" thickBot="1" x14ac:dyDescent="0.35">
      <c r="A146" s="105"/>
      <c r="B146" s="106"/>
      <c r="C146" s="107"/>
      <c r="F146" s="108"/>
      <c r="G146" s="106"/>
    </row>
    <row r="147" spans="1:7" s="69" customFormat="1" ht="17.399999999999999" x14ac:dyDescent="0.3">
      <c r="A147" s="128" t="s">
        <v>410</v>
      </c>
      <c r="B147" s="129" t="s">
        <v>411</v>
      </c>
      <c r="C147" s="130"/>
      <c r="D147" s="131"/>
      <c r="E147" s="131"/>
      <c r="F147" s="131"/>
      <c r="G147" s="132"/>
    </row>
    <row r="148" spans="1:7" s="69" customFormat="1" ht="17.399999999999999" x14ac:dyDescent="0.3">
      <c r="A148" s="73"/>
      <c r="B148" s="191" t="s">
        <v>412</v>
      </c>
      <c r="C148" s="77"/>
      <c r="D148" s="318"/>
      <c r="E148" s="319"/>
      <c r="F148" s="320"/>
      <c r="G148" s="74"/>
    </row>
    <row r="149" spans="1:7" s="69" customFormat="1" x14ac:dyDescent="0.3">
      <c r="A149" s="78" t="s">
        <v>413</v>
      </c>
      <c r="B149" s="71" t="s">
        <v>414</v>
      </c>
      <c r="C149" s="71"/>
      <c r="D149" s="133"/>
      <c r="E149" s="133"/>
      <c r="F149" s="133"/>
      <c r="G149" s="71"/>
    </row>
    <row r="150" spans="1:7" s="69" customFormat="1" x14ac:dyDescent="0.3">
      <c r="A150" s="79" t="s">
        <v>415</v>
      </c>
      <c r="B150" s="80"/>
      <c r="C150" s="81" t="s">
        <v>416</v>
      </c>
      <c r="D150" s="122"/>
      <c r="E150" s="122"/>
      <c r="F150" s="83"/>
      <c r="G150" s="121"/>
    </row>
    <row r="151" spans="1:7" s="69" customFormat="1" ht="27.6" x14ac:dyDescent="0.3">
      <c r="A151" s="79" t="s">
        <v>417</v>
      </c>
      <c r="B151" s="80"/>
      <c r="C151" s="81" t="s">
        <v>418</v>
      </c>
      <c r="D151" s="122"/>
      <c r="E151" s="122"/>
      <c r="F151" s="83"/>
      <c r="G151" s="134"/>
    </row>
    <row r="152" spans="1:7" s="69" customFormat="1" ht="27.6" x14ac:dyDescent="0.3">
      <c r="A152" s="79" t="s">
        <v>419</v>
      </c>
      <c r="B152" s="80"/>
      <c r="C152" s="81" t="s">
        <v>420</v>
      </c>
      <c r="D152" s="122"/>
      <c r="E152" s="122"/>
      <c r="F152" s="89"/>
      <c r="G152" s="121"/>
    </row>
    <row r="153" spans="1:7" s="69" customFormat="1" ht="27.6" x14ac:dyDescent="0.3">
      <c r="A153" s="79" t="s">
        <v>421</v>
      </c>
      <c r="B153" s="80"/>
      <c r="C153" s="81" t="s">
        <v>422</v>
      </c>
      <c r="D153" s="122"/>
      <c r="E153" s="122"/>
      <c r="F153" s="83"/>
      <c r="G153" s="80"/>
    </row>
    <row r="154" spans="1:7" s="69" customFormat="1" ht="27.6" x14ac:dyDescent="0.3">
      <c r="A154" s="79" t="s">
        <v>423</v>
      </c>
      <c r="B154" s="80"/>
      <c r="C154" s="81" t="s">
        <v>424</v>
      </c>
      <c r="D154" s="86"/>
      <c r="E154" s="86"/>
      <c r="F154" s="83"/>
      <c r="G154" s="74"/>
    </row>
    <row r="155" spans="1:7" s="69" customFormat="1" ht="27.6" x14ac:dyDescent="0.3">
      <c r="A155" s="79" t="s">
        <v>425</v>
      </c>
      <c r="B155" s="80"/>
      <c r="C155" s="81" t="s">
        <v>426</v>
      </c>
      <c r="D155" s="122"/>
      <c r="E155" s="122"/>
      <c r="F155" s="83"/>
      <c r="G155" s="80"/>
    </row>
    <row r="156" spans="1:7" s="69" customFormat="1" x14ac:dyDescent="0.3">
      <c r="A156" s="78" t="s">
        <v>427</v>
      </c>
      <c r="B156" s="71" t="s">
        <v>428</v>
      </c>
      <c r="C156" s="81"/>
      <c r="D156" s="119"/>
      <c r="E156" s="119"/>
      <c r="F156" s="124"/>
      <c r="G156" s="80"/>
    </row>
    <row r="157" spans="1:7" s="69" customFormat="1" ht="45" customHeight="1" x14ac:dyDescent="0.3">
      <c r="A157" s="97" t="s">
        <v>429</v>
      </c>
      <c r="B157" s="91"/>
      <c r="C157" s="92" t="s">
        <v>430</v>
      </c>
      <c r="D157" s="122"/>
      <c r="E157" s="122"/>
      <c r="F157" s="83"/>
      <c r="G157" s="80"/>
    </row>
    <row r="158" spans="1:7" s="69" customFormat="1" ht="14.4" x14ac:dyDescent="0.3">
      <c r="A158" s="97" t="s">
        <v>431</v>
      </c>
      <c r="B158" s="91"/>
      <c r="C158" s="95" t="s">
        <v>432</v>
      </c>
      <c r="D158" s="122"/>
      <c r="E158" s="122"/>
      <c r="F158" s="83"/>
      <c r="G158" s="80"/>
    </row>
    <row r="159" spans="1:7" s="69" customFormat="1" ht="14.4" x14ac:dyDescent="0.3">
      <c r="A159" s="97" t="s">
        <v>433</v>
      </c>
      <c r="B159" s="91"/>
      <c r="C159" s="95" t="s">
        <v>434</v>
      </c>
      <c r="D159" s="122"/>
      <c r="E159" s="122"/>
      <c r="F159" s="83"/>
      <c r="G159" s="80"/>
    </row>
    <row r="160" spans="1:7" s="69" customFormat="1" ht="27.6" x14ac:dyDescent="0.3">
      <c r="A160" s="98" t="s">
        <v>435</v>
      </c>
      <c r="B160" s="80"/>
      <c r="C160" s="81" t="s">
        <v>436</v>
      </c>
      <c r="D160" s="86"/>
      <c r="E160" s="86"/>
      <c r="F160" s="83"/>
      <c r="G160" s="77" t="s">
        <v>437</v>
      </c>
    </row>
    <row r="161" spans="1:7" s="69" customFormat="1" ht="42" x14ac:dyDescent="0.3">
      <c r="A161" s="100" t="s">
        <v>438</v>
      </c>
      <c r="B161" s="91"/>
      <c r="C161" s="92" t="s">
        <v>439</v>
      </c>
      <c r="D161" s="86"/>
      <c r="E161" s="86"/>
      <c r="F161" s="83"/>
      <c r="G161" s="80"/>
    </row>
    <row r="162" spans="1:7" s="69" customFormat="1" ht="14.4" x14ac:dyDescent="0.3">
      <c r="A162" s="100" t="s">
        <v>440</v>
      </c>
      <c r="B162" s="91"/>
      <c r="C162" s="95" t="s">
        <v>432</v>
      </c>
      <c r="D162" s="86"/>
      <c r="E162" s="86"/>
      <c r="F162" s="83"/>
      <c r="G162" s="80"/>
    </row>
    <row r="163" spans="1:7" s="69" customFormat="1" ht="14.4" x14ac:dyDescent="0.3">
      <c r="A163" s="100" t="s">
        <v>441</v>
      </c>
      <c r="B163" s="91"/>
      <c r="C163" s="95" t="s">
        <v>434</v>
      </c>
      <c r="D163" s="86"/>
      <c r="E163" s="86"/>
      <c r="F163" s="83"/>
      <c r="G163" s="80"/>
    </row>
    <row r="164" spans="1:7" s="69" customFormat="1" ht="41.4" x14ac:dyDescent="0.3">
      <c r="A164" s="100" t="s">
        <v>442</v>
      </c>
      <c r="B164" s="91"/>
      <c r="C164" s="92" t="s">
        <v>443</v>
      </c>
      <c r="D164" s="86"/>
      <c r="E164" s="86"/>
      <c r="F164" s="83"/>
      <c r="G164" s="74"/>
    </row>
    <row r="165" spans="1:7" s="69" customFormat="1" ht="14.4" x14ac:dyDescent="0.3">
      <c r="A165" s="100" t="s">
        <v>444</v>
      </c>
      <c r="B165" s="91"/>
      <c r="C165" s="95" t="s">
        <v>445</v>
      </c>
      <c r="D165" s="86"/>
      <c r="E165" s="86"/>
      <c r="F165" s="83"/>
      <c r="G165" s="80"/>
    </row>
    <row r="166" spans="1:7" s="69" customFormat="1" ht="14.4" x14ac:dyDescent="0.3">
      <c r="A166" s="100" t="s">
        <v>446</v>
      </c>
      <c r="B166" s="91"/>
      <c r="C166" s="95" t="s">
        <v>447</v>
      </c>
      <c r="D166" s="86"/>
      <c r="E166" s="86"/>
      <c r="F166" s="83"/>
      <c r="G166" s="80"/>
    </row>
    <row r="167" spans="1:7" s="69" customFormat="1" ht="27.6" x14ac:dyDescent="0.3">
      <c r="A167" s="98" t="s">
        <v>448</v>
      </c>
      <c r="B167" s="80"/>
      <c r="C167" s="81" t="s">
        <v>449</v>
      </c>
      <c r="D167" s="86"/>
      <c r="E167" s="86"/>
      <c r="F167" s="83"/>
      <c r="G167" s="77" t="s">
        <v>450</v>
      </c>
    </row>
    <row r="168" spans="1:7" s="69" customFormat="1" x14ac:dyDescent="0.3">
      <c r="A168" s="125" t="s">
        <v>451</v>
      </c>
      <c r="B168" s="71" t="s">
        <v>452</v>
      </c>
      <c r="C168" s="106"/>
      <c r="D168" s="68"/>
      <c r="E168" s="68"/>
      <c r="F168" s="124"/>
      <c r="G168" s="80"/>
    </row>
    <row r="169" spans="1:7" s="69" customFormat="1" ht="27.6" x14ac:dyDescent="0.3">
      <c r="A169" s="98" t="s">
        <v>453</v>
      </c>
      <c r="B169" s="80"/>
      <c r="C169" s="81" t="s">
        <v>454</v>
      </c>
      <c r="D169" s="86"/>
      <c r="E169" s="86"/>
      <c r="F169" s="83"/>
      <c r="G169" s="80"/>
    </row>
    <row r="170" spans="1:7" s="69" customFormat="1" ht="27.6" x14ac:dyDescent="0.3">
      <c r="A170" s="98" t="s">
        <v>455</v>
      </c>
      <c r="B170" s="80"/>
      <c r="C170" s="81" t="s">
        <v>456</v>
      </c>
      <c r="D170" s="86"/>
      <c r="E170" s="86"/>
      <c r="F170" s="83"/>
      <c r="G170" s="80"/>
    </row>
    <row r="171" spans="1:7" s="69" customFormat="1" x14ac:dyDescent="0.3">
      <c r="A171" s="98" t="s">
        <v>457</v>
      </c>
      <c r="B171" s="80"/>
      <c r="C171" s="81" t="s">
        <v>458</v>
      </c>
      <c r="D171" s="86"/>
      <c r="E171" s="86"/>
      <c r="F171" s="83"/>
      <c r="G171" s="106"/>
    </row>
    <row r="172" spans="1:7" s="259" customFormat="1" ht="53.25" customHeight="1" x14ac:dyDescent="0.3">
      <c r="A172" s="98" t="s">
        <v>459</v>
      </c>
      <c r="B172" s="80"/>
      <c r="C172" s="81" t="s">
        <v>460</v>
      </c>
      <c r="D172" s="93"/>
      <c r="E172" s="93"/>
      <c r="F172" s="83"/>
      <c r="G172" s="260" t="s">
        <v>461</v>
      </c>
    </row>
    <row r="173" spans="1:7" s="69" customFormat="1" ht="30.75" customHeight="1" x14ac:dyDescent="0.3">
      <c r="A173" s="98" t="s">
        <v>462</v>
      </c>
      <c r="B173" s="80"/>
      <c r="C173" s="81" t="s">
        <v>463</v>
      </c>
      <c r="D173" s="86"/>
      <c r="E173" s="86"/>
      <c r="F173" s="83"/>
      <c r="G173" s="80"/>
    </row>
    <row r="174" spans="1:7" s="69" customFormat="1" x14ac:dyDescent="0.3">
      <c r="A174" s="125" t="s">
        <v>464</v>
      </c>
      <c r="B174" s="71" t="s">
        <v>465</v>
      </c>
      <c r="C174" s="106"/>
      <c r="D174" s="68"/>
      <c r="E174" s="68"/>
      <c r="F174" s="124"/>
      <c r="G174" s="80"/>
    </row>
    <row r="175" spans="1:7" s="69" customFormat="1" x14ac:dyDescent="0.3">
      <c r="A175" s="98" t="s">
        <v>466</v>
      </c>
      <c r="B175" s="80"/>
      <c r="C175" s="81" t="s">
        <v>467</v>
      </c>
      <c r="D175" s="86"/>
      <c r="E175" s="86"/>
      <c r="F175" s="83"/>
      <c r="G175" s="80"/>
    </row>
    <row r="176" spans="1:7" s="69" customFormat="1" ht="27.6" x14ac:dyDescent="0.3">
      <c r="A176" s="98" t="s">
        <v>468</v>
      </c>
      <c r="B176" s="80"/>
      <c r="C176" s="81" t="s">
        <v>469</v>
      </c>
      <c r="D176" s="86"/>
      <c r="E176" s="86"/>
      <c r="F176" s="83"/>
      <c r="G176" s="80"/>
    </row>
    <row r="177" spans="1:7" s="69" customFormat="1" x14ac:dyDescent="0.3">
      <c r="A177" s="98" t="s">
        <v>470</v>
      </c>
      <c r="B177" s="80"/>
      <c r="C177" s="81" t="s">
        <v>471</v>
      </c>
      <c r="D177" s="86"/>
      <c r="E177" s="86"/>
      <c r="F177" s="83"/>
      <c r="G177" s="80"/>
    </row>
    <row r="178" spans="1:7" s="259" customFormat="1" ht="30.75" customHeight="1" x14ac:dyDescent="0.3">
      <c r="A178" s="98" t="s">
        <v>472</v>
      </c>
      <c r="B178" s="80"/>
      <c r="C178" s="81" t="s">
        <v>473</v>
      </c>
      <c r="D178" s="93"/>
      <c r="E178" s="93"/>
      <c r="F178" s="89"/>
      <c r="G178" s="81"/>
    </row>
    <row r="179" spans="1:7" s="69" customFormat="1" x14ac:dyDescent="0.3">
      <c r="A179" s="125" t="s">
        <v>474</v>
      </c>
      <c r="B179" s="71" t="s">
        <v>475</v>
      </c>
      <c r="C179" s="81"/>
      <c r="D179" s="68"/>
      <c r="E179" s="68"/>
      <c r="F179" s="124"/>
      <c r="G179" s="80"/>
    </row>
    <row r="180" spans="1:7" s="69" customFormat="1" ht="27.6" x14ac:dyDescent="0.3">
      <c r="A180" s="98" t="s">
        <v>476</v>
      </c>
      <c r="B180" s="80"/>
      <c r="C180" s="81" t="s">
        <v>477</v>
      </c>
      <c r="D180" s="86"/>
      <c r="E180" s="86"/>
      <c r="F180" s="83"/>
      <c r="G180" s="80"/>
    </row>
    <row r="181" spans="1:7" s="69" customFormat="1" ht="41.4" x14ac:dyDescent="0.3">
      <c r="A181" s="98" t="s">
        <v>478</v>
      </c>
      <c r="B181" s="80"/>
      <c r="C181" s="81" t="s">
        <v>479</v>
      </c>
      <c r="D181" s="86"/>
      <c r="E181" s="86"/>
      <c r="F181" s="83"/>
      <c r="G181" s="80"/>
    </row>
    <row r="182" spans="1:7" s="69" customFormat="1" ht="27.6" x14ac:dyDescent="0.3">
      <c r="A182" s="98" t="s">
        <v>480</v>
      </c>
      <c r="B182" s="80"/>
      <c r="C182" s="81" t="s">
        <v>481</v>
      </c>
      <c r="D182" s="86"/>
      <c r="E182" s="86"/>
      <c r="F182" s="83"/>
      <c r="G182" s="80"/>
    </row>
    <row r="183" spans="1:7" s="69" customFormat="1" ht="39" x14ac:dyDescent="0.3">
      <c r="A183" s="98" t="s">
        <v>482</v>
      </c>
      <c r="B183" s="80"/>
      <c r="C183" s="81" t="s">
        <v>483</v>
      </c>
      <c r="D183" s="86"/>
      <c r="E183" s="86"/>
      <c r="F183" s="83"/>
      <c r="G183" s="80"/>
    </row>
    <row r="184" spans="1:7" s="69" customFormat="1" ht="27.6" x14ac:dyDescent="0.3">
      <c r="A184" s="98" t="s">
        <v>484</v>
      </c>
      <c r="B184" s="80"/>
      <c r="C184" s="81" t="s">
        <v>485</v>
      </c>
      <c r="D184" s="86"/>
      <c r="E184" s="86"/>
      <c r="F184" s="83"/>
      <c r="G184" s="80"/>
    </row>
    <row r="185" spans="1:7" s="69" customFormat="1" ht="44.25" customHeight="1" x14ac:dyDescent="0.3">
      <c r="A185" s="98" t="s">
        <v>486</v>
      </c>
      <c r="B185" s="80"/>
      <c r="C185" s="81" t="s">
        <v>487</v>
      </c>
      <c r="D185" s="86"/>
      <c r="E185" s="86"/>
      <c r="F185" s="83"/>
      <c r="G185" s="80"/>
    </row>
    <row r="186" spans="1:7" s="69" customFormat="1" x14ac:dyDescent="0.3">
      <c r="A186" s="125" t="s">
        <v>488</v>
      </c>
      <c r="B186" s="71" t="s">
        <v>489</v>
      </c>
      <c r="C186" s="81"/>
      <c r="D186" s="68"/>
      <c r="E186" s="68"/>
      <c r="F186" s="124"/>
      <c r="G186" s="80"/>
    </row>
    <row r="187" spans="1:7" s="69" customFormat="1" ht="17.25" customHeight="1" x14ac:dyDescent="0.3">
      <c r="A187" s="98" t="s">
        <v>490</v>
      </c>
      <c r="B187" s="80"/>
      <c r="C187" s="81" t="s">
        <v>491</v>
      </c>
      <c r="D187" s="86"/>
      <c r="E187" s="86"/>
      <c r="F187" s="83"/>
      <c r="G187" s="77" t="s">
        <v>492</v>
      </c>
    </row>
    <row r="188" spans="1:7" s="69" customFormat="1" x14ac:dyDescent="0.3">
      <c r="A188" s="98" t="s">
        <v>493</v>
      </c>
      <c r="B188" s="80"/>
      <c r="C188" s="81" t="s">
        <v>494</v>
      </c>
      <c r="D188" s="86"/>
      <c r="E188" s="86"/>
      <c r="F188" s="83"/>
      <c r="G188" s="80"/>
    </row>
    <row r="189" spans="1:7" s="69" customFormat="1" ht="27.6" x14ac:dyDescent="0.3">
      <c r="A189" s="98" t="s">
        <v>495</v>
      </c>
      <c r="B189" s="80"/>
      <c r="C189" s="81" t="s">
        <v>496</v>
      </c>
      <c r="D189" s="86"/>
      <c r="E189" s="86"/>
      <c r="F189" s="89"/>
      <c r="G189" s="80"/>
    </row>
    <row r="190" spans="1:7" s="69" customFormat="1" x14ac:dyDescent="0.3">
      <c r="A190" s="98" t="s">
        <v>497</v>
      </c>
      <c r="B190" s="80"/>
      <c r="C190" s="81" t="s">
        <v>498</v>
      </c>
      <c r="D190" s="86"/>
      <c r="E190" s="86"/>
      <c r="F190" s="83"/>
      <c r="G190" s="80"/>
    </row>
    <row r="191" spans="1:7" s="69" customFormat="1" x14ac:dyDescent="0.3">
      <c r="A191" s="98" t="s">
        <v>499</v>
      </c>
      <c r="B191" s="80"/>
      <c r="C191" s="81" t="s">
        <v>500</v>
      </c>
      <c r="D191" s="86"/>
      <c r="E191" s="86"/>
      <c r="F191" s="83"/>
      <c r="G191" s="80"/>
    </row>
    <row r="192" spans="1:7" s="69" customFormat="1" x14ac:dyDescent="0.3">
      <c r="A192" s="98" t="s">
        <v>501</v>
      </c>
      <c r="B192" s="80"/>
      <c r="C192" s="81" t="s">
        <v>502</v>
      </c>
      <c r="D192" s="86"/>
      <c r="E192" s="86"/>
      <c r="F192" s="89"/>
      <c r="G192" s="80"/>
    </row>
    <row r="193" spans="1:7" s="69" customFormat="1" x14ac:dyDescent="0.3">
      <c r="A193" s="125" t="s">
        <v>503</v>
      </c>
      <c r="B193" s="71" t="s">
        <v>504</v>
      </c>
      <c r="C193" s="72"/>
      <c r="D193" s="68"/>
      <c r="E193" s="68"/>
      <c r="F193" s="124"/>
      <c r="G193" s="80"/>
    </row>
    <row r="194" spans="1:7" s="69" customFormat="1" ht="27.6" x14ac:dyDescent="0.3">
      <c r="A194" s="98" t="s">
        <v>505</v>
      </c>
      <c r="B194" s="80"/>
      <c r="C194" s="81" t="s">
        <v>506</v>
      </c>
      <c r="D194" s="86"/>
      <c r="E194" s="86"/>
      <c r="F194" s="83"/>
      <c r="G194" s="74"/>
    </row>
    <row r="195" spans="1:7" s="69" customFormat="1" ht="27.6" x14ac:dyDescent="0.3">
      <c r="A195" s="98" t="s">
        <v>507</v>
      </c>
      <c r="B195" s="80"/>
      <c r="C195" s="81" t="s">
        <v>508</v>
      </c>
      <c r="D195" s="86"/>
      <c r="E195" s="86"/>
      <c r="F195" s="89"/>
      <c r="G195" s="80"/>
    </row>
    <row r="196" spans="1:7" s="69" customFormat="1" ht="41.4" x14ac:dyDescent="0.3">
      <c r="A196" s="98" t="s">
        <v>509</v>
      </c>
      <c r="B196" s="80"/>
      <c r="C196" s="81" t="s">
        <v>510</v>
      </c>
      <c r="D196" s="86"/>
      <c r="E196" s="86"/>
      <c r="F196" s="89"/>
      <c r="G196" s="80"/>
    </row>
    <row r="197" spans="1:7" s="69" customFormat="1" x14ac:dyDescent="0.3">
      <c r="A197" s="125" t="s">
        <v>511</v>
      </c>
      <c r="B197" s="71" t="s">
        <v>512</v>
      </c>
      <c r="C197" s="135"/>
      <c r="D197" s="68"/>
      <c r="E197" s="68"/>
      <c r="F197" s="124"/>
      <c r="G197" s="80"/>
    </row>
    <row r="198" spans="1:7" s="69" customFormat="1" ht="27.6" x14ac:dyDescent="0.3">
      <c r="A198" s="100" t="s">
        <v>513</v>
      </c>
      <c r="B198" s="91"/>
      <c r="C198" s="92" t="s">
        <v>514</v>
      </c>
      <c r="D198" s="86"/>
      <c r="E198" s="86"/>
      <c r="F198" s="83"/>
      <c r="G198" s="80"/>
    </row>
    <row r="199" spans="1:7" s="69" customFormat="1" ht="14.4" x14ac:dyDescent="0.3">
      <c r="A199" s="136" t="s">
        <v>515</v>
      </c>
      <c r="B199" s="91"/>
      <c r="C199" s="95" t="s">
        <v>516</v>
      </c>
      <c r="D199" s="86"/>
      <c r="E199" s="86"/>
      <c r="F199" s="83"/>
      <c r="G199" s="80"/>
    </row>
    <row r="200" spans="1:7" s="69" customFormat="1" ht="14.4" x14ac:dyDescent="0.3">
      <c r="A200" s="136" t="s">
        <v>517</v>
      </c>
      <c r="B200" s="91"/>
      <c r="C200" s="95" t="s">
        <v>518</v>
      </c>
      <c r="D200" s="86"/>
      <c r="E200" s="86"/>
      <c r="F200" s="83"/>
      <c r="G200" s="80"/>
    </row>
    <row r="201" spans="1:7" s="69" customFormat="1" ht="14.4" x14ac:dyDescent="0.3">
      <c r="A201" s="136" t="s">
        <v>519</v>
      </c>
      <c r="B201" s="91"/>
      <c r="C201" s="92" t="s">
        <v>520</v>
      </c>
      <c r="D201" s="86"/>
      <c r="E201" s="86"/>
      <c r="F201" s="83"/>
      <c r="G201" s="80"/>
    </row>
    <row r="202" spans="1:7" s="69" customFormat="1" ht="14.4" x14ac:dyDescent="0.3">
      <c r="A202" s="136" t="s">
        <v>521</v>
      </c>
      <c r="B202" s="91"/>
      <c r="C202" s="92" t="s">
        <v>522</v>
      </c>
      <c r="D202" s="86"/>
      <c r="E202" s="86"/>
      <c r="F202" s="83"/>
      <c r="G202" s="80"/>
    </row>
    <row r="203" spans="1:7" s="69" customFormat="1" ht="14.4" x14ac:dyDescent="0.3">
      <c r="A203" s="136" t="s">
        <v>523</v>
      </c>
      <c r="B203" s="91"/>
      <c r="C203" s="92" t="s">
        <v>524</v>
      </c>
      <c r="D203" s="86"/>
      <c r="E203" s="86"/>
      <c r="F203" s="83"/>
      <c r="G203" s="80"/>
    </row>
    <row r="204" spans="1:7" s="69" customFormat="1" ht="14.4" x14ac:dyDescent="0.3">
      <c r="A204" s="136" t="s">
        <v>525</v>
      </c>
      <c r="B204" s="91"/>
      <c r="C204" s="92" t="s">
        <v>526</v>
      </c>
      <c r="D204" s="86"/>
      <c r="E204" s="86"/>
      <c r="F204" s="83"/>
      <c r="G204" s="80"/>
    </row>
    <row r="205" spans="1:7" s="69" customFormat="1" ht="14.4" x14ac:dyDescent="0.3">
      <c r="A205" s="136" t="s">
        <v>527</v>
      </c>
      <c r="B205" s="91"/>
      <c r="C205" s="92" t="s">
        <v>528</v>
      </c>
      <c r="D205" s="86"/>
      <c r="E205" s="86"/>
      <c r="F205" s="83"/>
      <c r="G205" s="80"/>
    </row>
    <row r="206" spans="1:7" s="69" customFormat="1" ht="14.4" x14ac:dyDescent="0.3">
      <c r="A206" s="136" t="s">
        <v>529</v>
      </c>
      <c r="B206" s="91"/>
      <c r="C206" s="92" t="s">
        <v>530</v>
      </c>
      <c r="D206" s="86"/>
      <c r="E206" s="86"/>
      <c r="F206" s="83"/>
      <c r="G206" s="80"/>
    </row>
    <row r="207" spans="1:7" s="69" customFormat="1" ht="14.4" x14ac:dyDescent="0.3">
      <c r="A207" s="136" t="s">
        <v>531</v>
      </c>
      <c r="B207" s="91"/>
      <c r="C207" s="92" t="s">
        <v>532</v>
      </c>
      <c r="D207" s="86"/>
      <c r="E207" s="86"/>
      <c r="F207" s="83"/>
      <c r="G207" s="80"/>
    </row>
    <row r="208" spans="1:7" s="69" customFormat="1" ht="14.4" x14ac:dyDescent="0.3">
      <c r="A208" s="136" t="s">
        <v>533</v>
      </c>
      <c r="B208" s="91"/>
      <c r="C208" s="92" t="s">
        <v>534</v>
      </c>
      <c r="D208" s="86"/>
      <c r="E208" s="86"/>
      <c r="F208" s="83"/>
      <c r="G208" s="80"/>
    </row>
    <row r="209" spans="1:7" s="69" customFormat="1" ht="14.4" x14ac:dyDescent="0.3">
      <c r="A209" s="136" t="s">
        <v>535</v>
      </c>
      <c r="B209" s="91"/>
      <c r="C209" s="92" t="s">
        <v>536</v>
      </c>
      <c r="D209" s="86"/>
      <c r="E209" s="86"/>
      <c r="F209" s="83"/>
      <c r="G209" s="80"/>
    </row>
    <row r="210" spans="1:7" s="69" customFormat="1" ht="14.4" x14ac:dyDescent="0.3">
      <c r="A210" s="136" t="s">
        <v>537</v>
      </c>
      <c r="B210" s="91"/>
      <c r="C210" s="95" t="s">
        <v>538</v>
      </c>
      <c r="D210" s="86"/>
      <c r="E210" s="86"/>
      <c r="F210" s="83"/>
      <c r="G210" s="80"/>
    </row>
    <row r="211" spans="1:7" s="69" customFormat="1" ht="14.4" x14ac:dyDescent="0.3">
      <c r="A211" s="136" t="s">
        <v>539</v>
      </c>
      <c r="B211" s="91"/>
      <c r="C211" s="92" t="s">
        <v>540</v>
      </c>
      <c r="D211" s="86"/>
      <c r="E211" s="86"/>
      <c r="F211" s="83"/>
      <c r="G211" s="80"/>
    </row>
    <row r="212" spans="1:7" s="69" customFormat="1" ht="14.4" x14ac:dyDescent="0.3">
      <c r="A212" s="136" t="s">
        <v>541</v>
      </c>
      <c r="B212" s="91"/>
      <c r="C212" s="92" t="s">
        <v>542</v>
      </c>
      <c r="D212" s="86"/>
      <c r="E212" s="86"/>
      <c r="F212" s="83"/>
      <c r="G212" s="80"/>
    </row>
    <row r="213" spans="1:7" s="69" customFormat="1" ht="14.4" x14ac:dyDescent="0.3">
      <c r="A213" s="136" t="s">
        <v>543</v>
      </c>
      <c r="B213" s="91"/>
      <c r="C213" s="92" t="s">
        <v>544</v>
      </c>
      <c r="D213" s="86"/>
      <c r="E213" s="86"/>
      <c r="F213" s="83"/>
      <c r="G213" s="80"/>
    </row>
    <row r="214" spans="1:7" s="69" customFormat="1" ht="15.6" x14ac:dyDescent="0.3">
      <c r="A214" s="136" t="s">
        <v>545</v>
      </c>
      <c r="B214" s="91"/>
      <c r="C214" s="95" t="s">
        <v>546</v>
      </c>
      <c r="D214" s="86"/>
      <c r="E214" s="86"/>
      <c r="F214" s="83"/>
      <c r="G214" s="77" t="s">
        <v>547</v>
      </c>
    </row>
    <row r="215" spans="1:7" s="69" customFormat="1" ht="14.4" x14ac:dyDescent="0.3">
      <c r="A215" s="136" t="s">
        <v>548</v>
      </c>
      <c r="B215" s="91"/>
      <c r="C215" s="95" t="s">
        <v>549</v>
      </c>
      <c r="D215" s="86"/>
      <c r="E215" s="86"/>
      <c r="F215" s="83"/>
      <c r="G215" s="80"/>
    </row>
    <row r="216" spans="1:7" s="69" customFormat="1" ht="14.4" x14ac:dyDescent="0.3">
      <c r="A216" s="136" t="s">
        <v>550</v>
      </c>
      <c r="B216" s="91"/>
      <c r="C216" s="95" t="s">
        <v>551</v>
      </c>
      <c r="D216" s="86"/>
      <c r="E216" s="86"/>
      <c r="F216" s="83"/>
      <c r="G216" s="80"/>
    </row>
    <row r="217" spans="1:7" s="69" customFormat="1" ht="14.4" x14ac:dyDescent="0.3">
      <c r="A217" s="136" t="s">
        <v>552</v>
      </c>
      <c r="B217" s="91"/>
      <c r="C217" s="95" t="s">
        <v>553</v>
      </c>
      <c r="D217" s="86"/>
      <c r="E217" s="86"/>
      <c r="F217" s="83"/>
      <c r="G217" s="80"/>
    </row>
    <row r="218" spans="1:7" s="69" customFormat="1" ht="14.4" x14ac:dyDescent="0.3">
      <c r="A218" s="136" t="s">
        <v>554</v>
      </c>
      <c r="B218" s="91"/>
      <c r="C218" s="95" t="s">
        <v>555</v>
      </c>
      <c r="D218" s="86"/>
      <c r="E218" s="86"/>
      <c r="F218" s="83"/>
      <c r="G218" s="80"/>
    </row>
    <row r="219" spans="1:7" s="69" customFormat="1" ht="14.4" x14ac:dyDescent="0.3">
      <c r="A219" s="136" t="s">
        <v>556</v>
      </c>
      <c r="B219" s="91"/>
      <c r="C219" s="95" t="s">
        <v>557</v>
      </c>
      <c r="D219" s="86"/>
      <c r="E219" s="86"/>
      <c r="F219" s="83"/>
      <c r="G219" s="80"/>
    </row>
    <row r="220" spans="1:7" s="69" customFormat="1" ht="14.4" x14ac:dyDescent="0.3">
      <c r="A220" s="136" t="s">
        <v>558</v>
      </c>
      <c r="B220" s="91"/>
      <c r="C220" s="92" t="s">
        <v>559</v>
      </c>
      <c r="D220" s="86"/>
      <c r="E220" s="86"/>
      <c r="F220" s="83"/>
      <c r="G220" s="80"/>
    </row>
    <row r="221" spans="1:7" s="69" customFormat="1" ht="14.4" x14ac:dyDescent="0.3">
      <c r="A221" s="136" t="s">
        <v>560</v>
      </c>
      <c r="B221" s="91"/>
      <c r="C221" s="92" t="s">
        <v>561</v>
      </c>
      <c r="D221" s="86"/>
      <c r="E221" s="86"/>
      <c r="F221" s="83"/>
      <c r="G221" s="80"/>
    </row>
    <row r="222" spans="1:7" s="69" customFormat="1" ht="14.4" x14ac:dyDescent="0.3">
      <c r="A222" s="136" t="s">
        <v>562</v>
      </c>
      <c r="B222" s="91"/>
      <c r="C222" s="92" t="s">
        <v>563</v>
      </c>
      <c r="D222" s="86"/>
      <c r="E222" s="86"/>
      <c r="F222" s="83"/>
      <c r="G222" s="80"/>
    </row>
    <row r="223" spans="1:7" s="69" customFormat="1" ht="14.4" x14ac:dyDescent="0.3">
      <c r="A223" s="136" t="s">
        <v>564</v>
      </c>
      <c r="B223" s="91"/>
      <c r="C223" s="95" t="s">
        <v>565</v>
      </c>
      <c r="D223" s="86"/>
      <c r="E223" s="86"/>
      <c r="F223" s="83"/>
      <c r="G223" s="80"/>
    </row>
    <row r="224" spans="1:7" s="69" customFormat="1" ht="14.4" x14ac:dyDescent="0.3">
      <c r="A224" s="136" t="s">
        <v>566</v>
      </c>
      <c r="B224" s="91"/>
      <c r="C224" s="92" t="s">
        <v>567</v>
      </c>
      <c r="D224" s="86"/>
      <c r="E224" s="86"/>
      <c r="F224" s="83"/>
      <c r="G224" s="80"/>
    </row>
    <row r="225" spans="1:7" s="69" customFormat="1" ht="14.4" x14ac:dyDescent="0.3">
      <c r="A225" s="136" t="s">
        <v>568</v>
      </c>
      <c r="B225" s="91"/>
      <c r="C225" s="92" t="s">
        <v>569</v>
      </c>
      <c r="D225" s="86"/>
      <c r="E225" s="86"/>
      <c r="F225" s="83"/>
      <c r="G225" s="80"/>
    </row>
    <row r="226" spans="1:7" s="69" customFormat="1" ht="14.4" x14ac:dyDescent="0.3">
      <c r="A226" s="136" t="s">
        <v>570</v>
      </c>
      <c r="B226" s="91"/>
      <c r="C226" s="95" t="s">
        <v>571</v>
      </c>
      <c r="D226" s="86"/>
      <c r="E226" s="86"/>
      <c r="F226" s="83"/>
      <c r="G226" s="80"/>
    </row>
    <row r="227" spans="1:7" s="69" customFormat="1" x14ac:dyDescent="0.3">
      <c r="A227" s="125" t="s">
        <v>572</v>
      </c>
      <c r="B227" s="71" t="s">
        <v>573</v>
      </c>
      <c r="C227" s="72"/>
      <c r="D227" s="68"/>
      <c r="E227" s="68"/>
      <c r="F227" s="124"/>
      <c r="G227" s="80"/>
    </row>
    <row r="228" spans="1:7" s="69" customFormat="1" ht="42" x14ac:dyDescent="0.3">
      <c r="A228" s="100" t="s">
        <v>574</v>
      </c>
      <c r="B228" s="91"/>
      <c r="C228" s="92" t="s">
        <v>575</v>
      </c>
      <c r="D228" s="86"/>
      <c r="E228" s="86"/>
      <c r="F228" s="83"/>
      <c r="G228" s="80"/>
    </row>
    <row r="229" spans="1:7" s="69" customFormat="1" ht="28.8" x14ac:dyDescent="0.3">
      <c r="A229" s="100" t="s">
        <v>576</v>
      </c>
      <c r="B229" s="91"/>
      <c r="C229" s="95" t="s">
        <v>577</v>
      </c>
      <c r="D229" s="86"/>
      <c r="E229" s="86"/>
      <c r="F229" s="83"/>
      <c r="G229" s="80"/>
    </row>
    <row r="230" spans="1:7" s="69" customFormat="1" ht="61.8" x14ac:dyDescent="0.3">
      <c r="A230" s="98" t="s">
        <v>578</v>
      </c>
      <c r="B230" s="80"/>
      <c r="C230" s="81" t="s">
        <v>579</v>
      </c>
      <c r="D230" s="86"/>
      <c r="E230" s="86"/>
      <c r="F230" s="83"/>
      <c r="G230" s="80"/>
    </row>
    <row r="231" spans="1:7" s="69" customFormat="1" x14ac:dyDescent="0.3">
      <c r="A231" s="125" t="s">
        <v>580</v>
      </c>
      <c r="B231" s="71" t="s">
        <v>581</v>
      </c>
      <c r="C231" s="81"/>
      <c r="D231" s="137"/>
      <c r="E231" s="137"/>
      <c r="F231" s="138"/>
      <c r="G231" s="139"/>
    </row>
    <row r="232" spans="1:7" s="69" customFormat="1" ht="28.2" x14ac:dyDescent="0.3">
      <c r="A232" s="100" t="s">
        <v>582</v>
      </c>
      <c r="B232" s="140"/>
      <c r="C232" s="92" t="s">
        <v>583</v>
      </c>
      <c r="D232" s="86"/>
      <c r="E232" s="86"/>
      <c r="F232" s="83"/>
      <c r="G232" s="80"/>
    </row>
    <row r="233" spans="1:7" s="69" customFormat="1" ht="14.4" x14ac:dyDescent="0.3">
      <c r="A233" s="136" t="str">
        <f>IF(RIGHT(A232,1)=".",IF(MID(A232,6,1)=".",CONCATENATE(LEFT(A232,4),MID(A232,5,1)+1,"."),CONCATENATE(LEFT(A232,4),MID(A232,5,2)+1,".")),CONCATENATE(LEFT(A232,7),CHAR(CODE(MID(A232,8,1))+1)))</f>
        <v>3.10.1.b</v>
      </c>
      <c r="B233" s="91"/>
      <c r="C233" s="95" t="s">
        <v>584</v>
      </c>
      <c r="D233" s="86"/>
      <c r="E233" s="86" t="str">
        <f>IF(NOT(E232=""),"x","")</f>
        <v/>
      </c>
      <c r="F233" s="83"/>
      <c r="G233" s="80"/>
    </row>
    <row r="234" spans="1:7" s="69" customFormat="1" ht="14.4" x14ac:dyDescent="0.3">
      <c r="A234" s="136" t="str">
        <f>IF(RIGHT(A233,1)=".",IF(MID(A233,6,1)=".",CONCATENATE(LEFT(A233,4),MID(A233,5,1)+1,"."),CONCATENATE(LEFT(A233,4),MID(A233,5,2)+1,".")),CONCATENATE(LEFT(A233,7),CHAR(CODE(MID(A233,8,1))+1)))</f>
        <v>3.10.1.c</v>
      </c>
      <c r="B234" s="91"/>
      <c r="C234" s="95" t="s">
        <v>585</v>
      </c>
      <c r="D234" s="86"/>
      <c r="E234" s="86" t="str">
        <f>IF(NOT(E233=""),"x","")</f>
        <v/>
      </c>
      <c r="F234" s="83"/>
      <c r="G234" s="80"/>
    </row>
    <row r="235" spans="1:7" s="69" customFormat="1" x14ac:dyDescent="0.3">
      <c r="A235" s="136" t="str">
        <f>IF(RIGHT(A234,1)=".",IF(MID(A234,6,1)=".",CONCATENATE(LEFT(A234,4),MID(A234,5,1)+1,"."),CONCATENATE(LEFT(A234,4),MID(A234,5,2)+1,".")),CONCATENATE(LEFT(A234,7),CHAR(CODE(MID(A234,8,1))+1)))</f>
        <v>3.10.1.d</v>
      </c>
      <c r="B235" s="91"/>
      <c r="C235" s="92" t="s">
        <v>586</v>
      </c>
      <c r="D235" s="86"/>
      <c r="E235" s="86" t="str">
        <f>IF(NOT(E234=""),"x","")</f>
        <v/>
      </c>
      <c r="F235" s="83"/>
      <c r="G235" s="80"/>
    </row>
    <row r="236" spans="1:7" s="69" customFormat="1" x14ac:dyDescent="0.3">
      <c r="A236" s="136" t="str">
        <f>IF(RIGHT(A235,1)=".",IF(MID(A235,6,1)=".",CONCATENATE(LEFT(A235,4),MID(A235,5,1)+1,"."),CONCATENATE(LEFT(A235,4),MID(A235,5,2)+1,".")),CONCATENATE(LEFT(A235,7),CHAR(CODE(MID(A235,8,1))+1)))</f>
        <v>3.10.1.e</v>
      </c>
      <c r="B236" s="91"/>
      <c r="C236" s="92" t="s">
        <v>587</v>
      </c>
      <c r="D236" s="86"/>
      <c r="E236" s="86" t="str">
        <f>IF(NOT(E235=""),"x","")</f>
        <v/>
      </c>
      <c r="F236" s="83"/>
      <c r="G236" s="80"/>
    </row>
    <row r="237" spans="1:7" s="69" customFormat="1" ht="27.6" x14ac:dyDescent="0.3">
      <c r="A237" s="98" t="s">
        <v>588</v>
      </c>
      <c r="B237" s="80"/>
      <c r="C237" s="81" t="s">
        <v>589</v>
      </c>
      <c r="D237" s="86"/>
      <c r="E237" s="86"/>
      <c r="F237" s="83"/>
      <c r="G237" s="80"/>
    </row>
    <row r="238" spans="1:7" s="69" customFormat="1" ht="27.6" x14ac:dyDescent="0.3">
      <c r="A238" s="141" t="str">
        <f>IF(RIGHT(A237,1)=".",IF(MID(A237,6,1)=".",CONCATENATE(LEFT(A237,5),MID(A237,6,1)+1,"."),CONCATENATE(LEFT(A237,5),MID(A237,6,1)+1,".")),CONCATENATE(LEFT(A237,7),CHAR(CODE(MID(A237,8,1))+1)))</f>
        <v>3.10.3.</v>
      </c>
      <c r="B238" s="80"/>
      <c r="C238" s="81" t="s">
        <v>590</v>
      </c>
      <c r="D238" s="86"/>
      <c r="E238" s="86"/>
      <c r="F238" s="83"/>
      <c r="G238" s="74"/>
    </row>
    <row r="239" spans="1:7" s="69" customFormat="1" ht="27.6" x14ac:dyDescent="0.3">
      <c r="A239" s="141" t="str">
        <f t="shared" ref="A239:A243" si="0">IF(RIGHT(A238,1)=".",IF(MID(A238,6,1)=".",CONCATENATE(LEFT(A238,5),MID(A238,6,1)+1,"."),CONCATENATE(LEFT(A238,5),MID(A238,6,1)+1,".")),CONCATENATE(LEFT(A238,7),CHAR(CODE(MID(A238,8,1))+1)))</f>
        <v>3.10.4.</v>
      </c>
      <c r="B239" s="80"/>
      <c r="C239" s="81" t="s">
        <v>591</v>
      </c>
      <c r="D239" s="86"/>
      <c r="E239" s="86"/>
      <c r="F239" s="83"/>
      <c r="G239" s="80"/>
    </row>
    <row r="240" spans="1:7" s="69" customFormat="1" ht="27.6" x14ac:dyDescent="0.3">
      <c r="A240" s="141" t="str">
        <f t="shared" si="0"/>
        <v>3.10.5.</v>
      </c>
      <c r="B240" s="80"/>
      <c r="C240" s="81" t="s">
        <v>592</v>
      </c>
      <c r="D240" s="86"/>
      <c r="E240" s="86"/>
      <c r="F240" s="83"/>
      <c r="G240" s="80"/>
    </row>
    <row r="241" spans="1:7" s="69" customFormat="1" ht="27.6" x14ac:dyDescent="0.3">
      <c r="A241" s="141" t="str">
        <f t="shared" si="0"/>
        <v>3.10.6.</v>
      </c>
      <c r="B241" s="80"/>
      <c r="C241" s="81" t="s">
        <v>593</v>
      </c>
      <c r="D241" s="86"/>
      <c r="E241" s="86"/>
      <c r="F241" s="83"/>
      <c r="G241" s="80"/>
    </row>
    <row r="242" spans="1:7" s="69" customFormat="1" ht="41.4" x14ac:dyDescent="0.3">
      <c r="A242" s="141" t="str">
        <f t="shared" si="0"/>
        <v>3.10.7.</v>
      </c>
      <c r="B242" s="80"/>
      <c r="C242" s="81" t="s">
        <v>594</v>
      </c>
      <c r="D242" s="86"/>
      <c r="E242" s="86"/>
      <c r="F242" s="83"/>
      <c r="G242" s="77" t="s">
        <v>595</v>
      </c>
    </row>
    <row r="243" spans="1:7" s="69" customFormat="1" ht="27.6" x14ac:dyDescent="0.3">
      <c r="A243" s="141" t="str">
        <f t="shared" si="0"/>
        <v>3.10.8.</v>
      </c>
      <c r="B243" s="80"/>
      <c r="C243" s="81" t="s">
        <v>596</v>
      </c>
      <c r="D243" s="86"/>
      <c r="E243" s="86"/>
      <c r="F243" s="83"/>
      <c r="G243" s="80"/>
    </row>
    <row r="244" spans="1:7" s="69" customFormat="1" ht="14.4" thickBot="1" x14ac:dyDescent="0.35">
      <c r="A244" s="105"/>
      <c r="B244" s="106"/>
      <c r="C244" s="107"/>
      <c r="D244" s="142"/>
      <c r="E244" s="142"/>
      <c r="F244" s="143"/>
      <c r="G244" s="144"/>
    </row>
    <row r="245" spans="1:7" ht="17.399999999999999" x14ac:dyDescent="0.25">
      <c r="A245" s="128" t="s">
        <v>597</v>
      </c>
      <c r="B245" s="129" t="s">
        <v>598</v>
      </c>
      <c r="C245" s="130"/>
      <c r="D245" s="131"/>
      <c r="E245" s="131"/>
      <c r="F245" s="131"/>
      <c r="G245" s="132"/>
    </row>
    <row r="246" spans="1:7" ht="17.399999999999999" x14ac:dyDescent="0.3">
      <c r="A246" s="73"/>
      <c r="B246" s="191" t="s">
        <v>599</v>
      </c>
      <c r="C246" s="77"/>
      <c r="D246" s="315"/>
      <c r="E246" s="315"/>
      <c r="F246" s="315"/>
      <c r="G246" s="74"/>
    </row>
    <row r="247" spans="1:7" x14ac:dyDescent="0.25">
      <c r="A247" s="125" t="s">
        <v>600</v>
      </c>
      <c r="B247" s="71" t="s">
        <v>601</v>
      </c>
      <c r="C247" s="81"/>
      <c r="D247" s="68"/>
      <c r="E247" s="68"/>
      <c r="F247" s="124"/>
      <c r="G247" s="80"/>
    </row>
    <row r="248" spans="1:7" ht="27.6" x14ac:dyDescent="0.25">
      <c r="A248" s="98" t="s">
        <v>602</v>
      </c>
      <c r="B248" s="80"/>
      <c r="C248" s="81" t="s">
        <v>603</v>
      </c>
      <c r="D248" s="86"/>
      <c r="E248" s="86"/>
      <c r="F248" s="83"/>
      <c r="G248" s="80"/>
    </row>
    <row r="249" spans="1:7" x14ac:dyDescent="0.25">
      <c r="A249" s="85" t="s">
        <v>604</v>
      </c>
      <c r="B249" s="80"/>
      <c r="C249" s="81" t="s">
        <v>605</v>
      </c>
      <c r="D249" s="86"/>
      <c r="E249" s="86"/>
      <c r="F249" s="83"/>
      <c r="G249" s="80"/>
    </row>
    <row r="250" spans="1:7" x14ac:dyDescent="0.25">
      <c r="A250" s="85" t="s">
        <v>606</v>
      </c>
      <c r="B250" s="80"/>
      <c r="C250" s="81" t="s">
        <v>607</v>
      </c>
      <c r="D250" s="86"/>
      <c r="E250" s="86"/>
      <c r="F250" s="83"/>
      <c r="G250" s="80"/>
    </row>
    <row r="251" spans="1:7" ht="27.6" x14ac:dyDescent="0.25">
      <c r="A251" s="85" t="s">
        <v>608</v>
      </c>
      <c r="B251" s="80"/>
      <c r="C251" s="81" t="s">
        <v>609</v>
      </c>
      <c r="D251" s="86"/>
      <c r="E251" s="86"/>
      <c r="F251" s="83"/>
      <c r="G251" s="80"/>
    </row>
    <row r="252" spans="1:7" ht="41.4" x14ac:dyDescent="0.25">
      <c r="A252" s="85" t="s">
        <v>610</v>
      </c>
      <c r="B252" s="80"/>
      <c r="C252" s="81" t="s">
        <v>611</v>
      </c>
      <c r="D252" s="86"/>
      <c r="E252" s="86"/>
      <c r="F252" s="89"/>
      <c r="G252" s="77" t="s">
        <v>612</v>
      </c>
    </row>
    <row r="253" spans="1:7" x14ac:dyDescent="0.25">
      <c r="A253" s="85" t="s">
        <v>613</v>
      </c>
      <c r="B253" s="80"/>
      <c r="C253" s="81" t="s">
        <v>614</v>
      </c>
      <c r="D253" s="86"/>
      <c r="E253" s="86"/>
      <c r="F253" s="83"/>
      <c r="G253" s="80"/>
    </row>
    <row r="254" spans="1:7" ht="27.6" x14ac:dyDescent="0.25">
      <c r="A254" s="85" t="s">
        <v>615</v>
      </c>
      <c r="B254" s="80"/>
      <c r="C254" s="81" t="s">
        <v>616</v>
      </c>
      <c r="D254" s="86"/>
      <c r="E254" s="86"/>
      <c r="F254" s="89"/>
      <c r="G254" s="80"/>
    </row>
    <row r="255" spans="1:7" x14ac:dyDescent="0.25">
      <c r="A255" s="125" t="s">
        <v>617</v>
      </c>
      <c r="B255" s="71" t="s">
        <v>618</v>
      </c>
      <c r="C255" s="81"/>
      <c r="D255" s="68"/>
      <c r="E255" s="68"/>
      <c r="F255" s="124"/>
      <c r="G255" s="80"/>
    </row>
    <row r="256" spans="1:7" ht="42" x14ac:dyDescent="0.25">
      <c r="A256" s="100" t="s">
        <v>619</v>
      </c>
      <c r="B256" s="91"/>
      <c r="C256" s="92" t="s">
        <v>620</v>
      </c>
      <c r="D256" s="86"/>
      <c r="E256" s="86"/>
      <c r="F256" s="83"/>
      <c r="G256" s="80"/>
    </row>
    <row r="257" spans="1:7" ht="14.4" x14ac:dyDescent="0.25">
      <c r="A257" s="97" t="s">
        <v>621</v>
      </c>
      <c r="B257" s="91"/>
      <c r="C257" s="92" t="s">
        <v>622</v>
      </c>
      <c r="D257" s="86"/>
      <c r="E257" s="86"/>
      <c r="F257" s="83"/>
      <c r="G257" s="80"/>
    </row>
    <row r="258" spans="1:7" ht="14.4" x14ac:dyDescent="0.25">
      <c r="A258" s="97" t="s">
        <v>623</v>
      </c>
      <c r="B258" s="91"/>
      <c r="C258" s="95" t="s">
        <v>624</v>
      </c>
      <c r="D258" s="86"/>
      <c r="E258" s="86"/>
      <c r="F258" s="83"/>
      <c r="G258" s="80"/>
    </row>
    <row r="259" spans="1:7" ht="14.4" x14ac:dyDescent="0.25">
      <c r="A259" s="97" t="s">
        <v>625</v>
      </c>
      <c r="B259" s="91"/>
      <c r="C259" s="95" t="s">
        <v>626</v>
      </c>
      <c r="D259" s="86"/>
      <c r="E259" s="86"/>
      <c r="F259" s="83"/>
      <c r="G259" s="80"/>
    </row>
    <row r="260" spans="1:7" ht="14.4" x14ac:dyDescent="0.25">
      <c r="A260" s="97" t="s">
        <v>627</v>
      </c>
      <c r="B260" s="91"/>
      <c r="C260" s="95" t="s">
        <v>628</v>
      </c>
      <c r="D260" s="86"/>
      <c r="E260" s="86"/>
      <c r="F260" s="83"/>
      <c r="G260" s="80"/>
    </row>
    <row r="261" spans="1:7" ht="14.4" x14ac:dyDescent="0.25">
      <c r="A261" s="97" t="s">
        <v>629</v>
      </c>
      <c r="B261" s="91"/>
      <c r="C261" s="95" t="s">
        <v>630</v>
      </c>
      <c r="D261" s="86"/>
      <c r="E261" s="86"/>
      <c r="F261" s="83"/>
      <c r="G261" s="80"/>
    </row>
    <row r="262" spans="1:7" ht="14.4" x14ac:dyDescent="0.25">
      <c r="A262" s="97" t="s">
        <v>631</v>
      </c>
      <c r="B262" s="91"/>
      <c r="C262" s="95" t="s">
        <v>632</v>
      </c>
      <c r="D262" s="86"/>
      <c r="E262" s="86"/>
      <c r="F262" s="83"/>
      <c r="G262" s="80"/>
    </row>
    <row r="263" spans="1:7" ht="14.4" x14ac:dyDescent="0.25">
      <c r="A263" s="97" t="s">
        <v>633</v>
      </c>
      <c r="B263" s="91"/>
      <c r="C263" s="95" t="s">
        <v>634</v>
      </c>
      <c r="D263" s="86"/>
      <c r="E263" s="86"/>
      <c r="F263" s="83"/>
      <c r="G263" s="80"/>
    </row>
    <row r="264" spans="1:7" ht="14.4" x14ac:dyDescent="0.25">
      <c r="A264" s="97" t="s">
        <v>635</v>
      </c>
      <c r="B264" s="91"/>
      <c r="C264" s="95" t="s">
        <v>636</v>
      </c>
      <c r="D264" s="86"/>
      <c r="E264" s="86"/>
      <c r="F264" s="83"/>
      <c r="G264" s="80"/>
    </row>
    <row r="265" spans="1:7" ht="14.4" x14ac:dyDescent="0.25">
      <c r="A265" s="97" t="s">
        <v>637</v>
      </c>
      <c r="B265" s="91"/>
      <c r="C265" s="95" t="s">
        <v>638</v>
      </c>
      <c r="D265" s="86"/>
      <c r="E265" s="86"/>
      <c r="F265" s="83"/>
      <c r="G265" s="80"/>
    </row>
    <row r="266" spans="1:7" ht="14.4" x14ac:dyDescent="0.25">
      <c r="A266" s="97" t="s">
        <v>639</v>
      </c>
      <c r="B266" s="91"/>
      <c r="C266" s="95" t="s">
        <v>640</v>
      </c>
      <c r="D266" s="86"/>
      <c r="E266" s="86"/>
      <c r="F266" s="83"/>
      <c r="G266" s="80"/>
    </row>
    <row r="267" spans="1:7" ht="14.4" x14ac:dyDescent="0.25">
      <c r="A267" s="97" t="s">
        <v>641</v>
      </c>
      <c r="B267" s="91"/>
      <c r="C267" s="95" t="s">
        <v>642</v>
      </c>
      <c r="D267" s="86"/>
      <c r="E267" s="86"/>
      <c r="F267" s="83"/>
      <c r="G267" s="80"/>
    </row>
    <row r="268" spans="1:7" ht="14.4" x14ac:dyDescent="0.25">
      <c r="A268" s="97" t="s">
        <v>643</v>
      </c>
      <c r="B268" s="91"/>
      <c r="C268" s="95" t="s">
        <v>644</v>
      </c>
      <c r="D268" s="86"/>
      <c r="E268" s="86"/>
      <c r="F268" s="83"/>
      <c r="G268" s="80"/>
    </row>
    <row r="269" spans="1:7" ht="14.4" x14ac:dyDescent="0.25">
      <c r="A269" s="97" t="s">
        <v>645</v>
      </c>
      <c r="B269" s="91"/>
      <c r="C269" s="95" t="s">
        <v>646</v>
      </c>
      <c r="D269" s="86"/>
      <c r="E269" s="86"/>
      <c r="F269" s="83"/>
      <c r="G269" s="80"/>
    </row>
    <row r="270" spans="1:7" ht="14.4" x14ac:dyDescent="0.25">
      <c r="A270" s="97" t="s">
        <v>647</v>
      </c>
      <c r="B270" s="91"/>
      <c r="C270" s="95" t="s">
        <v>648</v>
      </c>
      <c r="D270" s="86"/>
      <c r="E270" s="86"/>
      <c r="F270" s="83"/>
      <c r="G270" s="80"/>
    </row>
    <row r="271" spans="1:7" ht="14.4" x14ac:dyDescent="0.25">
      <c r="A271" s="97" t="s">
        <v>649</v>
      </c>
      <c r="B271" s="91"/>
      <c r="C271" s="95" t="s">
        <v>650</v>
      </c>
      <c r="D271" s="145"/>
      <c r="E271" s="145"/>
      <c r="F271" s="146"/>
      <c r="G271" s="147"/>
    </row>
    <row r="272" spans="1:7" ht="14.4" x14ac:dyDescent="0.25">
      <c r="A272" s="97" t="s">
        <v>651</v>
      </c>
      <c r="B272" s="91"/>
      <c r="C272" s="95" t="s">
        <v>652</v>
      </c>
      <c r="D272" s="145"/>
      <c r="E272" s="145"/>
      <c r="F272" s="146"/>
      <c r="G272" s="147"/>
    </row>
    <row r="273" spans="1:7" ht="14.4" x14ac:dyDescent="0.25">
      <c r="A273" s="97" t="s">
        <v>653</v>
      </c>
      <c r="B273" s="91"/>
      <c r="C273" s="95" t="s">
        <v>654</v>
      </c>
      <c r="D273" s="145"/>
      <c r="E273" s="145"/>
      <c r="F273" s="146"/>
      <c r="G273" s="147"/>
    </row>
    <row r="274" spans="1:7" ht="14.4" x14ac:dyDescent="0.25">
      <c r="A274" s="97" t="s">
        <v>655</v>
      </c>
      <c r="B274" s="91"/>
      <c r="C274" s="95" t="s">
        <v>656</v>
      </c>
      <c r="D274" s="145"/>
      <c r="E274" s="145"/>
      <c r="F274" s="146"/>
      <c r="G274" s="147"/>
    </row>
    <row r="275" spans="1:7" ht="14.4" x14ac:dyDescent="0.25">
      <c r="A275" s="97" t="s">
        <v>657</v>
      </c>
      <c r="B275" s="91"/>
      <c r="C275" s="95" t="s">
        <v>658</v>
      </c>
      <c r="D275" s="145"/>
      <c r="E275" s="145"/>
      <c r="F275" s="146"/>
      <c r="G275" s="147"/>
    </row>
    <row r="276" spans="1:7" ht="14.4" x14ac:dyDescent="0.25">
      <c r="A276" s="97" t="s">
        <v>659</v>
      </c>
      <c r="B276" s="91"/>
      <c r="C276" s="95" t="s">
        <v>660</v>
      </c>
      <c r="D276" s="145"/>
      <c r="E276" s="145"/>
      <c r="F276" s="146"/>
      <c r="G276" s="147"/>
    </row>
    <row r="277" spans="1:7" ht="14.4" x14ac:dyDescent="0.25">
      <c r="A277" s="97" t="s">
        <v>661</v>
      </c>
      <c r="B277" s="91"/>
      <c r="C277" s="95" t="s">
        <v>662</v>
      </c>
      <c r="D277" s="145"/>
      <c r="E277" s="145"/>
      <c r="F277" s="146"/>
      <c r="G277" s="147"/>
    </row>
    <row r="278" spans="1:7" ht="14.4" x14ac:dyDescent="0.25">
      <c r="A278" s="97" t="s">
        <v>663</v>
      </c>
      <c r="B278" s="91"/>
      <c r="C278" s="95" t="s">
        <v>664</v>
      </c>
      <c r="D278" s="145"/>
      <c r="E278" s="145"/>
      <c r="F278" s="146"/>
      <c r="G278" s="147"/>
    </row>
    <row r="279" spans="1:7" ht="14.4" x14ac:dyDescent="0.25">
      <c r="A279" s="97" t="s">
        <v>665</v>
      </c>
      <c r="B279" s="91"/>
      <c r="C279" s="95" t="s">
        <v>666</v>
      </c>
      <c r="D279" s="145"/>
      <c r="E279" s="145"/>
      <c r="F279" s="146"/>
      <c r="G279" s="147"/>
    </row>
    <row r="280" spans="1:7" ht="14.4" x14ac:dyDescent="0.25">
      <c r="A280" s="97" t="s">
        <v>667</v>
      </c>
      <c r="B280" s="91"/>
      <c r="C280" s="95" t="s">
        <v>668</v>
      </c>
      <c r="D280" s="145"/>
      <c r="E280" s="145"/>
      <c r="F280" s="146"/>
      <c r="G280" s="147"/>
    </row>
    <row r="281" spans="1:7" ht="14.4" x14ac:dyDescent="0.25">
      <c r="A281" s="97" t="s">
        <v>669</v>
      </c>
      <c r="B281" s="91"/>
      <c r="C281" s="95" t="s">
        <v>670</v>
      </c>
      <c r="D281" s="145"/>
      <c r="E281" s="145"/>
      <c r="F281" s="146"/>
      <c r="G281" s="147"/>
    </row>
    <row r="282" spans="1:7" ht="14.4" x14ac:dyDescent="0.25">
      <c r="A282" s="97" t="s">
        <v>671</v>
      </c>
      <c r="B282" s="91"/>
      <c r="C282" s="95" t="s">
        <v>672</v>
      </c>
      <c r="D282" s="145"/>
      <c r="E282" s="145"/>
      <c r="F282" s="146"/>
      <c r="G282" s="147"/>
    </row>
    <row r="283" spans="1:7" ht="14.4" x14ac:dyDescent="0.25">
      <c r="A283" s="90" t="s">
        <v>673</v>
      </c>
      <c r="B283" s="91"/>
      <c r="C283" s="95" t="s">
        <v>674</v>
      </c>
      <c r="D283" s="145"/>
      <c r="E283" s="145"/>
      <c r="F283" s="146"/>
      <c r="G283" s="147"/>
    </row>
    <row r="284" spans="1:7" ht="14.4" x14ac:dyDescent="0.25">
      <c r="A284" s="90" t="s">
        <v>675</v>
      </c>
      <c r="B284" s="91"/>
      <c r="C284" s="95" t="s">
        <v>676</v>
      </c>
      <c r="D284" s="145"/>
      <c r="E284" s="145"/>
      <c r="F284" s="146"/>
      <c r="G284" s="147"/>
    </row>
    <row r="285" spans="1:7" ht="14.4" x14ac:dyDescent="0.25">
      <c r="A285" s="90" t="s">
        <v>677</v>
      </c>
      <c r="B285" s="91"/>
      <c r="C285" s="95" t="s">
        <v>678</v>
      </c>
      <c r="D285" s="145"/>
      <c r="E285" s="145"/>
      <c r="F285" s="146"/>
      <c r="G285" s="147"/>
    </row>
    <row r="286" spans="1:7" ht="14.4" x14ac:dyDescent="0.25">
      <c r="A286" s="90" t="s">
        <v>679</v>
      </c>
      <c r="B286" s="91"/>
      <c r="C286" s="92" t="s">
        <v>680</v>
      </c>
      <c r="D286" s="145"/>
      <c r="E286" s="145"/>
      <c r="F286" s="146"/>
      <c r="G286" s="147"/>
    </row>
    <row r="287" spans="1:7" ht="14.4" x14ac:dyDescent="0.25">
      <c r="A287" s="90" t="s">
        <v>681</v>
      </c>
      <c r="B287" s="91"/>
      <c r="C287" s="95" t="s">
        <v>682</v>
      </c>
      <c r="D287" s="145"/>
      <c r="E287" s="145"/>
      <c r="F287" s="146"/>
      <c r="G287" s="147"/>
    </row>
    <row r="288" spans="1:7" ht="14.4" x14ac:dyDescent="0.25">
      <c r="A288" s="90" t="s">
        <v>683</v>
      </c>
      <c r="B288" s="91"/>
      <c r="C288" s="95" t="s">
        <v>684</v>
      </c>
      <c r="D288" s="145"/>
      <c r="E288" s="145"/>
      <c r="F288" s="146"/>
      <c r="G288" s="147"/>
    </row>
    <row r="289" spans="1:7" ht="14.4" x14ac:dyDescent="0.25">
      <c r="A289" s="90" t="s">
        <v>685</v>
      </c>
      <c r="B289" s="91"/>
      <c r="C289" s="95" t="s">
        <v>686</v>
      </c>
      <c r="D289" s="145"/>
      <c r="E289" s="145"/>
      <c r="F289" s="146"/>
      <c r="G289" s="147"/>
    </row>
    <row r="290" spans="1:7" ht="14.4" x14ac:dyDescent="0.25">
      <c r="A290" s="90" t="s">
        <v>687</v>
      </c>
      <c r="B290" s="91"/>
      <c r="C290" s="92" t="s">
        <v>688</v>
      </c>
      <c r="D290" s="145"/>
      <c r="E290" s="145"/>
      <c r="F290" s="148"/>
      <c r="G290" s="147"/>
    </row>
    <row r="291" spans="1:7" x14ac:dyDescent="0.25">
      <c r="A291" s="125" t="s">
        <v>689</v>
      </c>
      <c r="B291" s="71" t="s">
        <v>690</v>
      </c>
      <c r="C291" s="81"/>
      <c r="D291" s="149"/>
      <c r="E291" s="149"/>
      <c r="F291" s="150"/>
      <c r="G291" s="147"/>
    </row>
    <row r="292" spans="1:7" ht="27.6" x14ac:dyDescent="0.25">
      <c r="A292" s="98" t="s">
        <v>691</v>
      </c>
      <c r="B292" s="80"/>
      <c r="C292" s="81" t="s">
        <v>692</v>
      </c>
      <c r="D292" s="145"/>
      <c r="E292" s="145"/>
      <c r="F292" s="146"/>
      <c r="G292" s="147"/>
    </row>
    <row r="293" spans="1:7" ht="27.6" x14ac:dyDescent="0.25">
      <c r="A293" s="98" t="s">
        <v>693</v>
      </c>
      <c r="B293" s="80"/>
      <c r="C293" s="81" t="s">
        <v>694</v>
      </c>
      <c r="D293" s="145"/>
      <c r="E293" s="145"/>
      <c r="F293" s="146"/>
      <c r="G293" s="147"/>
    </row>
    <row r="294" spans="1:7" ht="27.6" x14ac:dyDescent="0.25">
      <c r="A294" s="98" t="s">
        <v>695</v>
      </c>
      <c r="B294" s="80"/>
      <c r="C294" s="81" t="s">
        <v>696</v>
      </c>
      <c r="D294" s="145"/>
      <c r="E294" s="145"/>
      <c r="F294" s="146"/>
      <c r="G294" s="147"/>
    </row>
    <row r="295" spans="1:7" ht="30.75" customHeight="1" x14ac:dyDescent="0.25">
      <c r="A295" s="98" t="s">
        <v>697</v>
      </c>
      <c r="B295" s="80"/>
      <c r="C295" s="81" t="s">
        <v>698</v>
      </c>
      <c r="D295" s="145"/>
      <c r="E295" s="145"/>
      <c r="F295" s="146"/>
      <c r="G295" s="147"/>
    </row>
    <row r="296" spans="1:7" ht="27.6" x14ac:dyDescent="0.25">
      <c r="A296" s="98" t="s">
        <v>699</v>
      </c>
      <c r="B296" s="80"/>
      <c r="C296" s="81" t="s">
        <v>700</v>
      </c>
      <c r="D296" s="145"/>
      <c r="E296" s="145"/>
      <c r="F296" s="146"/>
      <c r="G296" s="147"/>
    </row>
    <row r="297" spans="1:7" x14ac:dyDescent="0.25">
      <c r="A297" s="98" t="s">
        <v>701</v>
      </c>
      <c r="B297" s="80"/>
      <c r="C297" s="81" t="s">
        <v>702</v>
      </c>
      <c r="D297" s="145"/>
      <c r="E297" s="145"/>
      <c r="F297" s="146"/>
      <c r="G297" s="147"/>
    </row>
    <row r="298" spans="1:7" ht="41.4" x14ac:dyDescent="0.25">
      <c r="A298" s="98" t="s">
        <v>703</v>
      </c>
      <c r="B298" s="151"/>
      <c r="C298" s="152" t="s">
        <v>704</v>
      </c>
      <c r="D298" s="145"/>
      <c r="E298" s="145"/>
      <c r="F298" s="148"/>
      <c r="G298" s="147"/>
    </row>
    <row r="299" spans="1:7" x14ac:dyDescent="0.25">
      <c r="A299" s="125" t="s">
        <v>705</v>
      </c>
      <c r="B299" s="71" t="s">
        <v>706</v>
      </c>
      <c r="C299" s="81"/>
      <c r="D299" s="153"/>
      <c r="E299" s="153"/>
      <c r="F299" s="154"/>
      <c r="G299" s="155"/>
    </row>
    <row r="300" spans="1:7" s="197" customFormat="1" ht="107.25" customHeight="1" x14ac:dyDescent="0.25">
      <c r="A300" s="98" t="s">
        <v>707</v>
      </c>
      <c r="B300" s="80"/>
      <c r="C300" s="81" t="s">
        <v>708</v>
      </c>
      <c r="D300" s="257"/>
      <c r="E300" s="257"/>
      <c r="F300" s="146"/>
      <c r="G300" s="258"/>
    </row>
    <row r="301" spans="1:7" ht="27.6" x14ac:dyDescent="0.25">
      <c r="A301" s="98" t="s">
        <v>709</v>
      </c>
      <c r="B301" s="80"/>
      <c r="C301" s="81" t="s">
        <v>710</v>
      </c>
      <c r="D301" s="145"/>
      <c r="E301" s="145"/>
      <c r="F301" s="146"/>
      <c r="G301" s="77" t="s">
        <v>711</v>
      </c>
    </row>
    <row r="302" spans="1:7" ht="27.6" x14ac:dyDescent="0.25">
      <c r="A302" s="98" t="s">
        <v>712</v>
      </c>
      <c r="B302" s="71"/>
      <c r="C302" s="81" t="s">
        <v>713</v>
      </c>
      <c r="D302" s="145"/>
      <c r="E302" s="145"/>
      <c r="F302" s="146"/>
      <c r="G302" s="147"/>
    </row>
    <row r="303" spans="1:7" x14ac:dyDescent="0.25">
      <c r="A303" s="125" t="s">
        <v>714</v>
      </c>
      <c r="B303" s="71" t="s">
        <v>715</v>
      </c>
      <c r="C303" s="72"/>
      <c r="D303" s="149"/>
      <c r="E303" s="149"/>
      <c r="F303" s="150"/>
      <c r="G303" s="147"/>
    </row>
    <row r="304" spans="1:7" ht="73.2" x14ac:dyDescent="0.25">
      <c r="A304" s="98" t="s">
        <v>716</v>
      </c>
      <c r="B304" s="80"/>
      <c r="C304" s="81" t="s">
        <v>717</v>
      </c>
      <c r="D304" s="145"/>
      <c r="E304" s="145"/>
      <c r="F304" s="146"/>
      <c r="G304" s="147"/>
    </row>
    <row r="305" spans="1:7" ht="41.4" x14ac:dyDescent="0.25">
      <c r="A305" s="98" t="s">
        <v>718</v>
      </c>
      <c r="B305" s="80"/>
      <c r="C305" s="81" t="s">
        <v>719</v>
      </c>
      <c r="D305" s="145"/>
      <c r="E305" s="145"/>
      <c r="F305" s="146"/>
      <c r="G305" s="147"/>
    </row>
    <row r="306" spans="1:7" ht="27.6" x14ac:dyDescent="0.25">
      <c r="A306" s="98" t="s">
        <v>720</v>
      </c>
      <c r="B306" s="80"/>
      <c r="C306" s="81" t="s">
        <v>721</v>
      </c>
      <c r="D306" s="145"/>
      <c r="E306" s="145"/>
      <c r="F306" s="146"/>
      <c r="G306" s="77" t="s">
        <v>722</v>
      </c>
    </row>
    <row r="307" spans="1:7" s="197" customFormat="1" ht="31.5" customHeight="1" x14ac:dyDescent="0.25">
      <c r="A307" s="98" t="s">
        <v>723</v>
      </c>
      <c r="B307" s="80"/>
      <c r="C307" s="81" t="s">
        <v>724</v>
      </c>
      <c r="D307" s="257"/>
      <c r="E307" s="257"/>
      <c r="F307" s="146"/>
      <c r="G307" s="258"/>
    </row>
    <row r="308" spans="1:7" ht="27.6" x14ac:dyDescent="0.25">
      <c r="A308" s="98" t="s">
        <v>725</v>
      </c>
      <c r="B308" s="80"/>
      <c r="C308" s="81" t="s">
        <v>726</v>
      </c>
      <c r="D308" s="145"/>
      <c r="E308" s="145"/>
      <c r="F308" s="146"/>
      <c r="G308" s="147"/>
    </row>
    <row r="309" spans="1:7" ht="27.6" x14ac:dyDescent="0.25">
      <c r="A309" s="98" t="s">
        <v>727</v>
      </c>
      <c r="B309" s="80"/>
      <c r="C309" s="81" t="s">
        <v>728</v>
      </c>
      <c r="D309" s="145"/>
      <c r="E309" s="145"/>
      <c r="F309" s="146"/>
      <c r="G309" s="74"/>
    </row>
    <row r="310" spans="1:7" x14ac:dyDescent="0.25">
      <c r="A310" s="125" t="s">
        <v>729</v>
      </c>
      <c r="B310" s="71" t="s">
        <v>730</v>
      </c>
      <c r="C310" s="81"/>
      <c r="D310" s="149"/>
      <c r="E310" s="149"/>
      <c r="F310" s="150"/>
      <c r="G310" s="147"/>
    </row>
    <row r="311" spans="1:7" ht="27.6" x14ac:dyDescent="0.25">
      <c r="A311" s="98" t="s">
        <v>731</v>
      </c>
      <c r="B311" s="80"/>
      <c r="C311" s="81" t="s">
        <v>732</v>
      </c>
      <c r="D311" s="145"/>
      <c r="E311" s="145"/>
      <c r="F311" s="146"/>
      <c r="G311" s="147"/>
    </row>
    <row r="312" spans="1:7" ht="27.6" x14ac:dyDescent="0.25">
      <c r="A312" s="98" t="s">
        <v>733</v>
      </c>
      <c r="B312" s="80"/>
      <c r="C312" s="81" t="s">
        <v>734</v>
      </c>
      <c r="D312" s="145"/>
      <c r="E312" s="145"/>
      <c r="F312" s="146"/>
      <c r="G312" s="147"/>
    </row>
    <row r="313" spans="1:7" ht="27.6" x14ac:dyDescent="0.25">
      <c r="A313" s="98" t="s">
        <v>735</v>
      </c>
      <c r="B313" s="80"/>
      <c r="C313" s="81" t="s">
        <v>736</v>
      </c>
      <c r="D313" s="145"/>
      <c r="E313" s="145"/>
      <c r="F313" s="146"/>
      <c r="G313" s="77" t="s">
        <v>737</v>
      </c>
    </row>
    <row r="314" spans="1:7" ht="33.75" customHeight="1" x14ac:dyDescent="0.25">
      <c r="A314" s="98" t="s">
        <v>738</v>
      </c>
      <c r="B314" s="80"/>
      <c r="C314" s="81" t="s">
        <v>739</v>
      </c>
      <c r="D314" s="145"/>
      <c r="E314" s="145"/>
      <c r="F314" s="146"/>
      <c r="G314" s="147"/>
    </row>
    <row r="315" spans="1:7" x14ac:dyDescent="0.25">
      <c r="A315" s="125" t="s">
        <v>740</v>
      </c>
      <c r="B315" s="71" t="s">
        <v>741</v>
      </c>
      <c r="C315" s="81"/>
      <c r="D315" s="149"/>
      <c r="E315" s="149"/>
      <c r="F315" s="150"/>
      <c r="G315" s="147"/>
    </row>
    <row r="316" spans="1:7" ht="27.6" x14ac:dyDescent="0.25">
      <c r="A316" s="98" t="s">
        <v>742</v>
      </c>
      <c r="B316" s="71"/>
      <c r="C316" s="81" t="s">
        <v>743</v>
      </c>
      <c r="D316" s="145"/>
      <c r="E316" s="145"/>
      <c r="F316" s="146"/>
      <c r="G316" s="147"/>
    </row>
    <row r="317" spans="1:7" ht="41.4" x14ac:dyDescent="0.25">
      <c r="A317" s="98" t="s">
        <v>744</v>
      </c>
      <c r="B317" s="80"/>
      <c r="C317" s="285" t="s">
        <v>745</v>
      </c>
      <c r="D317" s="145"/>
      <c r="E317" s="145"/>
      <c r="F317" s="146"/>
      <c r="G317" s="77" t="s">
        <v>746</v>
      </c>
    </row>
    <row r="318" spans="1:7" ht="41.4" x14ac:dyDescent="0.25">
      <c r="A318" s="98" t="s">
        <v>747</v>
      </c>
      <c r="B318" s="80"/>
      <c r="C318" s="285" t="s">
        <v>748</v>
      </c>
      <c r="D318" s="145"/>
      <c r="E318" s="145"/>
      <c r="F318" s="146"/>
      <c r="G318" s="77"/>
    </row>
    <row r="319" spans="1:7" ht="41.4" x14ac:dyDescent="0.25">
      <c r="A319" s="98" t="s">
        <v>749</v>
      </c>
      <c r="B319" s="80"/>
      <c r="C319" s="285" t="s">
        <v>750</v>
      </c>
      <c r="D319" s="145"/>
      <c r="E319" s="145"/>
      <c r="F319" s="146"/>
      <c r="G319" s="77"/>
    </row>
    <row r="320" spans="1:7" ht="27.6" x14ac:dyDescent="0.25">
      <c r="A320" s="98" t="s">
        <v>751</v>
      </c>
      <c r="B320" s="80"/>
      <c r="C320" s="81" t="s">
        <v>752</v>
      </c>
      <c r="D320" s="145"/>
      <c r="E320" s="145"/>
      <c r="F320" s="146"/>
      <c r="G320" s="147"/>
    </row>
    <row r="321" spans="1:7" ht="39" x14ac:dyDescent="0.25">
      <c r="A321" s="98" t="s">
        <v>753</v>
      </c>
      <c r="B321" s="80"/>
      <c r="C321" s="81" t="s">
        <v>754</v>
      </c>
      <c r="D321" s="145"/>
      <c r="E321" s="145"/>
      <c r="F321" s="146"/>
      <c r="G321" s="147"/>
    </row>
    <row r="322" spans="1:7" ht="27.6" x14ac:dyDescent="0.25">
      <c r="A322" s="98" t="s">
        <v>755</v>
      </c>
      <c r="B322" s="80"/>
      <c r="C322" s="81" t="s">
        <v>756</v>
      </c>
      <c r="D322" s="145"/>
      <c r="E322" s="145"/>
      <c r="F322" s="146"/>
      <c r="G322" s="147"/>
    </row>
    <row r="323" spans="1:7" ht="14.4" thickBot="1" x14ac:dyDescent="0.3">
      <c r="A323" s="105"/>
      <c r="B323" s="106"/>
      <c r="C323" s="107"/>
      <c r="D323" s="156"/>
      <c r="E323" s="156"/>
      <c r="F323" s="157"/>
      <c r="G323" s="158"/>
    </row>
    <row r="324" spans="1:7" ht="17.399999999999999" x14ac:dyDescent="0.25">
      <c r="A324" s="159" t="s">
        <v>757</v>
      </c>
      <c r="B324" s="160" t="s">
        <v>758</v>
      </c>
      <c r="C324" s="161"/>
      <c r="D324" s="162"/>
      <c r="E324" s="163"/>
      <c r="F324" s="164"/>
      <c r="G324" s="165"/>
    </row>
    <row r="325" spans="1:7" ht="17.399999999999999" x14ac:dyDescent="0.3">
      <c r="A325" s="73"/>
      <c r="B325" s="191" t="s">
        <v>759</v>
      </c>
      <c r="C325" s="77"/>
      <c r="D325" s="315"/>
      <c r="E325" s="315"/>
      <c r="F325" s="315"/>
      <c r="G325" s="74"/>
    </row>
    <row r="326" spans="1:7" x14ac:dyDescent="0.25">
      <c r="A326" s="125" t="s">
        <v>760</v>
      </c>
      <c r="B326" s="71" t="s">
        <v>761</v>
      </c>
      <c r="C326" s="81"/>
      <c r="D326" s="68"/>
      <c r="E326" s="68"/>
      <c r="F326" s="124"/>
      <c r="G326" s="80"/>
    </row>
    <row r="327" spans="1:7" ht="69" x14ac:dyDescent="0.25">
      <c r="A327" s="100" t="s">
        <v>762</v>
      </c>
      <c r="B327" s="91"/>
      <c r="C327" s="92" t="s">
        <v>763</v>
      </c>
      <c r="D327" s="86"/>
      <c r="E327" s="86"/>
      <c r="F327" s="83"/>
      <c r="G327" s="80"/>
    </row>
    <row r="328" spans="1:7" ht="14.4" x14ac:dyDescent="0.25">
      <c r="A328" s="97" t="s">
        <v>764</v>
      </c>
      <c r="B328" s="91"/>
      <c r="C328" s="92" t="s">
        <v>765</v>
      </c>
      <c r="D328" s="145"/>
      <c r="E328" s="145"/>
      <c r="F328" s="148"/>
      <c r="G328" s="147"/>
    </row>
    <row r="329" spans="1:7" ht="16.5" customHeight="1" x14ac:dyDescent="0.25">
      <c r="A329" s="97" t="s">
        <v>766</v>
      </c>
      <c r="B329" s="91"/>
      <c r="C329" s="95" t="s">
        <v>767</v>
      </c>
      <c r="D329" s="122"/>
      <c r="E329" s="122"/>
      <c r="F329" s="89"/>
      <c r="G329" s="80"/>
    </row>
    <row r="330" spans="1:7" ht="14.4" x14ac:dyDescent="0.25">
      <c r="A330" s="97" t="s">
        <v>768</v>
      </c>
      <c r="B330" s="91"/>
      <c r="C330" s="95" t="s">
        <v>769</v>
      </c>
      <c r="D330" s="122"/>
      <c r="E330" s="122"/>
      <c r="F330" s="89"/>
      <c r="G330" s="80"/>
    </row>
    <row r="331" spans="1:7" ht="14.4" x14ac:dyDescent="0.25">
      <c r="A331" s="97" t="s">
        <v>770</v>
      </c>
      <c r="B331" s="91"/>
      <c r="C331" s="95" t="s">
        <v>771</v>
      </c>
      <c r="D331" s="122"/>
      <c r="E331" s="122"/>
      <c r="F331" s="89"/>
      <c r="G331" s="80"/>
    </row>
    <row r="332" spans="1:7" x14ac:dyDescent="0.25">
      <c r="A332" s="78" t="s">
        <v>772</v>
      </c>
      <c r="B332" s="71" t="s">
        <v>773</v>
      </c>
      <c r="C332" s="107"/>
      <c r="D332" s="119"/>
      <c r="E332" s="119"/>
      <c r="F332" s="124"/>
      <c r="G332" s="80"/>
    </row>
    <row r="333" spans="1:7" ht="27.6" x14ac:dyDescent="0.25">
      <c r="A333" s="79" t="s">
        <v>774</v>
      </c>
      <c r="B333" s="80"/>
      <c r="C333" s="81" t="s">
        <v>775</v>
      </c>
      <c r="D333" s="122"/>
      <c r="E333" s="122"/>
      <c r="F333" s="89"/>
      <c r="G333" s="77" t="s">
        <v>776</v>
      </c>
    </row>
    <row r="334" spans="1:7" ht="28.2" x14ac:dyDescent="0.25">
      <c r="A334" s="97" t="s">
        <v>777</v>
      </c>
      <c r="B334" s="91"/>
      <c r="C334" s="92" t="s">
        <v>778</v>
      </c>
      <c r="D334" s="122"/>
      <c r="E334" s="122"/>
      <c r="F334" s="83"/>
      <c r="G334" s="80"/>
    </row>
    <row r="335" spans="1:7" ht="14.4" x14ac:dyDescent="0.25">
      <c r="A335" s="97" t="s">
        <v>779</v>
      </c>
      <c r="B335" s="91"/>
      <c r="C335" s="92" t="s">
        <v>780</v>
      </c>
      <c r="D335" s="122"/>
      <c r="E335" s="122"/>
      <c r="F335" s="83"/>
      <c r="G335" s="80"/>
    </row>
    <row r="336" spans="1:7" ht="14.4" x14ac:dyDescent="0.25">
      <c r="A336" s="97" t="s">
        <v>781</v>
      </c>
      <c r="B336" s="91"/>
      <c r="C336" s="95" t="s">
        <v>782</v>
      </c>
      <c r="D336" s="122"/>
      <c r="E336" s="122"/>
      <c r="F336" s="83"/>
      <c r="G336" s="80"/>
    </row>
    <row r="337" spans="1:7" ht="14.4" x14ac:dyDescent="0.25">
      <c r="A337" s="97" t="s">
        <v>783</v>
      </c>
      <c r="B337" s="91"/>
      <c r="C337" s="95" t="s">
        <v>784</v>
      </c>
      <c r="D337" s="122"/>
      <c r="E337" s="122"/>
      <c r="F337" s="83"/>
      <c r="G337" s="80"/>
    </row>
    <row r="338" spans="1:7" ht="14.4" x14ac:dyDescent="0.25">
      <c r="A338" s="97" t="s">
        <v>785</v>
      </c>
      <c r="B338" s="91"/>
      <c r="C338" s="286" t="s">
        <v>786</v>
      </c>
      <c r="D338" s="122"/>
      <c r="E338" s="122"/>
      <c r="F338" s="83"/>
      <c r="G338" s="80"/>
    </row>
    <row r="339" spans="1:7" ht="14.4" x14ac:dyDescent="0.25">
      <c r="A339" s="97" t="s">
        <v>787</v>
      </c>
      <c r="B339" s="91"/>
      <c r="C339" s="92" t="s">
        <v>788</v>
      </c>
      <c r="D339" s="122"/>
      <c r="E339" s="122"/>
      <c r="F339" s="83"/>
      <c r="G339" s="80"/>
    </row>
    <row r="340" spans="1:7" ht="14.4" x14ac:dyDescent="0.25">
      <c r="A340" s="97" t="s">
        <v>789</v>
      </c>
      <c r="B340" s="91"/>
      <c r="C340" s="92" t="s">
        <v>790</v>
      </c>
      <c r="D340" s="122"/>
      <c r="E340" s="122"/>
      <c r="F340" s="83"/>
      <c r="G340" s="80"/>
    </row>
    <row r="341" spans="1:7" ht="14.4" x14ac:dyDescent="0.25">
      <c r="A341" s="97" t="s">
        <v>791</v>
      </c>
      <c r="B341" s="91"/>
      <c r="C341" s="92" t="s">
        <v>792</v>
      </c>
      <c r="D341" s="122"/>
      <c r="E341" s="122"/>
      <c r="F341" s="89"/>
      <c r="G341" s="80"/>
    </row>
    <row r="342" spans="1:7" ht="27.6" x14ac:dyDescent="0.25">
      <c r="A342" s="79" t="s">
        <v>793</v>
      </c>
      <c r="B342" s="80"/>
      <c r="C342" s="81" t="s">
        <v>794</v>
      </c>
      <c r="D342" s="122"/>
      <c r="E342" s="122"/>
      <c r="F342" s="83"/>
      <c r="G342" s="80"/>
    </row>
    <row r="343" spans="1:7" x14ac:dyDescent="0.25">
      <c r="A343" s="79" t="s">
        <v>795</v>
      </c>
      <c r="B343" s="80"/>
      <c r="C343" s="81" t="s">
        <v>796</v>
      </c>
      <c r="D343" s="122"/>
      <c r="E343" s="122"/>
      <c r="F343" s="89"/>
      <c r="G343" s="80"/>
    </row>
    <row r="344" spans="1:7" ht="18" customHeight="1" x14ac:dyDescent="0.25">
      <c r="A344" s="79" t="s">
        <v>797</v>
      </c>
      <c r="B344" s="80"/>
      <c r="C344" s="81" t="s">
        <v>798</v>
      </c>
      <c r="D344" s="122"/>
      <c r="E344" s="122"/>
      <c r="F344" s="83"/>
      <c r="G344" s="80"/>
    </row>
    <row r="345" spans="1:7" ht="27.6" x14ac:dyDescent="0.25">
      <c r="A345" s="79" t="s">
        <v>799</v>
      </c>
      <c r="B345" s="80"/>
      <c r="C345" s="81" t="s">
        <v>800</v>
      </c>
      <c r="D345" s="122"/>
      <c r="E345" s="122"/>
      <c r="F345" s="83"/>
      <c r="G345" s="80"/>
    </row>
    <row r="346" spans="1:7" x14ac:dyDescent="0.25">
      <c r="A346" s="78" t="s">
        <v>801</v>
      </c>
      <c r="B346" s="71" t="s">
        <v>802</v>
      </c>
      <c r="C346" s="81"/>
      <c r="D346" s="119"/>
      <c r="E346" s="119"/>
      <c r="F346" s="124"/>
      <c r="G346" s="80"/>
    </row>
    <row r="347" spans="1:7" ht="27.6" x14ac:dyDescent="0.25">
      <c r="A347" s="79" t="s">
        <v>803</v>
      </c>
      <c r="B347" s="80"/>
      <c r="C347" s="81" t="s">
        <v>804</v>
      </c>
      <c r="D347" s="122"/>
      <c r="E347" s="122"/>
      <c r="F347" s="89"/>
      <c r="G347" s="77" t="s">
        <v>805</v>
      </c>
    </row>
    <row r="348" spans="1:7" ht="42.6" x14ac:dyDescent="0.25">
      <c r="A348" s="97" t="s">
        <v>806</v>
      </c>
      <c r="B348" s="91"/>
      <c r="C348" s="92" t="s">
        <v>807</v>
      </c>
      <c r="D348" s="122"/>
      <c r="E348" s="122"/>
      <c r="F348" s="83"/>
      <c r="G348" s="80"/>
    </row>
    <row r="349" spans="1:7" ht="14.4" x14ac:dyDescent="0.25">
      <c r="A349" s="97" t="s">
        <v>808</v>
      </c>
      <c r="B349" s="91"/>
      <c r="C349" s="95" t="s">
        <v>809</v>
      </c>
      <c r="D349" s="122"/>
      <c r="E349" s="122"/>
      <c r="F349" s="83"/>
      <c r="G349" s="80"/>
    </row>
    <row r="350" spans="1:7" ht="14.4" x14ac:dyDescent="0.25">
      <c r="A350" s="97" t="s">
        <v>810</v>
      </c>
      <c r="B350" s="91"/>
      <c r="C350" s="95" t="s">
        <v>811</v>
      </c>
      <c r="D350" s="122"/>
      <c r="E350" s="122"/>
      <c r="F350" s="83"/>
      <c r="G350" s="80"/>
    </row>
    <row r="351" spans="1:7" ht="27.6" x14ac:dyDescent="0.25">
      <c r="A351" s="79" t="s">
        <v>812</v>
      </c>
      <c r="B351" s="80"/>
      <c r="C351" s="81" t="s">
        <v>813</v>
      </c>
      <c r="D351" s="122"/>
      <c r="E351" s="122"/>
      <c r="F351" s="83"/>
      <c r="G351" s="80"/>
    </row>
    <row r="352" spans="1:7" ht="27.6" x14ac:dyDescent="0.25">
      <c r="A352" s="79" t="s">
        <v>814</v>
      </c>
      <c r="B352" s="80"/>
      <c r="C352" s="81" t="s">
        <v>815</v>
      </c>
      <c r="D352" s="122"/>
      <c r="E352" s="122"/>
      <c r="F352" s="89"/>
      <c r="G352" s="80"/>
    </row>
    <row r="353" spans="1:7" x14ac:dyDescent="0.25">
      <c r="A353" s="79" t="s">
        <v>816</v>
      </c>
      <c r="B353" s="80"/>
      <c r="C353" s="81" t="s">
        <v>817</v>
      </c>
      <c r="D353" s="122"/>
      <c r="E353" s="122"/>
      <c r="F353" s="83"/>
      <c r="G353" s="80"/>
    </row>
    <row r="354" spans="1:7" ht="15.6" x14ac:dyDescent="0.25">
      <c r="A354" s="79" t="s">
        <v>818</v>
      </c>
      <c r="B354" s="80"/>
      <c r="C354" s="81" t="s">
        <v>819</v>
      </c>
      <c r="D354" s="122"/>
      <c r="E354" s="122"/>
      <c r="F354" s="89"/>
      <c r="G354" s="77" t="s">
        <v>820</v>
      </c>
    </row>
    <row r="355" spans="1:7" s="197" customFormat="1" ht="32.25" customHeight="1" x14ac:dyDescent="0.25">
      <c r="A355" s="98" t="s">
        <v>821</v>
      </c>
      <c r="B355" s="80"/>
      <c r="C355" s="81" t="s">
        <v>822</v>
      </c>
      <c r="D355" s="256"/>
      <c r="E355" s="256"/>
      <c r="F355" s="83"/>
      <c r="G355" s="81"/>
    </row>
    <row r="356" spans="1:7" x14ac:dyDescent="0.25">
      <c r="A356" s="78" t="s">
        <v>823</v>
      </c>
      <c r="B356" s="71" t="s">
        <v>824</v>
      </c>
      <c r="C356" s="81"/>
      <c r="D356" s="119"/>
      <c r="E356" s="119"/>
      <c r="F356" s="124"/>
      <c r="G356" s="80"/>
    </row>
    <row r="357" spans="1:7" ht="42" x14ac:dyDescent="0.25">
      <c r="A357" s="97" t="s">
        <v>825</v>
      </c>
      <c r="B357" s="91"/>
      <c r="C357" s="92" t="s">
        <v>826</v>
      </c>
      <c r="D357" s="122"/>
      <c r="E357" s="122"/>
      <c r="F357" s="83"/>
      <c r="G357" s="80"/>
    </row>
    <row r="358" spans="1:7" ht="14.4" x14ac:dyDescent="0.25">
      <c r="A358" s="97" t="s">
        <v>827</v>
      </c>
      <c r="B358" s="91"/>
      <c r="C358" s="95" t="s">
        <v>828</v>
      </c>
      <c r="D358" s="122"/>
      <c r="E358" s="122"/>
      <c r="F358" s="83"/>
      <c r="G358" s="80"/>
    </row>
    <row r="359" spans="1:7" ht="14.4" x14ac:dyDescent="0.25">
      <c r="A359" s="97" t="s">
        <v>829</v>
      </c>
      <c r="B359" s="91"/>
      <c r="C359" s="95" t="s">
        <v>830</v>
      </c>
      <c r="D359" s="122"/>
      <c r="E359" s="122"/>
      <c r="F359" s="83"/>
      <c r="G359" s="80"/>
    </row>
    <row r="360" spans="1:7" ht="14.4" x14ac:dyDescent="0.25">
      <c r="A360" s="97" t="s">
        <v>831</v>
      </c>
      <c r="B360" s="91"/>
      <c r="C360" s="95" t="s">
        <v>213</v>
      </c>
      <c r="D360" s="122"/>
      <c r="E360" s="122"/>
      <c r="F360" s="83"/>
      <c r="G360" s="80"/>
    </row>
    <row r="361" spans="1:7" ht="14.4" x14ac:dyDescent="0.25">
      <c r="A361" s="97" t="s">
        <v>832</v>
      </c>
      <c r="B361" s="91"/>
      <c r="C361" s="95" t="s">
        <v>833</v>
      </c>
      <c r="D361" s="122"/>
      <c r="E361" s="122"/>
      <c r="F361" s="83"/>
      <c r="G361" s="80"/>
    </row>
    <row r="362" spans="1:7" ht="14.4" x14ac:dyDescent="0.25">
      <c r="A362" s="97" t="s">
        <v>834</v>
      </c>
      <c r="B362" s="91"/>
      <c r="C362" s="95" t="s">
        <v>835</v>
      </c>
      <c r="D362" s="122"/>
      <c r="E362" s="122"/>
      <c r="F362" s="83"/>
      <c r="G362" s="80"/>
    </row>
    <row r="363" spans="1:7" ht="28.2" x14ac:dyDescent="0.25">
      <c r="A363" s="97" t="s">
        <v>836</v>
      </c>
      <c r="B363" s="91"/>
      <c r="C363" s="92" t="s">
        <v>837</v>
      </c>
      <c r="D363" s="122"/>
      <c r="E363" s="122"/>
      <c r="F363" s="89"/>
      <c r="G363" s="80"/>
    </row>
    <row r="364" spans="1:7" ht="27.6" x14ac:dyDescent="0.25">
      <c r="A364" s="79" t="s">
        <v>838</v>
      </c>
      <c r="B364" s="80"/>
      <c r="C364" s="81" t="s">
        <v>839</v>
      </c>
      <c r="D364" s="122"/>
      <c r="E364" s="122"/>
      <c r="F364" s="83"/>
      <c r="G364" s="80"/>
    </row>
    <row r="365" spans="1:7" ht="27.6" x14ac:dyDescent="0.25">
      <c r="A365" s="79" t="s">
        <v>840</v>
      </c>
      <c r="B365" s="80"/>
      <c r="C365" s="81" t="s">
        <v>841</v>
      </c>
      <c r="D365" s="122"/>
      <c r="E365" s="122"/>
      <c r="F365" s="83"/>
      <c r="G365" s="77" t="s">
        <v>842</v>
      </c>
    </row>
    <row r="366" spans="1:7" ht="28.2" x14ac:dyDescent="0.25">
      <c r="A366" s="97" t="s">
        <v>843</v>
      </c>
      <c r="B366" s="91"/>
      <c r="C366" s="92" t="s">
        <v>844</v>
      </c>
      <c r="D366" s="122"/>
      <c r="E366" s="122"/>
      <c r="F366" s="83"/>
      <c r="G366" s="80"/>
    </row>
    <row r="367" spans="1:7" ht="14.4" x14ac:dyDescent="0.25">
      <c r="A367" s="97" t="s">
        <v>845</v>
      </c>
      <c r="B367" s="91"/>
      <c r="C367" s="95" t="s">
        <v>828</v>
      </c>
      <c r="D367" s="122"/>
      <c r="E367" s="122"/>
      <c r="F367" s="83"/>
      <c r="G367" s="80"/>
    </row>
    <row r="368" spans="1:7" ht="14.4" x14ac:dyDescent="0.25">
      <c r="A368" s="97" t="s">
        <v>846</v>
      </c>
      <c r="B368" s="91"/>
      <c r="C368" s="95" t="s">
        <v>830</v>
      </c>
      <c r="D368" s="122"/>
      <c r="E368" s="122"/>
      <c r="F368" s="83"/>
      <c r="G368" s="80"/>
    </row>
    <row r="369" spans="1:7" ht="14.4" x14ac:dyDescent="0.25">
      <c r="A369" s="97" t="s">
        <v>847</v>
      </c>
      <c r="B369" s="91"/>
      <c r="C369" s="95" t="s">
        <v>213</v>
      </c>
      <c r="D369" s="122"/>
      <c r="E369" s="122"/>
      <c r="F369" s="83"/>
      <c r="G369" s="80"/>
    </row>
    <row r="370" spans="1:7" ht="14.4" x14ac:dyDescent="0.25">
      <c r="A370" s="97" t="s">
        <v>848</v>
      </c>
      <c r="B370" s="91"/>
      <c r="C370" s="95" t="s">
        <v>833</v>
      </c>
      <c r="D370" s="122"/>
      <c r="E370" s="122"/>
      <c r="F370" s="83"/>
      <c r="G370" s="80"/>
    </row>
    <row r="371" spans="1:7" ht="14.4" x14ac:dyDescent="0.25">
      <c r="A371" s="97" t="s">
        <v>849</v>
      </c>
      <c r="B371" s="91"/>
      <c r="C371" s="95" t="s">
        <v>835</v>
      </c>
      <c r="D371" s="122"/>
      <c r="E371" s="122"/>
      <c r="F371" s="83"/>
      <c r="G371" s="80"/>
    </row>
    <row r="372" spans="1:7" ht="27.6" x14ac:dyDescent="0.25">
      <c r="A372" s="97" t="s">
        <v>850</v>
      </c>
      <c r="B372" s="91"/>
      <c r="C372" s="92" t="s">
        <v>851</v>
      </c>
      <c r="D372" s="122"/>
      <c r="E372" s="122"/>
      <c r="F372" s="89"/>
      <c r="G372" s="80"/>
    </row>
    <row r="373" spans="1:7" ht="27.6" x14ac:dyDescent="0.25">
      <c r="A373" s="79" t="s">
        <v>852</v>
      </c>
      <c r="B373" s="80"/>
      <c r="C373" s="81" t="s">
        <v>853</v>
      </c>
      <c r="D373" s="122"/>
      <c r="E373" s="122"/>
      <c r="F373" s="83"/>
      <c r="G373" s="80"/>
    </row>
    <row r="374" spans="1:7" ht="14.4" thickBot="1" x14ac:dyDescent="0.3">
      <c r="A374" s="166"/>
      <c r="B374" s="106"/>
      <c r="C374" s="107"/>
      <c r="D374" s="167"/>
      <c r="E374" s="167"/>
      <c r="F374" s="108"/>
      <c r="G374" s="106"/>
    </row>
    <row r="375" spans="1:7" ht="17.399999999999999" x14ac:dyDescent="0.25">
      <c r="A375" s="159" t="s">
        <v>854</v>
      </c>
      <c r="B375" s="160" t="s">
        <v>855</v>
      </c>
      <c r="C375" s="161"/>
      <c r="D375" s="162"/>
      <c r="E375" s="163"/>
      <c r="F375" s="164"/>
      <c r="G375" s="165"/>
    </row>
    <row r="376" spans="1:7" ht="17.399999999999999" x14ac:dyDescent="0.3">
      <c r="A376" s="73"/>
      <c r="B376" s="191" t="s">
        <v>856</v>
      </c>
      <c r="C376" s="77"/>
      <c r="D376" s="315"/>
      <c r="E376" s="315"/>
      <c r="F376" s="315"/>
      <c r="G376" s="74"/>
    </row>
    <row r="377" spans="1:7" x14ac:dyDescent="0.25">
      <c r="A377" s="125" t="s">
        <v>857</v>
      </c>
      <c r="B377" s="71" t="s">
        <v>858</v>
      </c>
      <c r="C377" s="81"/>
      <c r="D377" s="68"/>
      <c r="E377" s="68"/>
      <c r="F377" s="124"/>
      <c r="G377" s="80"/>
    </row>
    <row r="378" spans="1:7" ht="27.6" x14ac:dyDescent="0.25">
      <c r="A378" s="79" t="s">
        <v>859</v>
      </c>
      <c r="B378" s="80"/>
      <c r="C378" s="81" t="s">
        <v>860</v>
      </c>
      <c r="D378" s="122"/>
      <c r="E378" s="122"/>
      <c r="F378" s="83"/>
      <c r="G378" s="80"/>
    </row>
    <row r="379" spans="1:7" ht="27.6" x14ac:dyDescent="0.25">
      <c r="A379" s="79" t="s">
        <v>861</v>
      </c>
      <c r="B379" s="80"/>
      <c r="C379" s="81" t="s">
        <v>862</v>
      </c>
      <c r="D379" s="122"/>
      <c r="E379" s="122"/>
      <c r="F379" s="83"/>
      <c r="G379" s="221" t="s">
        <v>863</v>
      </c>
    </row>
    <row r="380" spans="1:7" ht="28.2" x14ac:dyDescent="0.25">
      <c r="A380" s="97" t="s">
        <v>864</v>
      </c>
      <c r="B380" s="91"/>
      <c r="C380" s="92" t="s">
        <v>865</v>
      </c>
      <c r="D380" s="122"/>
      <c r="E380" s="122"/>
      <c r="F380" s="83"/>
      <c r="G380" s="80"/>
    </row>
    <row r="381" spans="1:7" ht="14.4" x14ac:dyDescent="0.25">
      <c r="A381" s="97" t="s">
        <v>866</v>
      </c>
      <c r="B381" s="91"/>
      <c r="C381" s="95" t="s">
        <v>867</v>
      </c>
      <c r="D381" s="122"/>
      <c r="E381" s="122"/>
      <c r="F381" s="83"/>
      <c r="G381" s="80"/>
    </row>
    <row r="382" spans="1:7" ht="14.4" x14ac:dyDescent="0.25">
      <c r="A382" s="97" t="s">
        <v>868</v>
      </c>
      <c r="B382" s="91"/>
      <c r="C382" s="95" t="s">
        <v>869</v>
      </c>
      <c r="D382" s="122"/>
      <c r="E382" s="122"/>
      <c r="F382" s="83"/>
      <c r="G382" s="80"/>
    </row>
    <row r="383" spans="1:7" ht="14.4" x14ac:dyDescent="0.25">
      <c r="A383" s="97" t="s">
        <v>870</v>
      </c>
      <c r="B383" s="91"/>
      <c r="C383" s="95" t="s">
        <v>871</v>
      </c>
      <c r="D383" s="122"/>
      <c r="E383" s="122"/>
      <c r="F383" s="83"/>
      <c r="G383" s="80"/>
    </row>
    <row r="384" spans="1:7" ht="14.4" x14ac:dyDescent="0.25">
      <c r="A384" s="97" t="s">
        <v>872</v>
      </c>
      <c r="B384" s="91"/>
      <c r="C384" s="92" t="s">
        <v>873</v>
      </c>
      <c r="D384" s="122"/>
      <c r="E384" s="122"/>
      <c r="F384" s="89"/>
      <c r="G384" s="80"/>
    </row>
    <row r="385" spans="1:7" ht="27.6" x14ac:dyDescent="0.25">
      <c r="A385" s="79" t="s">
        <v>874</v>
      </c>
      <c r="B385" s="80"/>
      <c r="C385" s="81" t="s">
        <v>875</v>
      </c>
      <c r="D385" s="122"/>
      <c r="E385" s="122"/>
      <c r="F385" s="83"/>
      <c r="G385" s="80"/>
    </row>
    <row r="386" spans="1:7" x14ac:dyDescent="0.25">
      <c r="A386" s="79" t="s">
        <v>876</v>
      </c>
      <c r="B386" s="80"/>
      <c r="C386" s="81" t="s">
        <v>877</v>
      </c>
      <c r="D386" s="122"/>
      <c r="E386" s="122"/>
      <c r="F386" s="83"/>
      <c r="G386" s="80"/>
    </row>
    <row r="387" spans="1:7" ht="41.4" x14ac:dyDescent="0.25">
      <c r="A387" s="79" t="s">
        <v>878</v>
      </c>
      <c r="B387" s="80"/>
      <c r="C387" s="81" t="s">
        <v>879</v>
      </c>
      <c r="D387" s="122"/>
      <c r="E387" s="122"/>
      <c r="F387" s="83"/>
      <c r="G387" s="80"/>
    </row>
    <row r="388" spans="1:7" x14ac:dyDescent="0.25">
      <c r="A388" s="78" t="s">
        <v>880</v>
      </c>
      <c r="B388" s="71" t="s">
        <v>881</v>
      </c>
      <c r="C388" s="81"/>
      <c r="D388" s="119"/>
      <c r="E388" s="119"/>
      <c r="F388" s="124"/>
      <c r="G388" s="80"/>
    </row>
    <row r="389" spans="1:7" ht="42" x14ac:dyDescent="0.25">
      <c r="A389" s="97" t="s">
        <v>882</v>
      </c>
      <c r="B389" s="91"/>
      <c r="C389" s="92" t="s">
        <v>883</v>
      </c>
      <c r="D389" s="122"/>
      <c r="E389" s="122"/>
      <c r="F389" s="83"/>
      <c r="G389" s="80"/>
    </row>
    <row r="390" spans="1:7" ht="14.4" x14ac:dyDescent="0.25">
      <c r="A390" s="97" t="s">
        <v>884</v>
      </c>
      <c r="B390" s="91"/>
      <c r="C390" s="95" t="s">
        <v>885</v>
      </c>
      <c r="D390" s="122"/>
      <c r="E390" s="122"/>
      <c r="F390" s="83"/>
      <c r="G390" s="80"/>
    </row>
    <row r="391" spans="1:7" ht="14.4" x14ac:dyDescent="0.25">
      <c r="A391" s="97" t="s">
        <v>886</v>
      </c>
      <c r="B391" s="91"/>
      <c r="C391" s="95" t="s">
        <v>887</v>
      </c>
      <c r="D391" s="122"/>
      <c r="E391" s="122"/>
      <c r="F391" s="83"/>
      <c r="G391" s="80"/>
    </row>
    <row r="392" spans="1:7" ht="42" x14ac:dyDescent="0.25">
      <c r="A392" s="97" t="s">
        <v>888</v>
      </c>
      <c r="B392" s="91"/>
      <c r="C392" s="92" t="s">
        <v>889</v>
      </c>
      <c r="D392" s="122"/>
      <c r="E392" s="122"/>
      <c r="F392" s="83"/>
      <c r="G392" s="80"/>
    </row>
    <row r="393" spans="1:7" ht="14.4" x14ac:dyDescent="0.25">
      <c r="A393" s="97" t="s">
        <v>890</v>
      </c>
      <c r="B393" s="91"/>
      <c r="C393" s="95" t="s">
        <v>891</v>
      </c>
      <c r="D393" s="122"/>
      <c r="E393" s="122"/>
      <c r="F393" s="83"/>
      <c r="G393" s="80"/>
    </row>
    <row r="394" spans="1:7" ht="14.4" x14ac:dyDescent="0.25">
      <c r="A394" s="97" t="s">
        <v>892</v>
      </c>
      <c r="B394" s="91"/>
      <c r="C394" s="95" t="s">
        <v>893</v>
      </c>
      <c r="D394" s="122"/>
      <c r="E394" s="122"/>
      <c r="F394" s="83"/>
      <c r="G394" s="80"/>
    </row>
    <row r="395" spans="1:7" ht="14.4" x14ac:dyDescent="0.25">
      <c r="A395" s="97" t="s">
        <v>894</v>
      </c>
      <c r="B395" s="91"/>
      <c r="C395" s="95" t="s">
        <v>895</v>
      </c>
      <c r="D395" s="122"/>
      <c r="E395" s="122"/>
      <c r="F395" s="83"/>
      <c r="G395" s="80"/>
    </row>
    <row r="396" spans="1:7" ht="14.4" x14ac:dyDescent="0.25">
      <c r="A396" s="97" t="s">
        <v>896</v>
      </c>
      <c r="B396" s="91"/>
      <c r="C396" s="95" t="s">
        <v>897</v>
      </c>
      <c r="D396" s="122"/>
      <c r="E396" s="122"/>
      <c r="F396" s="83"/>
      <c r="G396" s="80"/>
    </row>
    <row r="397" spans="1:7" ht="14.4" x14ac:dyDescent="0.25">
      <c r="A397" s="97" t="s">
        <v>898</v>
      </c>
      <c r="B397" s="91"/>
      <c r="C397" s="95" t="s">
        <v>899</v>
      </c>
      <c r="D397" s="122"/>
      <c r="E397" s="122"/>
      <c r="F397" s="83"/>
      <c r="G397" s="80"/>
    </row>
    <row r="398" spans="1:7" ht="14.4" x14ac:dyDescent="0.25">
      <c r="A398" s="97" t="s">
        <v>900</v>
      </c>
      <c r="B398" s="91"/>
      <c r="C398" s="95" t="s">
        <v>901</v>
      </c>
      <c r="D398" s="122"/>
      <c r="E398" s="122"/>
      <c r="F398" s="83"/>
      <c r="G398" s="80"/>
    </row>
    <row r="399" spans="1:7" ht="17.399999999999999" x14ac:dyDescent="0.25">
      <c r="A399" s="97" t="s">
        <v>902</v>
      </c>
      <c r="B399" s="91"/>
      <c r="C399" s="92" t="s">
        <v>903</v>
      </c>
      <c r="D399" s="122"/>
      <c r="E399" s="122"/>
      <c r="F399" s="89"/>
      <c r="G399" s="74"/>
    </row>
    <row r="400" spans="1:7" ht="14.4" thickBot="1" x14ac:dyDescent="0.3">
      <c r="A400" s="166"/>
      <c r="C400" s="169"/>
      <c r="D400" s="170"/>
      <c r="E400" s="170"/>
      <c r="F400" s="108"/>
      <c r="G400" s="168"/>
    </row>
    <row r="401" spans="1:7" ht="17.399999999999999" x14ac:dyDescent="0.25">
      <c r="A401" s="159" t="s">
        <v>904</v>
      </c>
      <c r="B401" s="160" t="s">
        <v>905</v>
      </c>
      <c r="C401" s="161"/>
      <c r="D401" s="162"/>
      <c r="E401" s="163"/>
      <c r="F401" s="164"/>
      <c r="G401" s="165"/>
    </row>
    <row r="402" spans="1:7" ht="17.399999999999999" x14ac:dyDescent="0.3">
      <c r="A402" s="73"/>
      <c r="B402" s="191" t="s">
        <v>906</v>
      </c>
      <c r="C402" s="77"/>
      <c r="D402" s="315"/>
      <c r="E402" s="315"/>
      <c r="F402" s="315"/>
      <c r="G402" s="74"/>
    </row>
    <row r="403" spans="1:7" x14ac:dyDescent="0.25">
      <c r="A403" s="125" t="s">
        <v>907</v>
      </c>
      <c r="B403" s="71" t="s">
        <v>908</v>
      </c>
      <c r="C403" s="81"/>
      <c r="D403" s="68"/>
      <c r="E403" s="68"/>
      <c r="F403" s="124"/>
      <c r="G403" s="80"/>
    </row>
    <row r="404" spans="1:7" ht="27.6" x14ac:dyDescent="0.25">
      <c r="A404" s="79" t="s">
        <v>909</v>
      </c>
      <c r="B404" s="80"/>
      <c r="C404" s="81" t="s">
        <v>910</v>
      </c>
      <c r="D404" s="171"/>
      <c r="E404" s="171"/>
      <c r="F404" s="83"/>
      <c r="G404" s="222" t="s">
        <v>911</v>
      </c>
    </row>
    <row r="405" spans="1:7" ht="27.6" x14ac:dyDescent="0.25">
      <c r="A405" s="79" t="s">
        <v>912</v>
      </c>
      <c r="B405" s="80"/>
      <c r="C405" s="81" t="s">
        <v>913</v>
      </c>
      <c r="D405" s="171"/>
      <c r="E405" s="171"/>
      <c r="F405" s="83"/>
      <c r="G405" s="173"/>
    </row>
    <row r="406" spans="1:7" ht="42" x14ac:dyDescent="0.25">
      <c r="A406" s="97" t="s">
        <v>914</v>
      </c>
      <c r="B406" s="91"/>
      <c r="C406" s="92" t="s">
        <v>915</v>
      </c>
      <c r="D406" s="171"/>
      <c r="E406" s="171"/>
      <c r="F406" s="83"/>
      <c r="G406" s="173"/>
    </row>
    <row r="407" spans="1:7" ht="14.4" x14ac:dyDescent="0.25">
      <c r="A407" s="97" t="s">
        <v>916</v>
      </c>
      <c r="B407" s="91"/>
      <c r="C407" s="95" t="s">
        <v>917</v>
      </c>
      <c r="D407" s="171"/>
      <c r="E407" s="171"/>
      <c r="F407" s="83"/>
      <c r="G407" s="173"/>
    </row>
    <row r="408" spans="1:7" ht="14.4" x14ac:dyDescent="0.25">
      <c r="A408" s="97" t="s">
        <v>918</v>
      </c>
      <c r="B408" s="91"/>
      <c r="C408" s="95" t="s">
        <v>919</v>
      </c>
      <c r="D408" s="171"/>
      <c r="E408" s="171"/>
      <c r="F408" s="83"/>
      <c r="G408" s="173"/>
    </row>
    <row r="409" spans="1:7" ht="14.4" x14ac:dyDescent="0.25">
      <c r="A409" s="97" t="s">
        <v>920</v>
      </c>
      <c r="B409" s="91"/>
      <c r="C409" s="95" t="s">
        <v>921</v>
      </c>
      <c r="D409" s="171"/>
      <c r="E409" s="171"/>
      <c r="F409" s="83"/>
      <c r="G409" s="173"/>
    </row>
    <row r="410" spans="1:7" ht="27.6" x14ac:dyDescent="0.3">
      <c r="A410" s="79" t="s">
        <v>922</v>
      </c>
      <c r="B410" s="80"/>
      <c r="C410" s="81" t="s">
        <v>923</v>
      </c>
      <c r="D410" s="171"/>
      <c r="E410" s="171"/>
      <c r="F410" s="83"/>
      <c r="G410" s="174"/>
    </row>
    <row r="411" spans="1:7" x14ac:dyDescent="0.25">
      <c r="A411" s="79" t="s">
        <v>924</v>
      </c>
      <c r="B411" s="80"/>
      <c r="C411" s="81" t="s">
        <v>925</v>
      </c>
      <c r="D411" s="171"/>
      <c r="E411" s="171"/>
      <c r="F411" s="83"/>
      <c r="G411" s="173"/>
    </row>
    <row r="412" spans="1:7" ht="27.6" x14ac:dyDescent="0.25">
      <c r="A412" s="79" t="s">
        <v>926</v>
      </c>
      <c r="B412" s="80"/>
      <c r="C412" s="81" t="s">
        <v>927</v>
      </c>
      <c r="D412" s="171"/>
      <c r="E412" s="171"/>
      <c r="F412" s="83"/>
      <c r="G412" s="173"/>
    </row>
    <row r="413" spans="1:7" ht="28.2" x14ac:dyDescent="0.25">
      <c r="A413" s="97" t="s">
        <v>928</v>
      </c>
      <c r="B413" s="91"/>
      <c r="C413" s="92" t="s">
        <v>929</v>
      </c>
      <c r="D413" s="171"/>
      <c r="E413" s="171"/>
      <c r="F413" s="83"/>
      <c r="G413" s="173"/>
    </row>
    <row r="414" spans="1:7" ht="14.4" x14ac:dyDescent="0.25">
      <c r="A414" s="97" t="s">
        <v>930</v>
      </c>
      <c r="B414" s="91"/>
      <c r="C414" s="95" t="s">
        <v>931</v>
      </c>
      <c r="D414" s="171"/>
      <c r="E414" s="171"/>
      <c r="F414" s="83"/>
      <c r="G414" s="173"/>
    </row>
    <row r="415" spans="1:7" ht="14.4" x14ac:dyDescent="0.25">
      <c r="A415" s="97" t="s">
        <v>932</v>
      </c>
      <c r="B415" s="91"/>
      <c r="C415" s="95" t="s">
        <v>933</v>
      </c>
      <c r="D415" s="171"/>
      <c r="E415" s="171"/>
      <c r="F415" s="83"/>
      <c r="G415" s="173"/>
    </row>
    <row r="416" spans="1:7" x14ac:dyDescent="0.25">
      <c r="A416" s="97" t="s">
        <v>934</v>
      </c>
      <c r="B416" s="91"/>
      <c r="C416" s="92" t="s">
        <v>935</v>
      </c>
      <c r="D416" s="171"/>
      <c r="E416" s="171"/>
      <c r="F416" s="83"/>
      <c r="G416" s="173"/>
    </row>
    <row r="417" spans="1:7" ht="14.4" x14ac:dyDescent="0.25">
      <c r="A417" s="97" t="s">
        <v>936</v>
      </c>
      <c r="B417" s="91"/>
      <c r="C417" s="92" t="s">
        <v>937</v>
      </c>
      <c r="D417" s="171"/>
      <c r="E417" s="171"/>
      <c r="F417" s="83"/>
      <c r="G417" s="173"/>
    </row>
    <row r="418" spans="1:7" ht="17.399999999999999" x14ac:dyDescent="0.3">
      <c r="A418" s="79" t="s">
        <v>938</v>
      </c>
      <c r="B418" s="80"/>
      <c r="C418" s="81" t="s">
        <v>939</v>
      </c>
      <c r="D418" s="171"/>
      <c r="E418" s="171"/>
      <c r="F418" s="89"/>
      <c r="G418" s="174"/>
    </row>
    <row r="419" spans="1:7" ht="27.6" x14ac:dyDescent="0.25">
      <c r="A419" s="79" t="s">
        <v>940</v>
      </c>
      <c r="B419" s="80"/>
      <c r="C419" s="81" t="s">
        <v>941</v>
      </c>
      <c r="D419" s="171"/>
      <c r="E419" s="171"/>
      <c r="F419" s="83"/>
      <c r="G419" s="173"/>
    </row>
    <row r="420" spans="1:7" x14ac:dyDescent="0.25">
      <c r="A420" s="78" t="s">
        <v>942</v>
      </c>
      <c r="B420" s="71" t="s">
        <v>943</v>
      </c>
      <c r="C420" s="81"/>
      <c r="D420" s="175"/>
      <c r="E420" s="175"/>
      <c r="F420" s="124"/>
      <c r="G420" s="173"/>
    </row>
    <row r="421" spans="1:7" ht="27.6" x14ac:dyDescent="0.3">
      <c r="A421" s="79" t="s">
        <v>944</v>
      </c>
      <c r="B421" s="80"/>
      <c r="C421" s="81" t="s">
        <v>945</v>
      </c>
      <c r="D421" s="171"/>
      <c r="E421" s="171"/>
      <c r="F421" s="83"/>
      <c r="G421" s="174"/>
    </row>
    <row r="422" spans="1:7" ht="27.6" x14ac:dyDescent="0.25">
      <c r="A422" s="79" t="s">
        <v>946</v>
      </c>
      <c r="B422" s="80"/>
      <c r="C422" s="81" t="s">
        <v>947</v>
      </c>
      <c r="D422" s="171"/>
      <c r="E422" s="171"/>
      <c r="F422" s="83"/>
      <c r="G422" s="222" t="s">
        <v>948</v>
      </c>
    </row>
    <row r="423" spans="1:7" ht="42" x14ac:dyDescent="0.25">
      <c r="A423" s="97" t="s">
        <v>949</v>
      </c>
      <c r="B423" s="91"/>
      <c r="C423" s="92" t="s">
        <v>950</v>
      </c>
      <c r="D423" s="171"/>
      <c r="E423" s="171"/>
      <c r="F423" s="83"/>
      <c r="G423" s="173"/>
    </row>
    <row r="424" spans="1:7" ht="14.4" x14ac:dyDescent="0.25">
      <c r="A424" s="97" t="s">
        <v>951</v>
      </c>
      <c r="B424" s="91"/>
      <c r="C424" s="95" t="s">
        <v>952</v>
      </c>
      <c r="D424" s="171"/>
      <c r="E424" s="171"/>
      <c r="F424" s="83"/>
      <c r="G424" s="173"/>
    </row>
    <row r="425" spans="1:7" ht="14.4" x14ac:dyDescent="0.25">
      <c r="A425" s="97" t="s">
        <v>953</v>
      </c>
      <c r="B425" s="91"/>
      <c r="C425" s="95" t="s">
        <v>954</v>
      </c>
      <c r="D425" s="171"/>
      <c r="E425" s="171"/>
      <c r="F425" s="83"/>
      <c r="G425" s="173"/>
    </row>
    <row r="426" spans="1:7" x14ac:dyDescent="0.25">
      <c r="A426" s="79" t="s">
        <v>955</v>
      </c>
      <c r="B426" s="80"/>
      <c r="C426" s="81" t="s">
        <v>956</v>
      </c>
      <c r="D426" s="171"/>
      <c r="E426" s="171"/>
      <c r="F426" s="83"/>
      <c r="G426" s="173"/>
    </row>
    <row r="427" spans="1:7" ht="27.6" x14ac:dyDescent="0.25">
      <c r="A427" s="79" t="s">
        <v>957</v>
      </c>
      <c r="B427" s="80"/>
      <c r="C427" s="81" t="s">
        <v>958</v>
      </c>
      <c r="D427" s="171"/>
      <c r="E427" s="171"/>
      <c r="F427" s="89"/>
      <c r="G427" s="173"/>
    </row>
    <row r="428" spans="1:7" ht="27.6" x14ac:dyDescent="0.25">
      <c r="A428" s="79" t="s">
        <v>959</v>
      </c>
      <c r="B428" s="80"/>
      <c r="C428" s="81" t="s">
        <v>960</v>
      </c>
      <c r="D428" s="171"/>
      <c r="E428" s="171"/>
      <c r="F428" s="83"/>
      <c r="G428" s="173"/>
    </row>
    <row r="429" spans="1:7" ht="42" x14ac:dyDescent="0.25">
      <c r="A429" s="97" t="s">
        <v>961</v>
      </c>
      <c r="B429" s="91"/>
      <c r="C429" s="92" t="s">
        <v>962</v>
      </c>
      <c r="D429" s="171"/>
      <c r="E429" s="171"/>
      <c r="F429" s="83"/>
      <c r="G429" s="173"/>
    </row>
    <row r="430" spans="1:7" ht="14.4" x14ac:dyDescent="0.25">
      <c r="A430" s="97" t="s">
        <v>963</v>
      </c>
      <c r="B430" s="91"/>
      <c r="C430" s="95" t="s">
        <v>964</v>
      </c>
      <c r="D430" s="171"/>
      <c r="E430" s="171"/>
      <c r="F430" s="83"/>
      <c r="G430" s="173"/>
    </row>
    <row r="431" spans="1:7" ht="14.4" x14ac:dyDescent="0.25">
      <c r="A431" s="97" t="s">
        <v>965</v>
      </c>
      <c r="B431" s="91"/>
      <c r="C431" s="95" t="s">
        <v>966</v>
      </c>
      <c r="D431" s="171"/>
      <c r="E431" s="171"/>
      <c r="F431" s="83"/>
      <c r="G431" s="173"/>
    </row>
    <row r="432" spans="1:7" ht="14.4" x14ac:dyDescent="0.25">
      <c r="A432" s="97" t="s">
        <v>967</v>
      </c>
      <c r="B432" s="91"/>
      <c r="C432" s="95" t="s">
        <v>968</v>
      </c>
      <c r="D432" s="171"/>
      <c r="E432" s="171"/>
      <c r="F432" s="83"/>
      <c r="G432" s="173"/>
    </row>
    <row r="433" spans="1:7" x14ac:dyDescent="0.25">
      <c r="A433" s="78" t="s">
        <v>969</v>
      </c>
      <c r="B433" s="71" t="s">
        <v>970</v>
      </c>
      <c r="C433" s="81"/>
      <c r="D433" s="175"/>
      <c r="E433" s="175"/>
      <c r="F433" s="124"/>
      <c r="G433" s="173"/>
    </row>
    <row r="434" spans="1:7" ht="27.6" x14ac:dyDescent="0.3">
      <c r="A434" s="79" t="s">
        <v>971</v>
      </c>
      <c r="B434" s="80"/>
      <c r="C434" s="81" t="s">
        <v>972</v>
      </c>
      <c r="D434" s="171"/>
      <c r="E434" s="171"/>
      <c r="F434" s="83"/>
      <c r="G434" s="191" t="s">
        <v>973</v>
      </c>
    </row>
    <row r="435" spans="1:7" ht="27.6" x14ac:dyDescent="0.25">
      <c r="A435" s="85" t="s">
        <v>974</v>
      </c>
      <c r="B435" s="80"/>
      <c r="C435" s="81" t="s">
        <v>975</v>
      </c>
      <c r="D435" s="171"/>
      <c r="E435" s="171"/>
      <c r="F435" s="83"/>
      <c r="G435" s="173"/>
    </row>
    <row r="436" spans="1:7" x14ac:dyDescent="0.25">
      <c r="A436" s="85" t="s">
        <v>976</v>
      </c>
      <c r="B436" s="80"/>
      <c r="C436" s="81" t="s">
        <v>977</v>
      </c>
      <c r="D436" s="171"/>
      <c r="E436" s="171"/>
      <c r="F436" s="83"/>
      <c r="G436" s="173"/>
    </row>
    <row r="437" spans="1:7" ht="31.5" customHeight="1" x14ac:dyDescent="0.25">
      <c r="A437" s="85" t="s">
        <v>978</v>
      </c>
      <c r="B437" s="80"/>
      <c r="C437" s="81" t="s">
        <v>979</v>
      </c>
      <c r="D437" s="171"/>
      <c r="E437" s="171"/>
      <c r="F437" s="89"/>
      <c r="G437" s="173"/>
    </row>
    <row r="438" spans="1:7" x14ac:dyDescent="0.25">
      <c r="A438" s="85" t="s">
        <v>980</v>
      </c>
      <c r="B438" s="80"/>
      <c r="C438" s="81" t="s">
        <v>981</v>
      </c>
      <c r="D438" s="171"/>
      <c r="E438" s="171"/>
      <c r="F438" s="255"/>
      <c r="G438" s="173"/>
    </row>
    <row r="439" spans="1:7" ht="14.4" thickBot="1" x14ac:dyDescent="0.3">
      <c r="A439" s="176"/>
      <c r="C439" s="169"/>
      <c r="D439" s="170"/>
      <c r="E439" s="170"/>
      <c r="F439" s="108"/>
      <c r="G439" s="168"/>
    </row>
    <row r="440" spans="1:7" ht="17.399999999999999" x14ac:dyDescent="0.25">
      <c r="A440" s="159" t="s">
        <v>982</v>
      </c>
      <c r="B440" s="160" t="s">
        <v>983</v>
      </c>
      <c r="C440" s="161"/>
      <c r="D440" s="162"/>
      <c r="E440" s="163"/>
      <c r="F440" s="164"/>
      <c r="G440" s="165"/>
    </row>
    <row r="441" spans="1:7" ht="17.399999999999999" x14ac:dyDescent="0.3">
      <c r="A441" s="73"/>
      <c r="B441" s="191" t="s">
        <v>984</v>
      </c>
      <c r="C441" s="77"/>
      <c r="D441" s="315"/>
      <c r="E441" s="315"/>
      <c r="F441" s="315"/>
      <c r="G441" s="74"/>
    </row>
    <row r="442" spans="1:7" x14ac:dyDescent="0.25">
      <c r="A442" s="125" t="s">
        <v>985</v>
      </c>
      <c r="B442" s="71" t="s">
        <v>986</v>
      </c>
      <c r="C442" s="81"/>
      <c r="D442" s="68"/>
      <c r="E442" s="68"/>
      <c r="F442" s="124"/>
      <c r="G442" s="80"/>
    </row>
    <row r="443" spans="1:7" ht="50.4" x14ac:dyDescent="0.25">
      <c r="A443" s="85" t="s">
        <v>987</v>
      </c>
      <c r="B443" s="80"/>
      <c r="C443" s="81" t="s">
        <v>988</v>
      </c>
      <c r="D443" s="171"/>
      <c r="E443" s="171"/>
      <c r="F443" s="83"/>
      <c r="G443" s="172"/>
    </row>
    <row r="444" spans="1:7" ht="28.2" x14ac:dyDescent="0.25">
      <c r="A444" s="90" t="s">
        <v>989</v>
      </c>
      <c r="B444" s="91"/>
      <c r="C444" s="92" t="s">
        <v>990</v>
      </c>
      <c r="D444" s="177"/>
      <c r="E444" s="177"/>
      <c r="F444" s="83"/>
      <c r="G444" s="178"/>
    </row>
    <row r="445" spans="1:7" x14ac:dyDescent="0.25">
      <c r="A445" s="90" t="s">
        <v>991</v>
      </c>
      <c r="B445" s="91"/>
      <c r="C445" s="92" t="s">
        <v>992</v>
      </c>
      <c r="D445" s="177"/>
      <c r="E445" s="177"/>
      <c r="F445" s="83"/>
      <c r="G445" s="173"/>
    </row>
    <row r="446" spans="1:7" ht="27.6" x14ac:dyDescent="0.25">
      <c r="A446" s="85" t="s">
        <v>993</v>
      </c>
      <c r="B446" s="80"/>
      <c r="C446" s="81" t="s">
        <v>994</v>
      </c>
      <c r="D446" s="171"/>
      <c r="E446" s="171"/>
      <c r="F446" s="83"/>
      <c r="G446" s="173"/>
    </row>
    <row r="447" spans="1:7" ht="41.4" x14ac:dyDescent="0.25">
      <c r="A447" s="85" t="s">
        <v>995</v>
      </c>
      <c r="B447" s="80"/>
      <c r="C447" s="81" t="s">
        <v>996</v>
      </c>
      <c r="D447" s="171"/>
      <c r="E447" s="171"/>
      <c r="F447" s="83"/>
      <c r="G447" s="173"/>
    </row>
    <row r="448" spans="1:7" x14ac:dyDescent="0.25">
      <c r="A448" s="85" t="s">
        <v>997</v>
      </c>
      <c r="B448" s="80"/>
      <c r="C448" s="81" t="s">
        <v>998</v>
      </c>
      <c r="D448" s="171"/>
      <c r="E448" s="171"/>
      <c r="F448" s="83"/>
      <c r="G448" s="173"/>
    </row>
    <row r="449" spans="1:7" x14ac:dyDescent="0.25">
      <c r="A449" s="179" t="s">
        <v>999</v>
      </c>
      <c r="B449" s="71" t="s">
        <v>1000</v>
      </c>
      <c r="C449" s="81"/>
      <c r="D449" s="175"/>
      <c r="E449" s="175"/>
      <c r="F449" s="124"/>
      <c r="G449" s="173"/>
    </row>
    <row r="450" spans="1:7" ht="27.6" x14ac:dyDescent="0.25">
      <c r="A450" s="85" t="s">
        <v>1001</v>
      </c>
      <c r="B450" s="80"/>
      <c r="C450" s="81" t="s">
        <v>1002</v>
      </c>
      <c r="D450" s="171"/>
      <c r="E450" s="171"/>
      <c r="F450" s="83"/>
      <c r="G450" s="222" t="s">
        <v>1003</v>
      </c>
    </row>
    <row r="451" spans="1:7" ht="27.6" x14ac:dyDescent="0.25">
      <c r="A451" s="85" t="s">
        <v>1004</v>
      </c>
      <c r="B451" s="80"/>
      <c r="C451" s="81" t="s">
        <v>1005</v>
      </c>
      <c r="D451" s="171"/>
      <c r="E451" s="171"/>
      <c r="F451" s="83"/>
      <c r="G451" s="173"/>
    </row>
    <row r="452" spans="1:7" x14ac:dyDescent="0.25">
      <c r="A452" s="79" t="s">
        <v>1006</v>
      </c>
      <c r="B452" s="80"/>
      <c r="C452" s="81" t="s">
        <v>1007</v>
      </c>
      <c r="D452" s="171"/>
      <c r="E452" s="171"/>
      <c r="F452" s="89"/>
      <c r="G452" s="173"/>
    </row>
    <row r="453" spans="1:7" ht="27.6" x14ac:dyDescent="0.25">
      <c r="A453" s="85" t="s">
        <v>1008</v>
      </c>
      <c r="B453" s="80"/>
      <c r="C453" s="81" t="s">
        <v>1009</v>
      </c>
      <c r="D453" s="171"/>
      <c r="E453" s="171"/>
      <c r="F453" s="89"/>
      <c r="G453" s="173"/>
    </row>
    <row r="454" spans="1:7" ht="27.6" x14ac:dyDescent="0.25">
      <c r="A454" s="85" t="s">
        <v>1010</v>
      </c>
      <c r="B454" s="80"/>
      <c r="C454" s="81" t="s">
        <v>1011</v>
      </c>
      <c r="D454" s="171"/>
      <c r="E454" s="171"/>
      <c r="F454" s="89"/>
      <c r="G454" s="173"/>
    </row>
    <row r="455" spans="1:7" ht="41.4" x14ac:dyDescent="0.25">
      <c r="A455" s="85" t="s">
        <v>1012</v>
      </c>
      <c r="B455" s="80"/>
      <c r="C455" s="81" t="s">
        <v>1013</v>
      </c>
      <c r="D455" s="171"/>
      <c r="E455" s="171"/>
      <c r="F455" s="89"/>
      <c r="G455" s="173"/>
    </row>
    <row r="456" spans="1:7" ht="50.4" x14ac:dyDescent="0.25">
      <c r="A456" s="85" t="s">
        <v>1014</v>
      </c>
      <c r="B456" s="80"/>
      <c r="C456" s="81" t="s">
        <v>1015</v>
      </c>
      <c r="D456" s="171"/>
      <c r="E456" s="171"/>
      <c r="F456" s="89"/>
      <c r="G456" s="173"/>
    </row>
    <row r="457" spans="1:7" ht="14.4" thickBot="1" x14ac:dyDescent="0.3">
      <c r="A457" s="166"/>
      <c r="C457" s="169"/>
      <c r="D457" s="170"/>
      <c r="E457" s="170"/>
      <c r="F457" s="108"/>
      <c r="G457" s="168"/>
    </row>
    <row r="458" spans="1:7" ht="17.399999999999999" x14ac:dyDescent="0.25">
      <c r="A458" s="159" t="s">
        <v>1016</v>
      </c>
      <c r="B458" s="160" t="s">
        <v>1017</v>
      </c>
      <c r="C458" s="161"/>
      <c r="D458" s="162"/>
      <c r="E458" s="163"/>
      <c r="F458" s="164"/>
      <c r="G458" s="165"/>
    </row>
    <row r="459" spans="1:7" ht="17.399999999999999" x14ac:dyDescent="0.3">
      <c r="A459" s="73"/>
      <c r="B459" s="191" t="s">
        <v>1018</v>
      </c>
      <c r="C459" s="77"/>
      <c r="D459" s="315"/>
      <c r="E459" s="315"/>
      <c r="F459" s="315"/>
      <c r="G459" s="74"/>
    </row>
    <row r="460" spans="1:7" x14ac:dyDescent="0.25">
      <c r="A460" s="125" t="s">
        <v>1019</v>
      </c>
      <c r="B460" s="71" t="s">
        <v>1020</v>
      </c>
      <c r="C460" s="81"/>
      <c r="D460" s="314"/>
      <c r="E460" s="314"/>
      <c r="F460" s="314"/>
      <c r="G460" s="80"/>
    </row>
    <row r="461" spans="1:7" x14ac:dyDescent="0.25">
      <c r="A461" s="85" t="s">
        <v>1021</v>
      </c>
      <c r="B461" s="80"/>
      <c r="C461" s="81" t="s">
        <v>1022</v>
      </c>
      <c r="D461" s="180"/>
      <c r="E461" s="180"/>
      <c r="F461" s="94"/>
      <c r="G461" s="173"/>
    </row>
    <row r="462" spans="1:7" ht="27.6" x14ac:dyDescent="0.25">
      <c r="A462" s="85" t="s">
        <v>1023</v>
      </c>
      <c r="B462" s="80"/>
      <c r="C462" s="81" t="s">
        <v>1024</v>
      </c>
      <c r="D462" s="171"/>
      <c r="E462" s="171"/>
      <c r="F462" s="83"/>
      <c r="G462" s="173"/>
    </row>
    <row r="463" spans="1:7" ht="16.5" customHeight="1" x14ac:dyDescent="0.25">
      <c r="A463" s="85" t="s">
        <v>1025</v>
      </c>
      <c r="B463" s="80"/>
      <c r="C463" s="81" t="s">
        <v>1026</v>
      </c>
      <c r="D463" s="171"/>
      <c r="E463" s="171"/>
      <c r="F463" s="83"/>
      <c r="G463" s="173"/>
    </row>
    <row r="464" spans="1:7" ht="27.6" x14ac:dyDescent="0.25">
      <c r="A464" s="85" t="s">
        <v>1027</v>
      </c>
      <c r="B464" s="80"/>
      <c r="C464" s="81" t="s">
        <v>1028</v>
      </c>
      <c r="D464" s="171"/>
      <c r="E464" s="171"/>
      <c r="F464" s="83"/>
      <c r="G464" s="173"/>
    </row>
    <row r="465" spans="1:7" ht="27.6" x14ac:dyDescent="0.25">
      <c r="A465" s="85" t="s">
        <v>1029</v>
      </c>
      <c r="B465" s="80"/>
      <c r="C465" s="81" t="s">
        <v>1030</v>
      </c>
      <c r="D465" s="171"/>
      <c r="E465" s="171"/>
      <c r="F465" s="89"/>
      <c r="G465" s="173"/>
    </row>
    <row r="466" spans="1:7" x14ac:dyDescent="0.25">
      <c r="A466" s="85" t="s">
        <v>1031</v>
      </c>
      <c r="B466" s="80"/>
      <c r="C466" s="81" t="s">
        <v>1032</v>
      </c>
      <c r="D466" s="171"/>
      <c r="E466" s="171"/>
      <c r="F466" s="83"/>
      <c r="G466" s="173"/>
    </row>
    <row r="467" spans="1:7" ht="27.6" x14ac:dyDescent="0.25">
      <c r="A467" s="85" t="s">
        <v>1033</v>
      </c>
      <c r="B467" s="80"/>
      <c r="C467" s="81" t="s">
        <v>1034</v>
      </c>
      <c r="D467" s="171"/>
      <c r="E467" s="171"/>
      <c r="F467" s="83"/>
      <c r="G467" s="173"/>
    </row>
    <row r="468" spans="1:7" x14ac:dyDescent="0.25">
      <c r="A468" s="78" t="s">
        <v>1035</v>
      </c>
      <c r="B468" s="71" t="s">
        <v>1036</v>
      </c>
      <c r="C468" s="81"/>
      <c r="D468" s="175"/>
      <c r="E468" s="175"/>
      <c r="F468" s="124"/>
      <c r="G468" s="173"/>
    </row>
    <row r="469" spans="1:7" ht="27.6" x14ac:dyDescent="0.25">
      <c r="A469" s="79" t="s">
        <v>1037</v>
      </c>
      <c r="B469" s="80"/>
      <c r="C469" s="81" t="s">
        <v>1038</v>
      </c>
      <c r="D469" s="171"/>
      <c r="E469" s="171"/>
      <c r="F469" s="89"/>
      <c r="G469" s="173"/>
    </row>
    <row r="470" spans="1:7" ht="27.6" x14ac:dyDescent="0.25">
      <c r="A470" s="85" t="s">
        <v>1039</v>
      </c>
      <c r="B470" s="80"/>
      <c r="C470" s="81" t="s">
        <v>1040</v>
      </c>
      <c r="D470" s="171"/>
      <c r="E470" s="171"/>
      <c r="F470" s="83"/>
      <c r="G470" s="173"/>
    </row>
    <row r="471" spans="1:7" ht="27.6" x14ac:dyDescent="0.25">
      <c r="A471" s="85" t="s">
        <v>1041</v>
      </c>
      <c r="B471" s="80"/>
      <c r="C471" s="81" t="s">
        <v>1042</v>
      </c>
      <c r="D471" s="171"/>
      <c r="E471" s="171"/>
      <c r="F471" s="83"/>
      <c r="G471" s="173"/>
    </row>
    <row r="472" spans="1:7" ht="27.6" x14ac:dyDescent="0.25">
      <c r="A472" s="85" t="s">
        <v>1043</v>
      </c>
      <c r="B472" s="80"/>
      <c r="C472" s="81" t="s">
        <v>1044</v>
      </c>
      <c r="D472" s="171"/>
      <c r="E472" s="171"/>
      <c r="F472" s="83"/>
      <c r="G472" s="173"/>
    </row>
    <row r="473" spans="1:7" ht="28.2" x14ac:dyDescent="0.25">
      <c r="A473" s="90" t="s">
        <v>1045</v>
      </c>
      <c r="B473" s="91"/>
      <c r="C473" s="92" t="s">
        <v>1046</v>
      </c>
      <c r="D473" s="171"/>
      <c r="E473" s="171"/>
      <c r="F473" s="83"/>
      <c r="G473" s="173"/>
    </row>
    <row r="474" spans="1:7" ht="14.4" x14ac:dyDescent="0.25">
      <c r="A474" s="97" t="s">
        <v>1047</v>
      </c>
      <c r="B474" s="91"/>
      <c r="C474" s="95" t="s">
        <v>1048</v>
      </c>
      <c r="D474" s="171"/>
      <c r="E474" s="171"/>
      <c r="F474" s="83"/>
      <c r="G474" s="173"/>
    </row>
    <row r="475" spans="1:7" ht="14.4" x14ac:dyDescent="0.25">
      <c r="A475" s="97" t="s">
        <v>1049</v>
      </c>
      <c r="B475" s="91"/>
      <c r="C475" s="95" t="s">
        <v>1050</v>
      </c>
      <c r="D475" s="171"/>
      <c r="E475" s="171"/>
      <c r="F475" s="83"/>
      <c r="G475" s="173"/>
    </row>
    <row r="476" spans="1:7" ht="14.4" x14ac:dyDescent="0.25">
      <c r="A476" s="97" t="s">
        <v>1051</v>
      </c>
      <c r="B476" s="91"/>
      <c r="C476" s="95" t="s">
        <v>1052</v>
      </c>
      <c r="D476" s="171"/>
      <c r="E476" s="171"/>
      <c r="F476" s="83"/>
      <c r="G476" s="173"/>
    </row>
    <row r="477" spans="1:7" ht="17.399999999999999" x14ac:dyDescent="0.25">
      <c r="A477" s="85" t="s">
        <v>1053</v>
      </c>
      <c r="B477" s="80"/>
      <c r="C477" s="81" t="s">
        <v>1054</v>
      </c>
      <c r="D477" s="171"/>
      <c r="E477" s="171"/>
      <c r="F477" s="83"/>
      <c r="G477" s="172"/>
    </row>
    <row r="478" spans="1:7" x14ac:dyDescent="0.25">
      <c r="A478" s="78" t="s">
        <v>1055</v>
      </c>
      <c r="B478" s="71" t="s">
        <v>1056</v>
      </c>
      <c r="C478" s="81"/>
      <c r="D478" s="175"/>
      <c r="E478" s="175"/>
      <c r="F478" s="124"/>
      <c r="G478" s="173"/>
    </row>
    <row r="479" spans="1:7" ht="63" customHeight="1" x14ac:dyDescent="0.25">
      <c r="A479" s="97" t="s">
        <v>1057</v>
      </c>
      <c r="B479" s="91"/>
      <c r="C479" s="92" t="s">
        <v>1058</v>
      </c>
      <c r="D479" s="171"/>
      <c r="E479" s="171"/>
      <c r="F479" s="83"/>
      <c r="G479" s="173"/>
    </row>
    <row r="480" spans="1:7" ht="14.4" x14ac:dyDescent="0.25">
      <c r="A480" s="97" t="s">
        <v>1059</v>
      </c>
      <c r="B480" s="91"/>
      <c r="C480" s="95" t="s">
        <v>1060</v>
      </c>
      <c r="D480" s="171"/>
      <c r="E480" s="171"/>
      <c r="F480" s="83"/>
      <c r="G480" s="173"/>
    </row>
    <row r="481" spans="1:7" ht="14.4" x14ac:dyDescent="0.25">
      <c r="A481" s="97" t="s">
        <v>1061</v>
      </c>
      <c r="B481" s="91"/>
      <c r="C481" s="95" t="s">
        <v>1062</v>
      </c>
      <c r="D481" s="171"/>
      <c r="E481" s="171"/>
      <c r="F481" s="83"/>
      <c r="G481" s="173"/>
    </row>
    <row r="482" spans="1:7" ht="14.4" x14ac:dyDescent="0.25">
      <c r="A482" s="97" t="s">
        <v>1063</v>
      </c>
      <c r="B482" s="91"/>
      <c r="C482" s="95" t="s">
        <v>1064</v>
      </c>
      <c r="D482" s="171"/>
      <c r="E482" s="171"/>
      <c r="F482" s="83"/>
      <c r="G482" s="173"/>
    </row>
    <row r="483" spans="1:7" ht="14.4" x14ac:dyDescent="0.25">
      <c r="A483" s="97" t="s">
        <v>1065</v>
      </c>
      <c r="B483" s="91"/>
      <c r="C483" s="95" t="s">
        <v>1066</v>
      </c>
      <c r="D483" s="171"/>
      <c r="E483" s="171"/>
      <c r="F483" s="83"/>
      <c r="G483" s="173"/>
    </row>
    <row r="484" spans="1:7" ht="14.4" x14ac:dyDescent="0.25">
      <c r="A484" s="97" t="s">
        <v>1067</v>
      </c>
      <c r="B484" s="91"/>
      <c r="C484" s="95" t="s">
        <v>1068</v>
      </c>
      <c r="D484" s="171"/>
      <c r="E484" s="171"/>
      <c r="F484" s="83"/>
      <c r="G484" s="173"/>
    </row>
    <row r="485" spans="1:7" ht="14.4" x14ac:dyDescent="0.25">
      <c r="A485" s="97" t="s">
        <v>1069</v>
      </c>
      <c r="B485" s="91"/>
      <c r="C485" s="95" t="s">
        <v>1070</v>
      </c>
      <c r="D485" s="171"/>
      <c r="E485" s="171"/>
      <c r="F485" s="83"/>
      <c r="G485" s="173"/>
    </row>
    <row r="486" spans="1:7" ht="14.4" x14ac:dyDescent="0.25">
      <c r="A486" s="97" t="s">
        <v>1071</v>
      </c>
      <c r="B486" s="91"/>
      <c r="C486" s="95" t="s">
        <v>1072</v>
      </c>
      <c r="D486" s="171"/>
      <c r="E486" s="171"/>
      <c r="F486" s="83"/>
      <c r="G486" s="173"/>
    </row>
    <row r="487" spans="1:7" ht="14.4" x14ac:dyDescent="0.25">
      <c r="A487" s="97" t="s">
        <v>1073</v>
      </c>
      <c r="B487" s="91"/>
      <c r="C487" s="95" t="s">
        <v>1074</v>
      </c>
      <c r="D487" s="171"/>
      <c r="E487" s="171"/>
      <c r="F487" s="83"/>
      <c r="G487" s="173"/>
    </row>
    <row r="488" spans="1:7" ht="14.4" x14ac:dyDescent="0.25">
      <c r="A488" s="97" t="s">
        <v>1075</v>
      </c>
      <c r="B488" s="91"/>
      <c r="C488" s="95" t="s">
        <v>1076</v>
      </c>
      <c r="D488" s="171"/>
      <c r="E488" s="171"/>
      <c r="F488" s="83"/>
      <c r="G488" s="173"/>
    </row>
    <row r="489" spans="1:7" ht="14.4" x14ac:dyDescent="0.25">
      <c r="A489" s="97" t="s">
        <v>1077</v>
      </c>
      <c r="B489" s="91"/>
      <c r="C489" s="95" t="s">
        <v>1078</v>
      </c>
      <c r="D489" s="171"/>
      <c r="E489" s="171"/>
      <c r="F489" s="83"/>
      <c r="G489" s="173"/>
    </row>
    <row r="490" spans="1:7" ht="14.4" x14ac:dyDescent="0.25">
      <c r="A490" s="97" t="s">
        <v>1079</v>
      </c>
      <c r="B490" s="91"/>
      <c r="C490" s="95" t="s">
        <v>1080</v>
      </c>
      <c r="D490" s="171"/>
      <c r="E490" s="171"/>
      <c r="F490" s="83"/>
      <c r="G490" s="173"/>
    </row>
    <row r="491" spans="1:7" ht="14.4" x14ac:dyDescent="0.25">
      <c r="A491" s="97" t="s">
        <v>1081</v>
      </c>
      <c r="B491" s="91"/>
      <c r="C491" s="95" t="s">
        <v>1082</v>
      </c>
      <c r="D491" s="171"/>
      <c r="E491" s="171"/>
      <c r="F491" s="83"/>
      <c r="G491" s="173"/>
    </row>
    <row r="492" spans="1:7" ht="14.4" x14ac:dyDescent="0.25">
      <c r="A492" s="97" t="s">
        <v>1083</v>
      </c>
      <c r="B492" s="91"/>
      <c r="C492" s="95" t="s">
        <v>1084</v>
      </c>
      <c r="D492" s="171"/>
      <c r="E492" s="171"/>
      <c r="F492" s="83"/>
      <c r="G492" s="173"/>
    </row>
    <row r="493" spans="1:7" ht="14.4" x14ac:dyDescent="0.25">
      <c r="A493" s="97" t="s">
        <v>1085</v>
      </c>
      <c r="B493" s="91"/>
      <c r="C493" s="95" t="s">
        <v>1086</v>
      </c>
      <c r="D493" s="171"/>
      <c r="E493" s="171"/>
      <c r="F493" s="83"/>
      <c r="G493" s="173"/>
    </row>
    <row r="494" spans="1:7" ht="14.4" x14ac:dyDescent="0.25">
      <c r="A494" s="97" t="s">
        <v>1087</v>
      </c>
      <c r="B494" s="91"/>
      <c r="C494" s="95" t="s">
        <v>1088</v>
      </c>
      <c r="D494" s="171"/>
      <c r="E494" s="171"/>
      <c r="F494" s="83"/>
      <c r="G494" s="173"/>
    </row>
    <row r="495" spans="1:7" ht="14.4" x14ac:dyDescent="0.25">
      <c r="A495" s="97" t="s">
        <v>1089</v>
      </c>
      <c r="B495" s="91"/>
      <c r="C495" s="95" t="s">
        <v>1090</v>
      </c>
      <c r="D495" s="171"/>
      <c r="E495" s="171"/>
      <c r="F495" s="83"/>
      <c r="G495" s="173"/>
    </row>
    <row r="496" spans="1:7" ht="14.4" x14ac:dyDescent="0.25">
      <c r="A496" s="97" t="s">
        <v>1091</v>
      </c>
      <c r="B496" s="91"/>
      <c r="C496" s="95" t="s">
        <v>1092</v>
      </c>
      <c r="D496" s="171"/>
      <c r="E496" s="171"/>
      <c r="F496" s="83"/>
      <c r="G496" s="173"/>
    </row>
    <row r="497" spans="1:7" ht="14.4" x14ac:dyDescent="0.25">
      <c r="A497" s="97" t="s">
        <v>1093</v>
      </c>
      <c r="B497" s="91"/>
      <c r="C497" s="95" t="s">
        <v>1094</v>
      </c>
      <c r="D497" s="171"/>
      <c r="E497" s="171"/>
      <c r="F497" s="83"/>
      <c r="G497" s="173"/>
    </row>
    <row r="498" spans="1:7" ht="14.4" x14ac:dyDescent="0.25">
      <c r="A498" s="97" t="s">
        <v>1095</v>
      </c>
      <c r="B498" s="91"/>
      <c r="C498" s="95" t="s">
        <v>1096</v>
      </c>
      <c r="D498" s="171"/>
      <c r="E498" s="171"/>
      <c r="F498" s="83"/>
      <c r="G498" s="173"/>
    </row>
    <row r="499" spans="1:7" ht="14.4" x14ac:dyDescent="0.25">
      <c r="A499" s="97" t="s">
        <v>1097</v>
      </c>
      <c r="B499" s="91"/>
      <c r="C499" s="95" t="s">
        <v>1098</v>
      </c>
      <c r="D499" s="171"/>
      <c r="E499" s="171"/>
      <c r="F499" s="83"/>
      <c r="G499" s="173"/>
    </row>
    <row r="500" spans="1:7" ht="14.4" x14ac:dyDescent="0.25">
      <c r="A500" s="97" t="s">
        <v>1099</v>
      </c>
      <c r="B500" s="91"/>
      <c r="C500" s="95" t="s">
        <v>1100</v>
      </c>
      <c r="D500" s="171"/>
      <c r="E500" s="171"/>
      <c r="F500" s="83"/>
      <c r="G500" s="173"/>
    </row>
    <row r="501" spans="1:7" ht="14.4" x14ac:dyDescent="0.25">
      <c r="A501" s="97" t="s">
        <v>1101</v>
      </c>
      <c r="B501" s="91"/>
      <c r="C501" s="95" t="s">
        <v>1102</v>
      </c>
      <c r="D501" s="171"/>
      <c r="E501" s="171"/>
      <c r="F501" s="83"/>
      <c r="G501" s="173"/>
    </row>
    <row r="502" spans="1:7" ht="14.4" x14ac:dyDescent="0.25">
      <c r="A502" s="97" t="s">
        <v>1103</v>
      </c>
      <c r="B502" s="91"/>
      <c r="C502" s="95" t="s">
        <v>1104</v>
      </c>
      <c r="D502" s="171"/>
      <c r="E502" s="171"/>
      <c r="F502" s="83"/>
      <c r="G502" s="173"/>
    </row>
    <row r="503" spans="1:7" ht="14.4" x14ac:dyDescent="0.25">
      <c r="A503" s="97" t="s">
        <v>1105</v>
      </c>
      <c r="B503" s="91"/>
      <c r="C503" s="95" t="s">
        <v>1106</v>
      </c>
      <c r="D503" s="171"/>
      <c r="E503" s="171"/>
      <c r="F503" s="83"/>
      <c r="G503" s="173"/>
    </row>
    <row r="504" spans="1:7" ht="14.4" x14ac:dyDescent="0.25">
      <c r="A504" s="97" t="s">
        <v>1107</v>
      </c>
      <c r="B504" s="91"/>
      <c r="C504" s="92" t="s">
        <v>1108</v>
      </c>
      <c r="D504" s="171"/>
      <c r="E504" s="171"/>
      <c r="F504" s="89"/>
      <c r="G504" s="173"/>
    </row>
    <row r="505" spans="1:7" x14ac:dyDescent="0.25">
      <c r="A505" s="78" t="s">
        <v>1109</v>
      </c>
      <c r="B505" s="71" t="s">
        <v>1110</v>
      </c>
      <c r="C505" s="107"/>
      <c r="D505" s="175"/>
      <c r="E505" s="175"/>
      <c r="F505" s="124"/>
      <c r="G505" s="173"/>
    </row>
    <row r="506" spans="1:7" ht="59.25" customHeight="1" x14ac:dyDescent="0.25">
      <c r="A506" s="97" t="s">
        <v>1111</v>
      </c>
      <c r="B506" s="91"/>
      <c r="C506" s="92" t="s">
        <v>1112</v>
      </c>
      <c r="D506" s="171"/>
      <c r="E506" s="171"/>
      <c r="F506" s="83"/>
      <c r="G506" s="173"/>
    </row>
    <row r="507" spans="1:7" ht="30.75" customHeight="1" x14ac:dyDescent="0.25">
      <c r="A507" s="97" t="s">
        <v>1113</v>
      </c>
      <c r="B507" s="91"/>
      <c r="C507" s="95" t="s">
        <v>1114</v>
      </c>
      <c r="D507" s="171"/>
      <c r="E507" s="171"/>
      <c r="F507" s="83"/>
      <c r="G507" s="173"/>
    </row>
    <row r="508" spans="1:7" ht="14.4" x14ac:dyDescent="0.25">
      <c r="A508" s="97" t="s">
        <v>1115</v>
      </c>
      <c r="B508" s="91"/>
      <c r="C508" s="95" t="s">
        <v>1116</v>
      </c>
      <c r="D508" s="171"/>
      <c r="E508" s="171"/>
      <c r="F508" s="83"/>
      <c r="G508" s="173"/>
    </row>
    <row r="509" spans="1:7" ht="14.4" x14ac:dyDescent="0.25">
      <c r="A509" s="97" t="s">
        <v>1117</v>
      </c>
      <c r="B509" s="91"/>
      <c r="C509" s="95" t="s">
        <v>1118</v>
      </c>
      <c r="D509" s="171"/>
      <c r="E509" s="171"/>
      <c r="F509" s="83"/>
      <c r="G509" s="173"/>
    </row>
    <row r="510" spans="1:7" ht="14.4" x14ac:dyDescent="0.25">
      <c r="A510" s="97" t="s">
        <v>1119</v>
      </c>
      <c r="B510" s="91"/>
      <c r="C510" s="95" t="s">
        <v>1120</v>
      </c>
      <c r="D510" s="171"/>
      <c r="E510" s="171"/>
      <c r="F510" s="83"/>
      <c r="G510" s="173"/>
    </row>
    <row r="511" spans="1:7" ht="14.4" x14ac:dyDescent="0.25">
      <c r="A511" s="97" t="s">
        <v>1121</v>
      </c>
      <c r="B511" s="91"/>
      <c r="C511" s="95" t="s">
        <v>1122</v>
      </c>
      <c r="D511" s="171"/>
      <c r="E511" s="171"/>
      <c r="F511" s="83"/>
      <c r="G511" s="173"/>
    </row>
    <row r="512" spans="1:7" x14ac:dyDescent="0.25">
      <c r="A512" s="97" t="s">
        <v>1123</v>
      </c>
      <c r="B512" s="91"/>
      <c r="C512" s="92" t="s">
        <v>1124</v>
      </c>
      <c r="D512" s="171"/>
      <c r="E512" s="171"/>
      <c r="F512" s="83"/>
      <c r="G512" s="173"/>
    </row>
    <row r="513" spans="1:7" ht="15" customHeight="1" x14ac:dyDescent="0.25">
      <c r="A513" s="97" t="s">
        <v>1125</v>
      </c>
      <c r="B513" s="91"/>
      <c r="C513" s="95" t="s">
        <v>1126</v>
      </c>
      <c r="D513" s="171"/>
      <c r="E513" s="171"/>
      <c r="F513" s="83"/>
      <c r="G513" s="173"/>
    </row>
    <row r="514" spans="1:7" ht="14.4" x14ac:dyDescent="0.25">
      <c r="A514" s="97" t="s">
        <v>1127</v>
      </c>
      <c r="B514" s="91"/>
      <c r="C514" s="95" t="s">
        <v>1128</v>
      </c>
      <c r="D514" s="171"/>
      <c r="E514" s="171"/>
      <c r="F514" s="83"/>
      <c r="G514" s="173"/>
    </row>
    <row r="515" spans="1:7" ht="28.8" x14ac:dyDescent="0.25">
      <c r="A515" s="97" t="s">
        <v>1129</v>
      </c>
      <c r="B515" s="91"/>
      <c r="C515" s="95" t="s">
        <v>1130</v>
      </c>
      <c r="D515" s="171"/>
      <c r="E515" s="171"/>
      <c r="F515" s="83"/>
      <c r="G515" s="173"/>
    </row>
    <row r="516" spans="1:7" ht="14.4" x14ac:dyDescent="0.25">
      <c r="A516" s="97" t="s">
        <v>1131</v>
      </c>
      <c r="B516" s="91"/>
      <c r="C516" s="95" t="s">
        <v>1132</v>
      </c>
      <c r="D516" s="171"/>
      <c r="E516" s="171"/>
      <c r="F516" s="83"/>
      <c r="G516" s="173"/>
    </row>
    <row r="517" spans="1:7" ht="14.4" x14ac:dyDescent="0.25">
      <c r="A517" s="97" t="s">
        <v>1133</v>
      </c>
      <c r="B517" s="91"/>
      <c r="C517" s="95" t="s">
        <v>1134</v>
      </c>
      <c r="D517" s="171"/>
      <c r="E517" s="171"/>
      <c r="F517" s="83"/>
      <c r="G517" s="173"/>
    </row>
    <row r="518" spans="1:7" ht="17.25" customHeight="1" x14ac:dyDescent="0.25">
      <c r="A518" s="97" t="s">
        <v>1135</v>
      </c>
      <c r="B518" s="91"/>
      <c r="C518" s="95" t="s">
        <v>1136</v>
      </c>
      <c r="D518" s="171"/>
      <c r="E518" s="171"/>
      <c r="F518" s="83"/>
      <c r="G518" s="173"/>
    </row>
    <row r="519" spans="1:7" ht="14.4" x14ac:dyDescent="0.25">
      <c r="A519" s="97" t="s">
        <v>1137</v>
      </c>
      <c r="B519" s="91"/>
      <c r="C519" s="95" t="s">
        <v>1138</v>
      </c>
      <c r="D519" s="171"/>
      <c r="E519" s="171"/>
      <c r="F519" s="83"/>
      <c r="G519" s="173"/>
    </row>
    <row r="520" spans="1:7" ht="14.4" x14ac:dyDescent="0.25">
      <c r="A520" s="97" t="s">
        <v>1139</v>
      </c>
      <c r="B520" s="91"/>
      <c r="C520" s="95" t="s">
        <v>1140</v>
      </c>
      <c r="D520" s="171"/>
      <c r="E520" s="171"/>
      <c r="F520" s="83"/>
      <c r="G520" s="173"/>
    </row>
    <row r="521" spans="1:7" x14ac:dyDescent="0.25">
      <c r="A521" s="78" t="s">
        <v>1141</v>
      </c>
      <c r="B521" s="71" t="s">
        <v>1142</v>
      </c>
      <c r="C521" s="81"/>
      <c r="D521" s="175"/>
      <c r="E521" s="175"/>
      <c r="F521" s="124"/>
      <c r="G521" s="173"/>
    </row>
    <row r="522" spans="1:7" ht="42" x14ac:dyDescent="0.25">
      <c r="A522" s="97" t="s">
        <v>1143</v>
      </c>
      <c r="B522" s="91"/>
      <c r="C522" s="92" t="s">
        <v>1144</v>
      </c>
      <c r="D522" s="171"/>
      <c r="E522" s="171"/>
      <c r="F522" s="89"/>
      <c r="G522" s="173"/>
    </row>
    <row r="523" spans="1:7" ht="28.2" x14ac:dyDescent="0.25">
      <c r="A523" s="97" t="s">
        <v>1145</v>
      </c>
      <c r="B523" s="91"/>
      <c r="C523" s="92" t="s">
        <v>1146</v>
      </c>
      <c r="D523" s="171"/>
      <c r="E523" s="171"/>
      <c r="F523" s="89"/>
      <c r="G523" s="173"/>
    </row>
    <row r="524" spans="1:7" ht="28.2" x14ac:dyDescent="0.25">
      <c r="A524" s="97" t="s">
        <v>1147</v>
      </c>
      <c r="B524" s="91"/>
      <c r="C524" s="92" t="s">
        <v>1148</v>
      </c>
      <c r="D524" s="171"/>
      <c r="E524" s="171"/>
      <c r="F524" s="89"/>
      <c r="G524" s="173"/>
    </row>
    <row r="525" spans="1:7" ht="27.6" x14ac:dyDescent="0.25">
      <c r="A525" s="85" t="s">
        <v>1149</v>
      </c>
      <c r="B525" s="80"/>
      <c r="C525" s="81" t="s">
        <v>1150</v>
      </c>
      <c r="D525" s="171"/>
      <c r="E525" s="171"/>
      <c r="F525" s="89"/>
      <c r="G525" s="173"/>
    </row>
    <row r="526" spans="1:7" x14ac:dyDescent="0.25">
      <c r="A526" s="85" t="s">
        <v>1151</v>
      </c>
      <c r="B526" s="80"/>
      <c r="C526" s="81" t="s">
        <v>1152</v>
      </c>
      <c r="D526" s="171"/>
      <c r="E526" s="171"/>
      <c r="F526" s="89"/>
      <c r="G526" s="173"/>
    </row>
    <row r="527" spans="1:7" x14ac:dyDescent="0.25">
      <c r="A527" s="85" t="s">
        <v>1153</v>
      </c>
      <c r="B527" s="80"/>
      <c r="C527" s="81" t="s">
        <v>1154</v>
      </c>
      <c r="D527" s="171"/>
      <c r="E527" s="171"/>
      <c r="F527" s="83"/>
      <c r="G527" s="173"/>
    </row>
    <row r="528" spans="1:7" x14ac:dyDescent="0.25">
      <c r="A528" s="85" t="s">
        <v>1155</v>
      </c>
      <c r="B528" s="80"/>
      <c r="C528" s="81" t="s">
        <v>1156</v>
      </c>
      <c r="D528" s="171"/>
      <c r="E528" s="171"/>
      <c r="F528" s="83"/>
      <c r="G528" s="173"/>
    </row>
    <row r="529" spans="1:7" ht="27.6" x14ac:dyDescent="0.25">
      <c r="A529" s="85" t="s">
        <v>1157</v>
      </c>
      <c r="B529" s="80"/>
      <c r="C529" s="81" t="s">
        <v>1158</v>
      </c>
      <c r="D529" s="171"/>
      <c r="E529" s="171"/>
      <c r="F529" s="89"/>
      <c r="G529" s="173"/>
    </row>
    <row r="530" spans="1:7" x14ac:dyDescent="0.25">
      <c r="A530" s="85" t="s">
        <v>1159</v>
      </c>
      <c r="B530" s="80"/>
      <c r="C530" s="81" t="s">
        <v>1152</v>
      </c>
      <c r="D530" s="171"/>
      <c r="E530" s="171"/>
      <c r="F530" s="89"/>
      <c r="G530" s="173"/>
    </row>
    <row r="531" spans="1:7" x14ac:dyDescent="0.25">
      <c r="A531" s="179" t="s">
        <v>1160</v>
      </c>
      <c r="B531" s="71" t="s">
        <v>1161</v>
      </c>
      <c r="C531" s="107"/>
      <c r="D531" s="175"/>
      <c r="E531" s="175"/>
      <c r="F531" s="124"/>
      <c r="G531" s="173"/>
    </row>
    <row r="532" spans="1:7" x14ac:dyDescent="0.25">
      <c r="A532" s="85" t="s">
        <v>1162</v>
      </c>
      <c r="B532" s="80"/>
      <c r="C532" s="81" t="s">
        <v>1163</v>
      </c>
      <c r="D532" s="171"/>
      <c r="E532" s="171"/>
      <c r="F532" s="83"/>
      <c r="G532" s="173"/>
    </row>
    <row r="533" spans="1:7" ht="28.2" x14ac:dyDescent="0.25">
      <c r="A533" s="90" t="s">
        <v>1164</v>
      </c>
      <c r="B533" s="91"/>
      <c r="C533" s="92" t="s">
        <v>1165</v>
      </c>
      <c r="D533" s="171"/>
      <c r="E533" s="171"/>
      <c r="F533" s="89"/>
      <c r="G533" s="173"/>
    </row>
    <row r="534" spans="1:7" ht="14.4" x14ac:dyDescent="0.25">
      <c r="A534" s="97" t="s">
        <v>1166</v>
      </c>
      <c r="B534" s="91"/>
      <c r="C534" s="92" t="s">
        <v>1167</v>
      </c>
      <c r="D534" s="171"/>
      <c r="E534" s="171"/>
      <c r="F534" s="89"/>
      <c r="G534" s="173"/>
    </row>
    <row r="535" spans="1:7" ht="14.4" x14ac:dyDescent="0.25">
      <c r="A535" s="97" t="s">
        <v>1168</v>
      </c>
      <c r="B535" s="91"/>
      <c r="C535" s="92" t="s">
        <v>1169</v>
      </c>
      <c r="D535" s="171"/>
      <c r="E535" s="171"/>
      <c r="F535" s="89"/>
      <c r="G535" s="173"/>
    </row>
    <row r="536" spans="1:7" ht="14.4" x14ac:dyDescent="0.25">
      <c r="A536" s="97" t="s">
        <v>1170</v>
      </c>
      <c r="B536" s="91"/>
      <c r="C536" s="92" t="s">
        <v>1171</v>
      </c>
      <c r="D536" s="171"/>
      <c r="E536" s="171"/>
      <c r="F536" s="89"/>
      <c r="G536" s="173"/>
    </row>
    <row r="537" spans="1:7" ht="27.6" x14ac:dyDescent="0.25">
      <c r="A537" s="79" t="s">
        <v>1172</v>
      </c>
      <c r="B537" s="80"/>
      <c r="C537" s="81" t="s">
        <v>1173</v>
      </c>
      <c r="D537" s="171"/>
      <c r="E537" s="171"/>
      <c r="F537" s="83"/>
      <c r="G537" s="173"/>
    </row>
    <row r="538" spans="1:7" x14ac:dyDescent="0.25">
      <c r="A538" s="79" t="s">
        <v>1174</v>
      </c>
      <c r="B538" s="80"/>
      <c r="C538" s="81" t="s">
        <v>1175</v>
      </c>
      <c r="D538" s="171"/>
      <c r="E538" s="171"/>
      <c r="F538" s="83"/>
      <c r="G538" s="173"/>
    </row>
    <row r="539" spans="1:7" x14ac:dyDescent="0.25">
      <c r="A539" s="79" t="s">
        <v>1176</v>
      </c>
      <c r="B539" s="80"/>
      <c r="C539" s="81" t="s">
        <v>1177</v>
      </c>
      <c r="D539" s="171"/>
      <c r="E539" s="171"/>
      <c r="F539" s="83"/>
      <c r="G539" s="173"/>
    </row>
    <row r="540" spans="1:7" x14ac:dyDescent="0.25">
      <c r="A540" s="78" t="s">
        <v>1178</v>
      </c>
      <c r="B540" s="71" t="s">
        <v>1179</v>
      </c>
      <c r="C540" s="81"/>
      <c r="D540" s="175"/>
      <c r="E540" s="175"/>
      <c r="F540" s="124"/>
      <c r="G540" s="173"/>
    </row>
    <row r="541" spans="1:7" ht="28.2" x14ac:dyDescent="0.3">
      <c r="A541" s="97" t="s">
        <v>1180</v>
      </c>
      <c r="B541" s="140"/>
      <c r="C541" s="92" t="s">
        <v>1181</v>
      </c>
      <c r="D541" s="171"/>
      <c r="E541" s="171"/>
      <c r="F541" s="83"/>
      <c r="G541" s="174"/>
    </row>
    <row r="542" spans="1:7" ht="14.4" x14ac:dyDescent="0.25">
      <c r="A542" s="97" t="s">
        <v>1182</v>
      </c>
      <c r="B542" s="91"/>
      <c r="C542" s="95" t="s">
        <v>1183</v>
      </c>
      <c r="D542" s="171"/>
      <c r="E542" s="171"/>
      <c r="F542" s="83"/>
      <c r="G542" s="173"/>
    </row>
    <row r="543" spans="1:7" ht="14.4" x14ac:dyDescent="0.25">
      <c r="A543" s="97" t="s">
        <v>1184</v>
      </c>
      <c r="B543" s="91"/>
      <c r="C543" s="95" t="s">
        <v>1185</v>
      </c>
      <c r="D543" s="171"/>
      <c r="E543" s="171"/>
      <c r="F543" s="83"/>
      <c r="G543" s="173"/>
    </row>
    <row r="544" spans="1:7" ht="14.4" x14ac:dyDescent="0.25">
      <c r="A544" s="97" t="s">
        <v>1186</v>
      </c>
      <c r="B544" s="91"/>
      <c r="C544" s="95" t="s">
        <v>1187</v>
      </c>
      <c r="D544" s="171"/>
      <c r="E544" s="171"/>
      <c r="F544" s="83"/>
      <c r="G544" s="173"/>
    </row>
    <row r="545" spans="1:7" ht="30.75" customHeight="1" x14ac:dyDescent="0.25">
      <c r="A545" s="79" t="s">
        <v>1188</v>
      </c>
      <c r="B545" s="80"/>
      <c r="C545" s="81" t="s">
        <v>1189</v>
      </c>
      <c r="D545" s="171"/>
      <c r="E545" s="171"/>
      <c r="F545" s="83"/>
      <c r="G545" s="173"/>
    </row>
    <row r="546" spans="1:7" x14ac:dyDescent="0.25">
      <c r="A546" s="78" t="s">
        <v>1190</v>
      </c>
      <c r="B546" s="71" t="s">
        <v>1191</v>
      </c>
      <c r="C546" s="81"/>
      <c r="D546" s="175"/>
      <c r="E546" s="175"/>
      <c r="F546" s="124"/>
      <c r="G546" s="173"/>
    </row>
    <row r="547" spans="1:7" ht="27.6" x14ac:dyDescent="0.25">
      <c r="A547" s="79" t="s">
        <v>1192</v>
      </c>
      <c r="B547" s="80"/>
      <c r="C547" s="81" t="s">
        <v>1193</v>
      </c>
      <c r="D547" s="171"/>
      <c r="E547" s="171"/>
      <c r="F547" s="83"/>
      <c r="G547" s="173"/>
    </row>
    <row r="548" spans="1:7" x14ac:dyDescent="0.25">
      <c r="A548" s="85" t="s">
        <v>1194</v>
      </c>
      <c r="B548" s="80"/>
      <c r="C548" s="81" t="s">
        <v>1195</v>
      </c>
      <c r="D548" s="171"/>
      <c r="E548" s="171"/>
      <c r="F548" s="83"/>
      <c r="G548" s="173"/>
    </row>
    <row r="549" spans="1:7" ht="32.25" customHeight="1" x14ac:dyDescent="0.25">
      <c r="A549" s="85" t="s">
        <v>1196</v>
      </c>
      <c r="B549" s="80"/>
      <c r="C549" s="81" t="s">
        <v>1197</v>
      </c>
      <c r="D549" s="171"/>
      <c r="E549" s="171"/>
      <c r="F549" s="83"/>
      <c r="G549" s="173"/>
    </row>
    <row r="550" spans="1:7" ht="27.6" x14ac:dyDescent="0.25">
      <c r="A550" s="85" t="s">
        <v>1198</v>
      </c>
      <c r="B550" s="80"/>
      <c r="C550" s="81" t="s">
        <v>1199</v>
      </c>
      <c r="D550" s="171"/>
      <c r="E550" s="171"/>
      <c r="F550" s="83"/>
      <c r="G550" s="222" t="s">
        <v>1200</v>
      </c>
    </row>
    <row r="551" spans="1:7" x14ac:dyDescent="0.25">
      <c r="A551" s="85" t="s">
        <v>1201</v>
      </c>
      <c r="B551" s="80"/>
      <c r="C551" s="81" t="s">
        <v>1202</v>
      </c>
      <c r="D551" s="171"/>
      <c r="E551" s="171"/>
      <c r="F551" s="83"/>
      <c r="G551" s="173"/>
    </row>
    <row r="552" spans="1:7" x14ac:dyDescent="0.25">
      <c r="A552" s="85" t="s">
        <v>1203</v>
      </c>
      <c r="B552" s="80"/>
      <c r="C552" s="81" t="s">
        <v>1204</v>
      </c>
      <c r="D552" s="171"/>
      <c r="E552" s="171"/>
      <c r="F552" s="83"/>
      <c r="G552" s="173"/>
    </row>
    <row r="553" spans="1:7" ht="27.6" x14ac:dyDescent="0.25">
      <c r="A553" s="85" t="s">
        <v>1205</v>
      </c>
      <c r="B553" s="80"/>
      <c r="C553" s="81" t="s">
        <v>1206</v>
      </c>
      <c r="D553" s="171"/>
      <c r="E553" s="171"/>
      <c r="F553" s="83"/>
      <c r="G553" s="173"/>
    </row>
    <row r="554" spans="1:7" x14ac:dyDescent="0.25">
      <c r="A554" s="78" t="s">
        <v>1207</v>
      </c>
      <c r="B554" s="71" t="s">
        <v>1208</v>
      </c>
      <c r="C554" s="81"/>
      <c r="D554" s="175"/>
      <c r="E554" s="175"/>
      <c r="F554" s="124"/>
      <c r="G554" s="173"/>
    </row>
    <row r="555" spans="1:7" ht="41.4" x14ac:dyDescent="0.25">
      <c r="A555" s="79" t="s">
        <v>1209</v>
      </c>
      <c r="B555" s="80"/>
      <c r="C555" s="81" t="s">
        <v>1210</v>
      </c>
      <c r="D555" s="171"/>
      <c r="E555" s="171"/>
      <c r="F555" s="83"/>
      <c r="G555" s="173"/>
    </row>
    <row r="556" spans="1:7" ht="27.6" x14ac:dyDescent="0.25">
      <c r="A556" s="85" t="s">
        <v>1211</v>
      </c>
      <c r="B556" s="80"/>
      <c r="C556" s="81" t="s">
        <v>1212</v>
      </c>
      <c r="D556" s="171"/>
      <c r="E556" s="171"/>
      <c r="F556" s="83"/>
      <c r="G556" s="173"/>
    </row>
    <row r="557" spans="1:7" x14ac:dyDescent="0.25">
      <c r="A557" s="85" t="s">
        <v>1213</v>
      </c>
      <c r="B557" s="80"/>
      <c r="C557" s="81" t="s">
        <v>1214</v>
      </c>
      <c r="D557" s="171"/>
      <c r="E557" s="171"/>
      <c r="F557" s="83"/>
      <c r="G557" s="173"/>
    </row>
    <row r="558" spans="1:7" x14ac:dyDescent="0.25">
      <c r="A558" s="85" t="s">
        <v>1215</v>
      </c>
      <c r="B558" s="80"/>
      <c r="C558" s="81" t="s">
        <v>1216</v>
      </c>
      <c r="D558" s="171"/>
      <c r="E558" s="171"/>
      <c r="F558" s="83"/>
      <c r="G558" s="173"/>
    </row>
    <row r="559" spans="1:7" x14ac:dyDescent="0.25">
      <c r="A559" s="85" t="s">
        <v>1217</v>
      </c>
      <c r="B559" s="80"/>
      <c r="C559" s="81" t="s">
        <v>1218</v>
      </c>
      <c r="D559" s="171"/>
      <c r="E559" s="171"/>
      <c r="F559" s="89"/>
      <c r="G559" s="173"/>
    </row>
    <row r="560" spans="1:7" ht="27.6" x14ac:dyDescent="0.25">
      <c r="A560" s="85" t="s">
        <v>1219</v>
      </c>
      <c r="B560" s="80"/>
      <c r="C560" s="81" t="s">
        <v>1220</v>
      </c>
      <c r="D560" s="171"/>
      <c r="E560" s="171"/>
      <c r="F560" s="89"/>
      <c r="G560" s="182"/>
    </row>
    <row r="561" spans="1:7" ht="27.6" x14ac:dyDescent="0.25">
      <c r="A561" s="85" t="s">
        <v>1221</v>
      </c>
      <c r="B561" s="80"/>
      <c r="C561" s="81" t="s">
        <v>1222</v>
      </c>
      <c r="D561" s="171"/>
      <c r="E561" s="171"/>
      <c r="F561" s="83"/>
      <c r="G561" s="173"/>
    </row>
    <row r="562" spans="1:7" ht="51" customHeight="1" x14ac:dyDescent="0.25">
      <c r="A562" s="85" t="s">
        <v>1223</v>
      </c>
      <c r="B562" s="80"/>
      <c r="C562" s="81" t="s">
        <v>1224</v>
      </c>
      <c r="D562" s="171"/>
      <c r="E562" s="171"/>
      <c r="F562" s="83"/>
      <c r="G562" s="173"/>
    </row>
    <row r="563" spans="1:7" ht="27.6" x14ac:dyDescent="0.25">
      <c r="A563" s="85" t="s">
        <v>1225</v>
      </c>
      <c r="B563" s="80"/>
      <c r="C563" s="81" t="s">
        <v>1226</v>
      </c>
      <c r="D563" s="171"/>
      <c r="E563" s="171"/>
      <c r="F563" s="83"/>
      <c r="G563" s="173"/>
    </row>
    <row r="564" spans="1:7" x14ac:dyDescent="0.25">
      <c r="A564" s="78" t="s">
        <v>1227</v>
      </c>
      <c r="B564" s="71" t="s">
        <v>1228</v>
      </c>
      <c r="C564" s="81"/>
      <c r="D564" s="175"/>
      <c r="E564" s="175"/>
      <c r="F564" s="124"/>
      <c r="G564" s="173"/>
    </row>
    <row r="565" spans="1:7" ht="27.6" x14ac:dyDescent="0.25">
      <c r="A565" s="79" t="s">
        <v>1229</v>
      </c>
      <c r="B565" s="80"/>
      <c r="C565" s="81" t="s">
        <v>1230</v>
      </c>
      <c r="D565" s="171"/>
      <c r="E565" s="171"/>
      <c r="F565" s="83"/>
      <c r="G565" s="173"/>
    </row>
    <row r="566" spans="1:7" ht="27.6" x14ac:dyDescent="0.25">
      <c r="A566" s="85" t="s">
        <v>1231</v>
      </c>
      <c r="B566" s="80"/>
      <c r="C566" s="81" t="s">
        <v>1232</v>
      </c>
      <c r="D566" s="171"/>
      <c r="E566" s="171"/>
      <c r="F566" s="83"/>
      <c r="G566" s="173"/>
    </row>
    <row r="567" spans="1:7" ht="27.6" x14ac:dyDescent="0.25">
      <c r="A567" s="85" t="s">
        <v>1233</v>
      </c>
      <c r="B567" s="80"/>
      <c r="C567" s="81" t="s">
        <v>1234</v>
      </c>
      <c r="D567" s="171"/>
      <c r="E567" s="171"/>
      <c r="F567" s="83"/>
      <c r="G567" s="173"/>
    </row>
    <row r="568" spans="1:7" ht="27.6" x14ac:dyDescent="0.25">
      <c r="A568" s="85" t="s">
        <v>1235</v>
      </c>
      <c r="B568" s="80"/>
      <c r="C568" s="81" t="s">
        <v>1236</v>
      </c>
      <c r="D568" s="171"/>
      <c r="E568" s="171"/>
      <c r="F568" s="89"/>
      <c r="G568" s="173"/>
    </row>
    <row r="569" spans="1:7" ht="27.6" x14ac:dyDescent="0.25">
      <c r="A569" s="85" t="s">
        <v>1237</v>
      </c>
      <c r="B569" s="80"/>
      <c r="C569" s="81" t="s">
        <v>1238</v>
      </c>
      <c r="D569" s="171"/>
      <c r="E569" s="171"/>
      <c r="F569" s="83"/>
      <c r="G569" s="172"/>
    </row>
    <row r="570" spans="1:7" ht="14.4" thickBot="1" x14ac:dyDescent="0.3">
      <c r="A570" s="166"/>
      <c r="C570" s="169"/>
      <c r="D570" s="170"/>
      <c r="E570" s="170"/>
      <c r="F570" s="108"/>
      <c r="G570" s="168"/>
    </row>
    <row r="571" spans="1:7" ht="17.399999999999999" x14ac:dyDescent="0.25">
      <c r="A571" s="159" t="s">
        <v>1239</v>
      </c>
      <c r="B571" s="160" t="s">
        <v>1240</v>
      </c>
      <c r="C571" s="161"/>
      <c r="D571" s="162"/>
      <c r="E571" s="163"/>
      <c r="F571" s="164"/>
      <c r="G571" s="165"/>
    </row>
    <row r="572" spans="1:7" ht="17.399999999999999" x14ac:dyDescent="0.3">
      <c r="A572" s="73"/>
      <c r="B572" s="191" t="s">
        <v>1241</v>
      </c>
      <c r="C572" s="77"/>
      <c r="D572" s="315"/>
      <c r="E572" s="315"/>
      <c r="F572" s="315"/>
      <c r="G572" s="74"/>
    </row>
    <row r="573" spans="1:7" x14ac:dyDescent="0.25">
      <c r="A573" s="125" t="s">
        <v>1242</v>
      </c>
      <c r="B573" s="71" t="s">
        <v>1243</v>
      </c>
      <c r="C573" s="81"/>
      <c r="D573" s="324"/>
      <c r="E573" s="325"/>
      <c r="F573" s="326"/>
      <c r="G573" s="80"/>
    </row>
    <row r="574" spans="1:7" ht="27.6" x14ac:dyDescent="0.25">
      <c r="A574" s="85" t="s">
        <v>1244</v>
      </c>
      <c r="B574" s="80"/>
      <c r="C574" s="81" t="s">
        <v>1245</v>
      </c>
      <c r="D574" s="171"/>
      <c r="E574" s="171"/>
      <c r="F574" s="83"/>
      <c r="G574" s="222" t="s">
        <v>1246</v>
      </c>
    </row>
    <row r="575" spans="1:7" ht="27.6" x14ac:dyDescent="0.25">
      <c r="A575" s="85" t="s">
        <v>1247</v>
      </c>
      <c r="B575" s="80"/>
      <c r="C575" s="81" t="s">
        <v>1248</v>
      </c>
      <c r="D575" s="171"/>
      <c r="E575" s="171"/>
      <c r="F575" s="89"/>
      <c r="G575" s="173"/>
    </row>
    <row r="576" spans="1:7" ht="28.2" x14ac:dyDescent="0.25">
      <c r="A576" s="90" t="s">
        <v>1249</v>
      </c>
      <c r="B576" s="91"/>
      <c r="C576" s="92" t="s">
        <v>1250</v>
      </c>
      <c r="D576" s="171"/>
      <c r="E576" s="171"/>
      <c r="F576" s="83"/>
      <c r="G576" s="173"/>
    </row>
    <row r="577" spans="1:7" ht="14.4" x14ac:dyDescent="0.25">
      <c r="A577" s="90" t="s">
        <v>1251</v>
      </c>
      <c r="B577" s="91"/>
      <c r="C577" s="95" t="s">
        <v>1252</v>
      </c>
      <c r="D577" s="171"/>
      <c r="E577" s="171"/>
      <c r="F577" s="83"/>
      <c r="G577" s="173"/>
    </row>
    <row r="578" spans="1:7" ht="14.4" x14ac:dyDescent="0.25">
      <c r="A578" s="90" t="s">
        <v>1253</v>
      </c>
      <c r="B578" s="91"/>
      <c r="C578" s="95" t="s">
        <v>1254</v>
      </c>
      <c r="D578" s="171"/>
      <c r="E578" s="171"/>
      <c r="F578" s="83"/>
      <c r="G578" s="173"/>
    </row>
    <row r="579" spans="1:7" ht="14.4" x14ac:dyDescent="0.25">
      <c r="A579" s="90" t="s">
        <v>1255</v>
      </c>
      <c r="B579" s="91"/>
      <c r="C579" s="95" t="s">
        <v>1256</v>
      </c>
      <c r="D579" s="171"/>
      <c r="E579" s="171"/>
      <c r="F579" s="83"/>
      <c r="G579" s="173"/>
    </row>
    <row r="580" spans="1:7" ht="17.399999999999999" x14ac:dyDescent="0.3">
      <c r="A580" s="90" t="s">
        <v>1257</v>
      </c>
      <c r="B580" s="91"/>
      <c r="C580" s="95" t="s">
        <v>1258</v>
      </c>
      <c r="D580" s="171"/>
      <c r="E580" s="171"/>
      <c r="F580" s="89"/>
      <c r="G580" s="183"/>
    </row>
    <row r="581" spans="1:7" ht="15.6" x14ac:dyDescent="0.3">
      <c r="A581" s="79" t="s">
        <v>1259</v>
      </c>
      <c r="B581" s="80"/>
      <c r="C581" s="81" t="s">
        <v>1260</v>
      </c>
      <c r="D581" s="171"/>
      <c r="E581" s="171"/>
      <c r="F581" s="83"/>
      <c r="G581" s="191" t="s">
        <v>1261</v>
      </c>
    </row>
    <row r="582" spans="1:7" ht="27.6" x14ac:dyDescent="0.3">
      <c r="A582" s="85" t="s">
        <v>1262</v>
      </c>
      <c r="B582" s="80"/>
      <c r="C582" s="81" t="s">
        <v>1263</v>
      </c>
      <c r="D582" s="171"/>
      <c r="E582" s="171"/>
      <c r="F582" s="83"/>
      <c r="G582" s="183"/>
    </row>
    <row r="583" spans="1:7" ht="30.75" customHeight="1" x14ac:dyDescent="0.3">
      <c r="A583" s="85" t="s">
        <v>1264</v>
      </c>
      <c r="B583" s="80"/>
      <c r="C583" s="81" t="s">
        <v>1265</v>
      </c>
      <c r="D583" s="171"/>
      <c r="E583" s="171"/>
      <c r="F583" s="83"/>
      <c r="G583" s="183"/>
    </row>
    <row r="584" spans="1:7" ht="27.6" x14ac:dyDescent="0.25">
      <c r="A584" s="85" t="s">
        <v>1266</v>
      </c>
      <c r="B584" s="80"/>
      <c r="C584" s="81" t="s">
        <v>1267</v>
      </c>
      <c r="D584" s="171"/>
      <c r="E584" s="171"/>
      <c r="F584" s="83"/>
      <c r="G584" s="222" t="s">
        <v>1268</v>
      </c>
    </row>
    <row r="585" spans="1:7" x14ac:dyDescent="0.25">
      <c r="A585" s="85" t="s">
        <v>1269</v>
      </c>
      <c r="B585" s="80"/>
      <c r="C585" s="81" t="s">
        <v>1270</v>
      </c>
      <c r="D585" s="171"/>
      <c r="E585" s="171"/>
      <c r="F585" s="83"/>
      <c r="G585" s="173"/>
    </row>
    <row r="586" spans="1:7" ht="27.6" x14ac:dyDescent="0.25">
      <c r="A586" s="85" t="s">
        <v>1271</v>
      </c>
      <c r="B586" s="80"/>
      <c r="C586" s="81" t="s">
        <v>1272</v>
      </c>
      <c r="D586" s="171"/>
      <c r="E586" s="171"/>
      <c r="F586" s="83"/>
      <c r="G586" s="173"/>
    </row>
    <row r="587" spans="1:7" x14ac:dyDescent="0.25">
      <c r="A587" s="78" t="s">
        <v>1273</v>
      </c>
      <c r="B587" s="71" t="s">
        <v>1274</v>
      </c>
      <c r="C587" s="81"/>
      <c r="D587" s="175"/>
      <c r="E587" s="175"/>
      <c r="F587" s="124"/>
      <c r="G587" s="173"/>
    </row>
    <row r="588" spans="1:7" ht="28.2" x14ac:dyDescent="0.25">
      <c r="A588" s="97" t="s">
        <v>1275</v>
      </c>
      <c r="B588" s="91"/>
      <c r="C588" s="92" t="s">
        <v>1276</v>
      </c>
      <c r="D588" s="171"/>
      <c r="E588" s="171"/>
      <c r="F588" s="83"/>
      <c r="G588" s="173"/>
    </row>
    <row r="589" spans="1:7" ht="14.4" x14ac:dyDescent="0.25">
      <c r="A589" s="90" t="s">
        <v>1277</v>
      </c>
      <c r="B589" s="91"/>
      <c r="C589" s="95" t="s">
        <v>828</v>
      </c>
      <c r="D589" s="171"/>
      <c r="E589" s="171"/>
      <c r="F589" s="83"/>
      <c r="G589" s="173"/>
    </row>
    <row r="590" spans="1:7" ht="14.4" x14ac:dyDescent="0.25">
      <c r="A590" s="90" t="s">
        <v>1278</v>
      </c>
      <c r="B590" s="91"/>
      <c r="C590" s="95" t="s">
        <v>830</v>
      </c>
      <c r="D590" s="171"/>
      <c r="E590" s="171"/>
      <c r="F590" s="83"/>
      <c r="G590" s="173"/>
    </row>
    <row r="591" spans="1:7" ht="14.4" x14ac:dyDescent="0.25">
      <c r="A591" s="90" t="s">
        <v>1279</v>
      </c>
      <c r="B591" s="91"/>
      <c r="C591" s="95" t="s">
        <v>213</v>
      </c>
      <c r="D591" s="171"/>
      <c r="E591" s="171"/>
      <c r="F591" s="83"/>
      <c r="G591" s="173"/>
    </row>
    <row r="592" spans="1:7" ht="14.4" x14ac:dyDescent="0.25">
      <c r="A592" s="90" t="s">
        <v>1280</v>
      </c>
      <c r="B592" s="91"/>
      <c r="C592" s="95" t="s">
        <v>1281</v>
      </c>
      <c r="D592" s="171"/>
      <c r="E592" s="171"/>
      <c r="F592" s="83"/>
      <c r="G592" s="173"/>
    </row>
    <row r="593" spans="1:7" ht="14.4" x14ac:dyDescent="0.25">
      <c r="A593" s="90" t="s">
        <v>1282</v>
      </c>
      <c r="B593" s="91"/>
      <c r="C593" s="95" t="s">
        <v>1283</v>
      </c>
      <c r="D593" s="171"/>
      <c r="E593" s="171"/>
      <c r="F593" s="83"/>
      <c r="G593" s="173"/>
    </row>
    <row r="594" spans="1:7" ht="14.4" x14ac:dyDescent="0.25">
      <c r="A594" s="90" t="s">
        <v>1284</v>
      </c>
      <c r="B594" s="91"/>
      <c r="C594" s="95" t="s">
        <v>833</v>
      </c>
      <c r="D594" s="171"/>
      <c r="E594" s="171"/>
      <c r="F594" s="83"/>
      <c r="G594" s="173"/>
    </row>
    <row r="595" spans="1:7" ht="42" x14ac:dyDescent="0.25">
      <c r="A595" s="97" t="s">
        <v>1285</v>
      </c>
      <c r="B595" s="91"/>
      <c r="C595" s="92" t="s">
        <v>1286</v>
      </c>
      <c r="D595" s="171"/>
      <c r="E595" s="171"/>
      <c r="F595" s="89"/>
      <c r="G595" s="184"/>
    </row>
    <row r="596" spans="1:7" ht="14.4" x14ac:dyDescent="0.25">
      <c r="A596" s="90" t="s">
        <v>1287</v>
      </c>
      <c r="B596" s="91"/>
      <c r="C596" s="95" t="s">
        <v>1288</v>
      </c>
      <c r="D596" s="171"/>
      <c r="E596" s="171"/>
      <c r="F596" s="83"/>
      <c r="G596" s="173"/>
    </row>
    <row r="597" spans="1:7" x14ac:dyDescent="0.25">
      <c r="A597" s="85" t="s">
        <v>1289</v>
      </c>
      <c r="B597" s="80"/>
      <c r="C597" s="81" t="s">
        <v>1290</v>
      </c>
      <c r="D597" s="171"/>
      <c r="E597" s="171"/>
      <c r="F597" s="83"/>
      <c r="G597" s="173"/>
    </row>
    <row r="598" spans="1:7" x14ac:dyDescent="0.25">
      <c r="A598" s="78" t="s">
        <v>1291</v>
      </c>
      <c r="B598" s="71" t="s">
        <v>1292</v>
      </c>
      <c r="C598" s="81"/>
      <c r="D598" s="175"/>
      <c r="E598" s="175"/>
      <c r="F598" s="124"/>
      <c r="G598" s="173"/>
    </row>
    <row r="599" spans="1:7" ht="61.8" x14ac:dyDescent="0.25">
      <c r="A599" s="79" t="s">
        <v>1293</v>
      </c>
      <c r="B599" s="71"/>
      <c r="C599" s="81" t="s">
        <v>1294</v>
      </c>
      <c r="D599" s="171"/>
      <c r="E599" s="171"/>
      <c r="F599" s="89"/>
      <c r="G599" s="173"/>
    </row>
    <row r="600" spans="1:7" ht="27.6" x14ac:dyDescent="0.25">
      <c r="A600" s="85" t="s">
        <v>1295</v>
      </c>
      <c r="B600" s="80"/>
      <c r="C600" s="81" t="s">
        <v>1296</v>
      </c>
      <c r="D600" s="171"/>
      <c r="E600" s="171"/>
      <c r="F600" s="83"/>
      <c r="G600" s="182"/>
    </row>
    <row r="601" spans="1:7" ht="41.4" x14ac:dyDescent="0.25">
      <c r="A601" s="85" t="s">
        <v>1297</v>
      </c>
      <c r="B601" s="80"/>
      <c r="C601" s="81" t="s">
        <v>1298</v>
      </c>
      <c r="D601" s="171"/>
      <c r="E601" s="171"/>
      <c r="F601" s="83"/>
      <c r="G601" s="173"/>
    </row>
    <row r="602" spans="1:7" ht="27.6" x14ac:dyDescent="0.25">
      <c r="A602" s="85" t="s">
        <v>1299</v>
      </c>
      <c r="B602" s="80"/>
      <c r="C602" s="81" t="s">
        <v>1300</v>
      </c>
      <c r="D602" s="171"/>
      <c r="E602" s="171"/>
      <c r="F602" s="83"/>
      <c r="G602" s="173"/>
    </row>
    <row r="603" spans="1:7" ht="14.4" thickBot="1" x14ac:dyDescent="0.3">
      <c r="A603" s="166"/>
      <c r="C603" s="169"/>
      <c r="D603" s="170"/>
      <c r="E603" s="170"/>
      <c r="F603" s="108"/>
      <c r="G603" s="168"/>
    </row>
    <row r="604" spans="1:7" ht="17.399999999999999" x14ac:dyDescent="0.25">
      <c r="A604" s="159" t="s">
        <v>1301</v>
      </c>
      <c r="B604" s="160" t="s">
        <v>1302</v>
      </c>
      <c r="C604" s="161"/>
      <c r="D604" s="162"/>
      <c r="E604" s="163"/>
      <c r="F604" s="164"/>
      <c r="G604" s="165"/>
    </row>
    <row r="605" spans="1:7" ht="17.399999999999999" x14ac:dyDescent="0.3">
      <c r="A605" s="73"/>
      <c r="B605" s="191" t="s">
        <v>1303</v>
      </c>
      <c r="C605" s="77"/>
      <c r="D605" s="315"/>
      <c r="E605" s="315"/>
      <c r="F605" s="315"/>
      <c r="G605" s="74"/>
    </row>
    <row r="606" spans="1:7" ht="27.6" x14ac:dyDescent="0.25">
      <c r="A606" s="85" t="s">
        <v>1304</v>
      </c>
      <c r="B606" s="80"/>
      <c r="C606" s="81" t="s">
        <v>1305</v>
      </c>
      <c r="D606" s="171"/>
      <c r="E606" s="171"/>
      <c r="F606" s="83"/>
      <c r="G606" s="173"/>
    </row>
    <row r="607" spans="1:7" ht="42" x14ac:dyDescent="0.25">
      <c r="A607" s="90" t="s">
        <v>1306</v>
      </c>
      <c r="B607" s="91"/>
      <c r="C607" s="92" t="s">
        <v>1307</v>
      </c>
      <c r="D607" s="171"/>
      <c r="E607" s="171"/>
      <c r="F607" s="83"/>
      <c r="G607" s="173"/>
    </row>
    <row r="608" spans="1:7" ht="14.4" x14ac:dyDescent="0.25">
      <c r="A608" s="90" t="s">
        <v>1308</v>
      </c>
      <c r="B608" s="91"/>
      <c r="C608" s="95" t="s">
        <v>1309</v>
      </c>
      <c r="D608" s="171"/>
      <c r="E608" s="171"/>
      <c r="F608" s="83"/>
      <c r="G608" s="173"/>
    </row>
    <row r="609" spans="1:7" ht="14.4" x14ac:dyDescent="0.25">
      <c r="A609" s="90" t="s">
        <v>1310</v>
      </c>
      <c r="B609" s="91"/>
      <c r="C609" s="95" t="s">
        <v>1311</v>
      </c>
      <c r="D609" s="171"/>
      <c r="E609" s="171"/>
      <c r="F609" s="83"/>
      <c r="G609" s="173"/>
    </row>
    <row r="610" spans="1:7" ht="14.4" x14ac:dyDescent="0.25">
      <c r="A610" s="90" t="s">
        <v>1312</v>
      </c>
      <c r="B610" s="91"/>
      <c r="C610" s="95" t="s">
        <v>1313</v>
      </c>
      <c r="D610" s="171"/>
      <c r="E610" s="171"/>
      <c r="F610" s="83"/>
      <c r="G610" s="173"/>
    </row>
    <row r="611" spans="1:7" ht="27.6" x14ac:dyDescent="0.25">
      <c r="A611" s="85" t="s">
        <v>1314</v>
      </c>
      <c r="B611" s="80"/>
      <c r="C611" s="81" t="s">
        <v>1315</v>
      </c>
      <c r="D611" s="171"/>
      <c r="E611" s="171"/>
      <c r="F611" s="83"/>
      <c r="G611" s="173"/>
    </row>
    <row r="612" spans="1:7" ht="55.2" x14ac:dyDescent="0.25">
      <c r="A612" s="85" t="s">
        <v>1316</v>
      </c>
      <c r="B612" s="80"/>
      <c r="C612" s="81" t="s">
        <v>1317</v>
      </c>
      <c r="D612" s="171"/>
      <c r="E612" s="171"/>
      <c r="F612" s="83"/>
      <c r="G612" s="222" t="s">
        <v>1318</v>
      </c>
    </row>
    <row r="613" spans="1:7" ht="41.4" x14ac:dyDescent="0.25">
      <c r="A613" s="85" t="s">
        <v>1319</v>
      </c>
      <c r="B613" s="80"/>
      <c r="C613" s="81" t="s">
        <v>1320</v>
      </c>
      <c r="D613" s="171"/>
      <c r="E613" s="171"/>
      <c r="F613" s="83"/>
      <c r="G613" s="222"/>
    </row>
    <row r="614" spans="1:7" ht="41.4" x14ac:dyDescent="0.25">
      <c r="A614" s="85" t="s">
        <v>1321</v>
      </c>
      <c r="B614" s="80"/>
      <c r="C614" s="81" t="s">
        <v>1322</v>
      </c>
      <c r="D614" s="171"/>
      <c r="E614" s="171"/>
      <c r="F614" s="83"/>
      <c r="G614" s="222" t="s">
        <v>1323</v>
      </c>
    </row>
    <row r="615" spans="1:7" ht="28.8" x14ac:dyDescent="0.25">
      <c r="A615" s="90" t="s">
        <v>1324</v>
      </c>
      <c r="B615" s="91"/>
      <c r="C615" s="95" t="s">
        <v>1325</v>
      </c>
      <c r="D615" s="171"/>
      <c r="E615" s="171"/>
      <c r="F615" s="83"/>
      <c r="G615" s="173"/>
    </row>
    <row r="616" spans="1:7" ht="14.4" x14ac:dyDescent="0.25">
      <c r="A616" s="90" t="s">
        <v>1326</v>
      </c>
      <c r="B616" s="91"/>
      <c r="C616" s="95" t="s">
        <v>1327</v>
      </c>
      <c r="D616" s="171"/>
      <c r="E616" s="171"/>
      <c r="F616" s="83"/>
      <c r="G616" s="173"/>
    </row>
    <row r="617" spans="1:7" ht="14.4" x14ac:dyDescent="0.25">
      <c r="A617" s="90" t="s">
        <v>1328</v>
      </c>
      <c r="B617" s="91"/>
      <c r="C617" s="95" t="s">
        <v>1329</v>
      </c>
      <c r="D617" s="171"/>
      <c r="E617" s="171"/>
      <c r="F617" s="83"/>
      <c r="G617" s="173"/>
    </row>
    <row r="618" spans="1:7" x14ac:dyDescent="0.25">
      <c r="A618" s="85" t="s">
        <v>1330</v>
      </c>
      <c r="B618" s="80"/>
      <c r="C618" s="81" t="s">
        <v>1331</v>
      </c>
      <c r="D618" s="171"/>
      <c r="E618" s="171"/>
      <c r="F618" s="83"/>
      <c r="G618" s="173"/>
    </row>
    <row r="619" spans="1:7" ht="27.6" x14ac:dyDescent="0.25">
      <c r="A619" s="85" t="s">
        <v>1332</v>
      </c>
      <c r="B619" s="80"/>
      <c r="C619" s="81" t="s">
        <v>1333</v>
      </c>
      <c r="D619" s="171"/>
      <c r="E619" s="171"/>
      <c r="F619" s="83"/>
      <c r="G619" s="173"/>
    </row>
    <row r="620" spans="1:7" ht="27.6" x14ac:dyDescent="0.25">
      <c r="A620" s="85" t="s">
        <v>1334</v>
      </c>
      <c r="B620" s="80"/>
      <c r="C620" s="81" t="s">
        <v>1335</v>
      </c>
      <c r="D620" s="171"/>
      <c r="E620" s="171"/>
      <c r="F620" s="83"/>
      <c r="G620" s="173"/>
    </row>
    <row r="621" spans="1:7" ht="41.4" x14ac:dyDescent="0.25">
      <c r="A621" s="85" t="s">
        <v>1336</v>
      </c>
      <c r="B621" s="80"/>
      <c r="C621" s="81" t="s">
        <v>1337</v>
      </c>
      <c r="D621" s="171"/>
      <c r="E621" s="171"/>
      <c r="F621" s="83"/>
      <c r="G621" s="173"/>
    </row>
    <row r="622" spans="1:7" ht="30.75" customHeight="1" x14ac:dyDescent="0.25">
      <c r="A622" s="85" t="s">
        <v>1338</v>
      </c>
      <c r="B622" s="80"/>
      <c r="C622" s="81" t="s">
        <v>1339</v>
      </c>
      <c r="D622" s="171"/>
      <c r="E622" s="171"/>
      <c r="F622" s="83"/>
      <c r="G622" s="173"/>
    </row>
    <row r="623" spans="1:7" ht="42.6" x14ac:dyDescent="0.25">
      <c r="A623" s="90" t="s">
        <v>1340</v>
      </c>
      <c r="B623" s="91"/>
      <c r="C623" s="95" t="s">
        <v>1341</v>
      </c>
      <c r="D623" s="171"/>
      <c r="E623" s="171"/>
      <c r="F623" s="83"/>
      <c r="G623" s="173"/>
    </row>
    <row r="624" spans="1:7" ht="14.4" x14ac:dyDescent="0.25">
      <c r="A624" s="90" t="s">
        <v>1342</v>
      </c>
      <c r="B624" s="91"/>
      <c r="C624" s="95" t="s">
        <v>1343</v>
      </c>
      <c r="D624" s="171"/>
      <c r="E624" s="171"/>
      <c r="F624" s="89"/>
      <c r="G624" s="173"/>
    </row>
    <row r="625" spans="1:7" ht="14.4" thickBot="1" x14ac:dyDescent="0.3">
      <c r="A625" s="166"/>
      <c r="C625" s="169"/>
      <c r="D625" s="170"/>
      <c r="E625" s="170"/>
      <c r="F625" s="108"/>
      <c r="G625" s="168"/>
    </row>
    <row r="626" spans="1:7" ht="17.399999999999999" x14ac:dyDescent="0.3">
      <c r="A626" s="159" t="s">
        <v>1344</v>
      </c>
      <c r="B626" s="185" t="s">
        <v>1345</v>
      </c>
      <c r="C626" s="186"/>
      <c r="D626" s="187"/>
      <c r="E626" s="187"/>
      <c r="F626" s="188"/>
      <c r="G626" s="189"/>
    </row>
    <row r="627" spans="1:7" ht="15.6" x14ac:dyDescent="0.3">
      <c r="A627" s="190"/>
      <c r="B627" s="191" t="s">
        <v>1346</v>
      </c>
      <c r="C627" s="192"/>
      <c r="D627" s="322"/>
      <c r="E627" s="322"/>
      <c r="F627" s="323"/>
      <c r="G627" s="173"/>
    </row>
    <row r="628" spans="1:7" ht="41.4" x14ac:dyDescent="0.25">
      <c r="A628" s="79" t="s">
        <v>1347</v>
      </c>
      <c r="B628" s="173"/>
      <c r="C628" s="169" t="s">
        <v>1348</v>
      </c>
      <c r="D628" s="171"/>
      <c r="E628" s="171"/>
      <c r="F628" s="83"/>
      <c r="G628" s="173"/>
    </row>
    <row r="629" spans="1:7" x14ac:dyDescent="0.25">
      <c r="A629" s="85" t="s">
        <v>1349</v>
      </c>
      <c r="B629" s="173"/>
      <c r="C629" s="194" t="s">
        <v>1350</v>
      </c>
      <c r="D629" s="171"/>
      <c r="E629" s="171"/>
      <c r="F629" s="83"/>
      <c r="G629" s="173"/>
    </row>
    <row r="630" spans="1:7" ht="27.6" x14ac:dyDescent="0.25">
      <c r="A630" s="85" t="s">
        <v>1351</v>
      </c>
      <c r="B630" s="173"/>
      <c r="C630" s="194" t="s">
        <v>1352</v>
      </c>
      <c r="D630" s="171"/>
      <c r="E630" s="171"/>
      <c r="F630" s="83"/>
      <c r="G630" s="173"/>
    </row>
    <row r="631" spans="1:7" ht="41.4" x14ac:dyDescent="0.25">
      <c r="A631" s="85" t="s">
        <v>1353</v>
      </c>
      <c r="B631" s="173"/>
      <c r="C631" s="194" t="s">
        <v>1354</v>
      </c>
      <c r="D631" s="171"/>
      <c r="E631" s="171"/>
      <c r="F631" s="83"/>
      <c r="G631" s="173"/>
    </row>
    <row r="632" spans="1:7" ht="41.4" x14ac:dyDescent="0.25">
      <c r="A632" s="85" t="s">
        <v>1355</v>
      </c>
      <c r="B632" s="173"/>
      <c r="C632" s="194" t="s">
        <v>1356</v>
      </c>
      <c r="D632" s="171"/>
      <c r="E632" s="171"/>
      <c r="F632" s="83"/>
      <c r="G632" s="173"/>
    </row>
    <row r="633" spans="1:7" ht="28.2" x14ac:dyDescent="0.25">
      <c r="A633" s="97" t="s">
        <v>1357</v>
      </c>
      <c r="B633" s="91"/>
      <c r="C633" s="92" t="s">
        <v>1358</v>
      </c>
      <c r="D633" s="171"/>
      <c r="E633" s="171"/>
      <c r="F633" s="83"/>
      <c r="G633" s="173"/>
    </row>
    <row r="634" spans="1:7" ht="14.4" x14ac:dyDescent="0.25">
      <c r="A634" s="90" t="s">
        <v>1359</v>
      </c>
      <c r="B634" s="91"/>
      <c r="C634" s="95" t="s">
        <v>1309</v>
      </c>
      <c r="D634" s="171"/>
      <c r="E634" s="171"/>
      <c r="F634" s="83"/>
      <c r="G634" s="173"/>
    </row>
    <row r="635" spans="1:7" ht="14.4" x14ac:dyDescent="0.25">
      <c r="A635" s="90" t="s">
        <v>1360</v>
      </c>
      <c r="B635" s="91"/>
      <c r="C635" s="95" t="s">
        <v>1311</v>
      </c>
      <c r="D635" s="171"/>
      <c r="E635" s="171"/>
      <c r="F635" s="83"/>
      <c r="G635" s="173"/>
    </row>
    <row r="636" spans="1:7" ht="14.4" x14ac:dyDescent="0.25">
      <c r="A636" s="90" t="s">
        <v>1361</v>
      </c>
      <c r="B636" s="91"/>
      <c r="C636" s="95" t="s">
        <v>1313</v>
      </c>
      <c r="D636" s="171"/>
      <c r="E636" s="171"/>
      <c r="F636" s="83"/>
      <c r="G636" s="173"/>
    </row>
    <row r="637" spans="1:7" ht="27.6" x14ac:dyDescent="0.25">
      <c r="A637" s="85" t="s">
        <v>1362</v>
      </c>
      <c r="B637" s="173"/>
      <c r="C637" s="194" t="s">
        <v>1363</v>
      </c>
      <c r="D637" s="171"/>
      <c r="E637" s="171"/>
      <c r="F637" s="83"/>
      <c r="G637" s="173"/>
    </row>
    <row r="638" spans="1:7" ht="27.6" x14ac:dyDescent="0.25">
      <c r="A638" s="85" t="s">
        <v>1364</v>
      </c>
      <c r="B638" s="173"/>
      <c r="C638" s="194" t="s">
        <v>1365</v>
      </c>
      <c r="D638" s="171"/>
      <c r="E638" s="171"/>
      <c r="F638" s="83"/>
      <c r="G638" s="173"/>
    </row>
    <row r="639" spans="1:7" x14ac:dyDescent="0.25">
      <c r="A639" s="85" t="s">
        <v>1366</v>
      </c>
      <c r="B639" s="173"/>
      <c r="C639" s="194" t="s">
        <v>1367</v>
      </c>
      <c r="D639" s="171"/>
      <c r="E639" s="171"/>
      <c r="F639" s="83"/>
      <c r="G639" s="173"/>
    </row>
    <row r="640" spans="1:7" ht="41.4" x14ac:dyDescent="0.25">
      <c r="A640" s="85" t="s">
        <v>1368</v>
      </c>
      <c r="B640" s="173"/>
      <c r="C640" s="194" t="s">
        <v>1369</v>
      </c>
      <c r="D640" s="171"/>
      <c r="E640" s="171"/>
      <c r="F640" s="83"/>
      <c r="G640" s="173"/>
    </row>
    <row r="641" spans="1:7" ht="41.4" x14ac:dyDescent="0.25">
      <c r="A641" s="97" t="s">
        <v>1370</v>
      </c>
      <c r="B641" s="92"/>
      <c r="C641" s="92" t="s">
        <v>1371</v>
      </c>
      <c r="D641" s="171"/>
      <c r="E641" s="171"/>
      <c r="F641" s="83"/>
      <c r="G641" s="173"/>
    </row>
    <row r="642" spans="1:7" ht="14.4" x14ac:dyDescent="0.25">
      <c r="A642" s="97" t="s">
        <v>1372</v>
      </c>
      <c r="B642" s="91"/>
      <c r="C642" s="95" t="s">
        <v>1373</v>
      </c>
      <c r="D642" s="171"/>
      <c r="E642" s="171"/>
      <c r="F642" s="83"/>
      <c r="G642" s="173"/>
    </row>
    <row r="643" spans="1:7" ht="14.4" x14ac:dyDescent="0.25">
      <c r="A643" s="90" t="s">
        <v>1374</v>
      </c>
      <c r="B643" s="91"/>
      <c r="C643" s="95" t="s">
        <v>1375</v>
      </c>
      <c r="D643" s="171"/>
      <c r="E643" s="171"/>
      <c r="F643" s="83"/>
      <c r="G643" s="173"/>
    </row>
    <row r="644" spans="1:7" ht="14.4" x14ac:dyDescent="0.25">
      <c r="A644" s="90" t="s">
        <v>1376</v>
      </c>
      <c r="B644" s="91"/>
      <c r="C644" s="95" t="s">
        <v>1377</v>
      </c>
      <c r="D644" s="171"/>
      <c r="E644" s="171"/>
      <c r="F644" s="83"/>
      <c r="G644" s="173"/>
    </row>
    <row r="645" spans="1:7" ht="14.4" x14ac:dyDescent="0.25">
      <c r="A645" s="90" t="s">
        <v>1378</v>
      </c>
      <c r="B645" s="91"/>
      <c r="C645" s="95" t="s">
        <v>1379</v>
      </c>
      <c r="D645" s="171"/>
      <c r="E645" s="171"/>
      <c r="F645" s="83"/>
      <c r="G645" s="173"/>
    </row>
    <row r="646" spans="1:7" ht="14.4" x14ac:dyDescent="0.25">
      <c r="A646" s="90" t="s">
        <v>1380</v>
      </c>
      <c r="B646" s="91"/>
      <c r="C646" s="95" t="s">
        <v>1381</v>
      </c>
      <c r="D646" s="171"/>
      <c r="E646" s="171"/>
      <c r="F646" s="89"/>
      <c r="G646" s="173"/>
    </row>
    <row r="647" spans="1:7" ht="27.6" x14ac:dyDescent="0.25">
      <c r="A647" s="85" t="s">
        <v>1382</v>
      </c>
      <c r="B647" s="173"/>
      <c r="C647" s="194" t="s">
        <v>1383</v>
      </c>
      <c r="D647" s="171"/>
      <c r="E647" s="171"/>
      <c r="F647" s="89"/>
      <c r="G647" s="173"/>
    </row>
    <row r="648" spans="1:7" ht="27.6" x14ac:dyDescent="0.25">
      <c r="A648" s="85" t="s">
        <v>1384</v>
      </c>
      <c r="B648" s="173"/>
      <c r="C648" s="194" t="s">
        <v>1385</v>
      </c>
      <c r="D648" s="171"/>
      <c r="E648" s="171"/>
      <c r="F648" s="83"/>
      <c r="G648" s="173"/>
    </row>
    <row r="649" spans="1:7" ht="14.4" thickBot="1" x14ac:dyDescent="0.3">
      <c r="C649" s="197"/>
      <c r="D649" s="170"/>
      <c r="E649" s="170"/>
      <c r="F649" s="108"/>
      <c r="G649" s="168"/>
    </row>
    <row r="650" spans="1:7" ht="17.399999999999999" x14ac:dyDescent="0.3">
      <c r="A650" s="159" t="s">
        <v>1386</v>
      </c>
      <c r="B650" s="185" t="s">
        <v>1387</v>
      </c>
      <c r="C650" s="186"/>
      <c r="D650" s="187"/>
      <c r="E650" s="187"/>
      <c r="F650" s="188"/>
      <c r="G650" s="189"/>
    </row>
    <row r="651" spans="1:7" ht="15.6" x14ac:dyDescent="0.3">
      <c r="A651" s="190"/>
      <c r="B651" s="191" t="s">
        <v>1388</v>
      </c>
      <c r="C651" s="192"/>
      <c r="D651" s="322"/>
      <c r="E651" s="322"/>
      <c r="F651" s="323"/>
      <c r="G651" s="173"/>
    </row>
    <row r="652" spans="1:7" ht="41.4" x14ac:dyDescent="0.25">
      <c r="A652" s="79" t="s">
        <v>1389</v>
      </c>
      <c r="B652" s="173"/>
      <c r="C652" s="194" t="s">
        <v>1390</v>
      </c>
      <c r="D652" s="171"/>
      <c r="E652" s="171"/>
      <c r="F652" s="83"/>
      <c r="G652" s="173"/>
    </row>
    <row r="653" spans="1:7" ht="14.4" x14ac:dyDescent="0.25">
      <c r="A653" s="97" t="s">
        <v>1391</v>
      </c>
      <c r="B653" s="92"/>
      <c r="C653" s="92" t="s">
        <v>1392</v>
      </c>
      <c r="D653" s="171"/>
      <c r="E653" s="171"/>
      <c r="F653" s="83"/>
      <c r="G653" s="173"/>
    </row>
    <row r="654" spans="1:7" ht="14.4" x14ac:dyDescent="0.25">
      <c r="A654" s="97" t="s">
        <v>1393</v>
      </c>
      <c r="B654" s="91"/>
      <c r="C654" s="95" t="s">
        <v>1394</v>
      </c>
      <c r="D654" s="171"/>
      <c r="E654" s="171"/>
      <c r="F654" s="83"/>
      <c r="G654" s="173"/>
    </row>
    <row r="655" spans="1:7" ht="14.4" x14ac:dyDescent="0.25">
      <c r="A655" s="90" t="s">
        <v>1395</v>
      </c>
      <c r="B655" s="91"/>
      <c r="C655" s="95" t="s">
        <v>1396</v>
      </c>
      <c r="D655" s="171"/>
      <c r="E655" s="171"/>
      <c r="F655" s="83"/>
      <c r="G655" s="173"/>
    </row>
    <row r="656" spans="1:7" ht="14.4" x14ac:dyDescent="0.25">
      <c r="A656" s="90" t="s">
        <v>1397</v>
      </c>
      <c r="B656" s="91"/>
      <c r="C656" s="95" t="s">
        <v>1398</v>
      </c>
      <c r="D656" s="171"/>
      <c r="E656" s="171"/>
      <c r="F656" s="83"/>
      <c r="G656" s="173"/>
    </row>
    <row r="657" spans="1:7" ht="27.6" x14ac:dyDescent="0.25">
      <c r="A657" s="79" t="s">
        <v>1399</v>
      </c>
      <c r="B657" s="173"/>
      <c r="C657" s="194" t="s">
        <v>1400</v>
      </c>
      <c r="D657" s="171"/>
      <c r="E657" s="171"/>
      <c r="F657" s="83"/>
      <c r="G657" s="173"/>
    </row>
    <row r="658" spans="1:7" ht="30.75" customHeight="1" x14ac:dyDescent="0.25">
      <c r="A658" s="79" t="s">
        <v>1401</v>
      </c>
      <c r="B658" s="173"/>
      <c r="C658" s="194" t="s">
        <v>1402</v>
      </c>
      <c r="D658" s="171"/>
      <c r="E658" s="171"/>
      <c r="F658" s="83"/>
      <c r="G658" s="173"/>
    </row>
    <row r="659" spans="1:7" ht="41.4" x14ac:dyDescent="0.25">
      <c r="A659" s="79" t="s">
        <v>1403</v>
      </c>
      <c r="B659" s="173"/>
      <c r="C659" s="194" t="s">
        <v>1404</v>
      </c>
      <c r="D659" s="171"/>
      <c r="E659" s="171"/>
      <c r="F659" s="83"/>
      <c r="G659" s="173"/>
    </row>
    <row r="660" spans="1:7" ht="56.4" x14ac:dyDescent="0.25">
      <c r="A660" s="97" t="s">
        <v>1405</v>
      </c>
      <c r="B660" s="92"/>
      <c r="C660" s="95" t="s">
        <v>1406</v>
      </c>
      <c r="D660" s="171"/>
      <c r="E660" s="171"/>
      <c r="F660" s="83"/>
      <c r="G660" s="173"/>
    </row>
    <row r="661" spans="1:7" ht="14.4" x14ac:dyDescent="0.25">
      <c r="A661" s="97" t="s">
        <v>1407</v>
      </c>
      <c r="B661" s="91"/>
      <c r="C661" s="95" t="s">
        <v>1408</v>
      </c>
      <c r="D661" s="171"/>
      <c r="E661" s="171"/>
      <c r="F661" s="83"/>
      <c r="G661" s="173"/>
    </row>
    <row r="662" spans="1:7" ht="43.2" x14ac:dyDescent="0.25">
      <c r="A662" s="90" t="s">
        <v>1409</v>
      </c>
      <c r="B662" s="91"/>
      <c r="C662" s="95" t="s">
        <v>1410</v>
      </c>
      <c r="D662" s="171"/>
      <c r="E662" s="171"/>
      <c r="F662" s="83"/>
      <c r="G662" s="173"/>
    </row>
    <row r="663" spans="1:7" ht="28.8" x14ac:dyDescent="0.25">
      <c r="A663" s="90" t="s">
        <v>1411</v>
      </c>
      <c r="B663" s="91"/>
      <c r="C663" s="95" t="s">
        <v>1412</v>
      </c>
      <c r="D663" s="171"/>
      <c r="E663" s="171"/>
      <c r="F663" s="83"/>
      <c r="G663" s="173"/>
    </row>
    <row r="664" spans="1:7" ht="14.4" x14ac:dyDescent="0.25">
      <c r="A664" s="90" t="s">
        <v>1413</v>
      </c>
      <c r="B664" s="91"/>
      <c r="C664" s="95" t="s">
        <v>1414</v>
      </c>
      <c r="D664" s="171"/>
      <c r="E664" s="171"/>
      <c r="F664" s="83"/>
      <c r="G664" s="173"/>
    </row>
    <row r="665" spans="1:7" ht="14.4" x14ac:dyDescent="0.25">
      <c r="A665" s="90" t="s">
        <v>1415</v>
      </c>
      <c r="B665" s="91"/>
      <c r="C665" s="95" t="s">
        <v>1416</v>
      </c>
      <c r="D665" s="171"/>
      <c r="E665" s="171"/>
      <c r="F665" s="83"/>
      <c r="G665" s="173"/>
    </row>
    <row r="666" spans="1:7" ht="14.4" x14ac:dyDescent="0.25">
      <c r="A666" s="90" t="s">
        <v>1417</v>
      </c>
      <c r="B666" s="91"/>
      <c r="C666" s="95" t="s">
        <v>1418</v>
      </c>
      <c r="D666" s="171"/>
      <c r="E666" s="171"/>
      <c r="F666" s="83"/>
      <c r="G666" s="173"/>
    </row>
    <row r="667" spans="1:7" x14ac:dyDescent="0.25">
      <c r="A667" s="78"/>
      <c r="B667" s="193"/>
      <c r="C667" s="169"/>
      <c r="D667" s="175"/>
      <c r="E667" s="175"/>
      <c r="F667" s="124"/>
      <c r="G667" s="173"/>
    </row>
    <row r="668" spans="1:7" ht="57.6" x14ac:dyDescent="0.25">
      <c r="A668" s="97" t="s">
        <v>1419</v>
      </c>
      <c r="B668" s="92"/>
      <c r="C668" s="95" t="s">
        <v>1420</v>
      </c>
      <c r="D668" s="171"/>
      <c r="E668" s="171"/>
      <c r="F668" s="83"/>
      <c r="G668" s="173"/>
    </row>
    <row r="669" spans="1:7" ht="33" customHeight="1" x14ac:dyDescent="0.25">
      <c r="A669" s="97" t="s">
        <v>1421</v>
      </c>
      <c r="B669" s="91"/>
      <c r="C669" s="95" t="s">
        <v>1422</v>
      </c>
      <c r="D669" s="171"/>
      <c r="E669" s="171"/>
      <c r="F669" s="83"/>
      <c r="G669" s="173"/>
    </row>
    <row r="670" spans="1:7" ht="57.6" x14ac:dyDescent="0.25">
      <c r="A670" s="90" t="s">
        <v>1423</v>
      </c>
      <c r="B670" s="91"/>
      <c r="C670" s="95" t="s">
        <v>1424</v>
      </c>
      <c r="D670" s="171"/>
      <c r="E670" s="171"/>
      <c r="F670" s="83"/>
      <c r="G670" s="173"/>
    </row>
    <row r="671" spans="1:7" ht="43.2" x14ac:dyDescent="0.25">
      <c r="A671" s="90" t="s">
        <v>1425</v>
      </c>
      <c r="B671" s="91"/>
      <c r="C671" s="95" t="s">
        <v>1426</v>
      </c>
      <c r="D671" s="171"/>
      <c r="E671" s="171"/>
      <c r="F671" s="83"/>
      <c r="G671" s="173"/>
    </row>
    <row r="672" spans="1:7" ht="28.8" x14ac:dyDescent="0.25">
      <c r="A672" s="90" t="s">
        <v>1427</v>
      </c>
      <c r="B672" s="91"/>
      <c r="C672" s="95" t="s">
        <v>1428</v>
      </c>
      <c r="D672" s="171"/>
      <c r="E672" s="171"/>
      <c r="F672" s="83"/>
      <c r="G672" s="173"/>
    </row>
    <row r="673" spans="1:7" ht="28.8" x14ac:dyDescent="0.25">
      <c r="A673" s="90" t="s">
        <v>1429</v>
      </c>
      <c r="B673" s="91"/>
      <c r="C673" s="95" t="s">
        <v>1430</v>
      </c>
      <c r="D673" s="171"/>
      <c r="E673" s="171"/>
      <c r="F673" s="83"/>
      <c r="G673" s="173"/>
    </row>
    <row r="674" spans="1:7" ht="28.8" x14ac:dyDescent="0.25">
      <c r="A674" s="90" t="s">
        <v>1431</v>
      </c>
      <c r="B674" s="91"/>
      <c r="C674" s="95" t="s">
        <v>1432</v>
      </c>
      <c r="D674" s="171"/>
      <c r="E674" s="171"/>
      <c r="F674" s="83"/>
      <c r="G674" s="173"/>
    </row>
    <row r="675" spans="1:7" ht="28.8" x14ac:dyDescent="0.25">
      <c r="A675" s="90" t="s">
        <v>1433</v>
      </c>
      <c r="B675" s="91"/>
      <c r="C675" s="95" t="s">
        <v>1434</v>
      </c>
      <c r="D675" s="171"/>
      <c r="E675" s="171"/>
      <c r="F675" s="83"/>
      <c r="G675" s="173"/>
    </row>
    <row r="676" spans="1:7" ht="14.4" x14ac:dyDescent="0.25">
      <c r="A676" s="90" t="s">
        <v>1435</v>
      </c>
      <c r="B676" s="91"/>
      <c r="C676" s="95" t="s">
        <v>1436</v>
      </c>
      <c r="D676" s="171"/>
      <c r="E676" s="171"/>
      <c r="F676" s="83"/>
      <c r="G676" s="173"/>
    </row>
    <row r="677" spans="1:7" ht="28.8" x14ac:dyDescent="0.25">
      <c r="A677" s="90" t="s">
        <v>1437</v>
      </c>
      <c r="B677" s="91"/>
      <c r="C677" s="95" t="s">
        <v>1438</v>
      </c>
      <c r="D677" s="171"/>
      <c r="E677" s="171"/>
      <c r="F677" s="83"/>
      <c r="G677" s="173"/>
    </row>
    <row r="678" spans="1:7" ht="27.6" x14ac:dyDescent="0.25">
      <c r="A678" s="79" t="s">
        <v>1439</v>
      </c>
      <c r="B678" s="173"/>
      <c r="C678" s="227" t="s">
        <v>1440</v>
      </c>
      <c r="D678" s="171"/>
      <c r="E678" s="171"/>
      <c r="F678" s="89"/>
      <c r="G678" s="173"/>
    </row>
    <row r="679" spans="1:7" ht="27.6" x14ac:dyDescent="0.25">
      <c r="A679" s="79" t="s">
        <v>1441</v>
      </c>
      <c r="B679" s="173"/>
      <c r="C679" s="194" t="s">
        <v>1442</v>
      </c>
      <c r="D679" s="171"/>
      <c r="E679" s="171"/>
      <c r="F679" s="83"/>
      <c r="G679" s="173"/>
    </row>
    <row r="680" spans="1:7" ht="14.4" thickBot="1" x14ac:dyDescent="0.3">
      <c r="C680" s="197"/>
      <c r="D680" s="170"/>
      <c r="E680" s="170"/>
      <c r="F680" s="108"/>
      <c r="G680" s="168"/>
    </row>
    <row r="681" spans="1:7" ht="17.399999999999999" x14ac:dyDescent="0.3">
      <c r="A681" s="159" t="s">
        <v>1443</v>
      </c>
      <c r="B681" s="185" t="s">
        <v>1444</v>
      </c>
      <c r="C681" s="186"/>
      <c r="D681" s="187"/>
      <c r="E681" s="187"/>
      <c r="F681" s="188"/>
      <c r="G681" s="189"/>
    </row>
    <row r="682" spans="1:7" ht="15.6" x14ac:dyDescent="0.3">
      <c r="A682" s="190"/>
      <c r="B682" s="191" t="s">
        <v>1445</v>
      </c>
      <c r="C682" s="192"/>
      <c r="D682" s="322"/>
      <c r="E682" s="322"/>
      <c r="F682" s="323"/>
      <c r="G682" s="173"/>
    </row>
    <row r="683" spans="1:7" x14ac:dyDescent="0.25">
      <c r="A683" s="78" t="s">
        <v>1446</v>
      </c>
      <c r="B683" s="287" t="s">
        <v>1447</v>
      </c>
      <c r="C683" s="288"/>
      <c r="D683" s="175"/>
      <c r="E683" s="175"/>
      <c r="F683" s="124"/>
      <c r="G683" s="173"/>
    </row>
    <row r="684" spans="1:7" ht="41.4" x14ac:dyDescent="0.25">
      <c r="A684" s="79"/>
      <c r="B684" s="289"/>
      <c r="C684" s="290" t="s">
        <v>1448</v>
      </c>
      <c r="D684" s="171"/>
      <c r="E684" s="171"/>
      <c r="F684" s="83"/>
      <c r="G684" s="173"/>
    </row>
    <row r="685" spans="1:7" ht="30.75" customHeight="1" x14ac:dyDescent="0.25">
      <c r="A685" s="179" t="s">
        <v>1449</v>
      </c>
      <c r="B685" s="310" t="s">
        <v>1450</v>
      </c>
      <c r="C685" s="311"/>
      <c r="D685" s="175"/>
      <c r="E685" s="175"/>
      <c r="F685" s="124"/>
      <c r="G685" s="173"/>
    </row>
    <row r="686" spans="1:7" ht="55.2" x14ac:dyDescent="0.25">
      <c r="A686" s="85" t="s">
        <v>1451</v>
      </c>
      <c r="B686" s="289"/>
      <c r="C686" s="288" t="s">
        <v>1452</v>
      </c>
      <c r="D686" s="171"/>
      <c r="E686" s="171"/>
      <c r="F686" s="83"/>
      <c r="G686" s="173"/>
    </row>
    <row r="687" spans="1:7" ht="69" x14ac:dyDescent="0.25">
      <c r="A687" s="85" t="s">
        <v>1453</v>
      </c>
      <c r="B687" s="289"/>
      <c r="C687" s="290" t="s">
        <v>1454</v>
      </c>
      <c r="D687" s="171"/>
      <c r="E687" s="171"/>
      <c r="F687" s="83"/>
      <c r="G687" s="173"/>
    </row>
    <row r="688" spans="1:7" x14ac:dyDescent="0.25">
      <c r="A688" s="85" t="s">
        <v>1455</v>
      </c>
      <c r="B688" s="289"/>
      <c r="C688" s="290" t="s">
        <v>1456</v>
      </c>
      <c r="D688" s="171"/>
      <c r="E688" s="171"/>
      <c r="F688" s="83"/>
      <c r="G688" s="173"/>
    </row>
    <row r="689" spans="1:7" x14ac:dyDescent="0.25">
      <c r="A689" s="179" t="s">
        <v>1457</v>
      </c>
      <c r="B689" s="307" t="s">
        <v>1458</v>
      </c>
      <c r="C689" s="308"/>
      <c r="D689" s="175"/>
      <c r="E689" s="175"/>
      <c r="F689" s="124"/>
      <c r="G689" s="173"/>
    </row>
    <row r="690" spans="1:7" ht="55.2" x14ac:dyDescent="0.25">
      <c r="A690" s="79" t="s">
        <v>1459</v>
      </c>
      <c r="B690" s="289"/>
      <c r="C690" s="290" t="s">
        <v>1460</v>
      </c>
      <c r="D690" s="171"/>
      <c r="E690" s="171"/>
      <c r="F690" s="83"/>
      <c r="G690" s="173"/>
    </row>
    <row r="691" spans="1:7" ht="13.95" customHeight="1" x14ac:dyDescent="0.25">
      <c r="A691" s="179" t="s">
        <v>1461</v>
      </c>
      <c r="B691" s="307" t="s">
        <v>1462</v>
      </c>
      <c r="C691" s="308"/>
      <c r="D691" s="175"/>
      <c r="E691" s="175"/>
      <c r="F691" s="124"/>
      <c r="G691" s="173"/>
    </row>
    <row r="692" spans="1:7" ht="55.2" x14ac:dyDescent="0.25">
      <c r="A692" s="85" t="s">
        <v>1463</v>
      </c>
      <c r="B692" s="289"/>
      <c r="C692" s="285" t="s">
        <v>1464</v>
      </c>
      <c r="D692" s="171"/>
      <c r="E692" s="171"/>
      <c r="F692" s="83"/>
      <c r="G692" s="173"/>
    </row>
    <row r="693" spans="1:7" ht="27.6" x14ac:dyDescent="0.25">
      <c r="A693" s="85" t="s">
        <v>1465</v>
      </c>
      <c r="B693" s="289"/>
      <c r="C693" s="290" t="s">
        <v>1466</v>
      </c>
      <c r="D693" s="171"/>
      <c r="E693" s="171"/>
      <c r="F693" s="83"/>
      <c r="G693" s="173"/>
    </row>
    <row r="694" spans="1:7" x14ac:dyDescent="0.25">
      <c r="A694" s="179" t="s">
        <v>1467</v>
      </c>
      <c r="B694" s="310" t="s">
        <v>1468</v>
      </c>
      <c r="C694" s="311"/>
      <c r="D694" s="175"/>
      <c r="E694" s="175"/>
      <c r="F694" s="124"/>
      <c r="G694" s="173"/>
    </row>
    <row r="695" spans="1:7" ht="41.4" x14ac:dyDescent="0.25">
      <c r="A695" s="85" t="s">
        <v>1469</v>
      </c>
      <c r="B695" s="289"/>
      <c r="C695" s="290" t="s">
        <v>1470</v>
      </c>
      <c r="D695" s="171"/>
      <c r="E695" s="171"/>
      <c r="F695" s="83"/>
      <c r="G695" s="173"/>
    </row>
    <row r="696" spans="1:7" ht="15" customHeight="1" x14ac:dyDescent="0.25">
      <c r="A696" s="179" t="s">
        <v>1471</v>
      </c>
      <c r="B696" s="309" t="s">
        <v>1472</v>
      </c>
      <c r="C696" s="309"/>
      <c r="D696" s="175"/>
      <c r="E696" s="175"/>
      <c r="F696" s="124"/>
      <c r="G696" s="173"/>
    </row>
    <row r="697" spans="1:7" ht="138" x14ac:dyDescent="0.25">
      <c r="A697" s="85" t="s">
        <v>1473</v>
      </c>
      <c r="B697" s="289"/>
      <c r="C697" s="290" t="s">
        <v>1474</v>
      </c>
      <c r="D697" s="171"/>
      <c r="E697" s="171"/>
      <c r="F697" s="83"/>
      <c r="G697" s="173"/>
    </row>
    <row r="698" spans="1:7" ht="55.2" x14ac:dyDescent="0.25">
      <c r="A698" s="195" t="s">
        <v>1475</v>
      </c>
      <c r="B698" s="289"/>
      <c r="C698" s="285" t="s">
        <v>1476</v>
      </c>
      <c r="D698" s="171"/>
      <c r="E698" s="171"/>
      <c r="F698" s="83"/>
      <c r="G698" s="173"/>
    </row>
    <row r="699" spans="1:7" ht="55.2" x14ac:dyDescent="0.25">
      <c r="A699" s="85" t="s">
        <v>1477</v>
      </c>
      <c r="B699" s="289"/>
      <c r="C699" s="290" t="s">
        <v>1478</v>
      </c>
      <c r="D699" s="171"/>
      <c r="E699" s="171"/>
      <c r="F699" s="83"/>
      <c r="G699" s="173"/>
    </row>
    <row r="700" spans="1:7" x14ac:dyDescent="0.25">
      <c r="A700" s="179" t="s">
        <v>1479</v>
      </c>
      <c r="B700" s="307" t="s">
        <v>1480</v>
      </c>
      <c r="C700" s="308"/>
      <c r="D700" s="175"/>
      <c r="E700" s="175"/>
      <c r="F700" s="124"/>
      <c r="G700" s="173"/>
    </row>
    <row r="701" spans="1:7" ht="32.25" customHeight="1" x14ac:dyDescent="0.25">
      <c r="A701" s="85" t="s">
        <v>1481</v>
      </c>
      <c r="B701" s="289"/>
      <c r="C701" s="290" t="s">
        <v>1482</v>
      </c>
      <c r="D701" s="171"/>
      <c r="E701" s="171"/>
      <c r="F701" s="83"/>
      <c r="G701" s="173"/>
    </row>
    <row r="702" spans="1:7" ht="15" customHeight="1" x14ac:dyDescent="0.25">
      <c r="A702" s="179" t="s">
        <v>1483</v>
      </c>
      <c r="B702" s="309" t="s">
        <v>1484</v>
      </c>
      <c r="C702" s="309"/>
      <c r="D702" s="175"/>
      <c r="E702" s="175"/>
      <c r="F702" s="124"/>
      <c r="G702" s="173"/>
    </row>
    <row r="703" spans="1:7" ht="27.6" x14ac:dyDescent="0.25">
      <c r="A703" s="85" t="s">
        <v>1485</v>
      </c>
      <c r="B703" s="289"/>
      <c r="C703" s="290" t="s">
        <v>1486</v>
      </c>
      <c r="D703" s="171"/>
      <c r="E703" s="171"/>
      <c r="F703" s="83"/>
      <c r="G703" s="173"/>
    </row>
    <row r="704" spans="1:7" ht="27.6" x14ac:dyDescent="0.25">
      <c r="A704" s="195" t="s">
        <v>1487</v>
      </c>
      <c r="B704" s="289"/>
      <c r="C704" s="285" t="s">
        <v>1488</v>
      </c>
      <c r="D704" s="171"/>
      <c r="E704" s="171"/>
      <c r="F704" s="83"/>
      <c r="G704" s="173"/>
    </row>
    <row r="705" spans="1:7" ht="27.6" x14ac:dyDescent="0.25">
      <c r="A705" s="85" t="s">
        <v>1489</v>
      </c>
      <c r="B705" s="289"/>
      <c r="C705" s="290" t="s">
        <v>1490</v>
      </c>
      <c r="D705" s="171"/>
      <c r="E705" s="171"/>
      <c r="F705" s="83"/>
      <c r="G705" s="173"/>
    </row>
    <row r="706" spans="1:7" ht="27.6" x14ac:dyDescent="0.25">
      <c r="A706" s="85" t="s">
        <v>1491</v>
      </c>
      <c r="B706" s="289"/>
      <c r="C706" s="290" t="s">
        <v>1492</v>
      </c>
      <c r="D706" s="171"/>
      <c r="E706" s="171"/>
      <c r="F706" s="83"/>
      <c r="G706" s="173"/>
    </row>
  </sheetData>
  <sheetProtection sheet="1" selectLockedCells="1"/>
  <autoFilter ref="A2:G648" xr:uid="{00000000-0009-0000-0000-000003000000}"/>
  <dataConsolidate/>
  <mergeCells count="28">
    <mergeCell ref="B696:C696"/>
    <mergeCell ref="D148:F148"/>
    <mergeCell ref="B56:C56"/>
    <mergeCell ref="B42:C42"/>
    <mergeCell ref="D627:F627"/>
    <mergeCell ref="D573:F573"/>
    <mergeCell ref="D605:F605"/>
    <mergeCell ref="D572:F572"/>
    <mergeCell ref="D651:F651"/>
    <mergeCell ref="D682:F682"/>
    <mergeCell ref="B691:C691"/>
    <mergeCell ref="B694:C694"/>
    <mergeCell ref="B700:C700"/>
    <mergeCell ref="B702:C702"/>
    <mergeCell ref="B685:C685"/>
    <mergeCell ref="A1:G1"/>
    <mergeCell ref="D4:F4"/>
    <mergeCell ref="D460:F460"/>
    <mergeCell ref="D325:F325"/>
    <mergeCell ref="D376:F376"/>
    <mergeCell ref="D402:F402"/>
    <mergeCell ref="D441:F441"/>
    <mergeCell ref="D459:F459"/>
    <mergeCell ref="G106:G107"/>
    <mergeCell ref="D66:F66"/>
    <mergeCell ref="D246:F246"/>
    <mergeCell ref="B5:C5"/>
    <mergeCell ref="B689:C689"/>
  </mergeCells>
  <pageMargins left="0.23622047244094491" right="0.23622047244094491" top="0.74803149606299213" bottom="0.74803149606299213" header="0.31496062992125984" footer="0.31496062992125984"/>
  <pageSetup paperSize="9" orientation="landscape" r:id="rId1"/>
  <headerFooter>
    <oddHeader>&amp;R&amp;G</oddHeader>
    <oddFooter>&amp;L&amp;"Arial,Standard"&amp;10Autovalutazione Sicurezza Integrata&amp;C&amp;"Arial,Standard"&amp;8FO.250.i.V14&amp;R&amp;"Arial,Standard"&amp;10 Pagina &amp;P di &amp;N</oddFooter>
  </headerFooter>
  <rowBreaks count="13" manualBreakCount="13">
    <brk id="64" max="16383" man="1"/>
    <brk id="146" max="16383" man="1"/>
    <brk id="244" max="16383" man="1"/>
    <brk id="323" max="16383" man="1"/>
    <brk id="374" max="16383" man="1"/>
    <brk id="400" max="16383" man="1"/>
    <brk id="439" max="16383" man="1"/>
    <brk id="457" max="16383" man="1"/>
    <brk id="570" max="16383" man="1"/>
    <brk id="603" max="16383" man="1"/>
    <brk id="625" max="16383" man="1"/>
    <brk id="649" max="16383" man="1"/>
    <brk id="680" max="16383" man="1"/>
  </rowBreaks>
  <ignoredErrors>
    <ignoredError sqref="E233:E236" unlockedFormula="1"/>
  </ignoredErrors>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0"/>
  <dimension ref="A1:B43"/>
  <sheetViews>
    <sheetView zoomScale="80" zoomScaleNormal="80" workbookViewId="0">
      <pane ySplit="2" topLeftCell="A3" activePane="bottomLeft" state="frozen"/>
      <selection pane="bottomLeft" activeCell="A3" sqref="A3"/>
    </sheetView>
  </sheetViews>
  <sheetFormatPr defaultColWidth="11.44140625" defaultRowHeight="14.4" x14ac:dyDescent="0.3"/>
  <cols>
    <col min="1" max="1" width="13.109375" customWidth="1"/>
    <col min="2" max="2" width="73.5546875" customWidth="1"/>
    <col min="3" max="4" width="11.44140625" customWidth="1"/>
  </cols>
  <sheetData>
    <row r="1" spans="1:2" ht="39" customHeight="1" x14ac:dyDescent="0.3">
      <c r="A1" s="327" t="s">
        <v>1493</v>
      </c>
      <c r="B1" s="328"/>
    </row>
    <row r="2" spans="1:2" x14ac:dyDescent="0.3">
      <c r="A2" s="202" t="s">
        <v>1494</v>
      </c>
      <c r="B2" s="203" t="s">
        <v>1495</v>
      </c>
    </row>
    <row r="3" spans="1:2" x14ac:dyDescent="0.3">
      <c r="A3" s="67" t="s">
        <v>134</v>
      </c>
      <c r="B3" s="66" t="s">
        <v>1496</v>
      </c>
    </row>
    <row r="4" spans="1:2" x14ac:dyDescent="0.3">
      <c r="A4" s="67" t="s">
        <v>145</v>
      </c>
      <c r="B4" s="66" t="s">
        <v>1497</v>
      </c>
    </row>
    <row r="5" spans="1:2" x14ac:dyDescent="0.3">
      <c r="A5" s="67" t="s">
        <v>207</v>
      </c>
      <c r="B5" s="66" t="s">
        <v>1498</v>
      </c>
    </row>
    <row r="6" spans="1:2" x14ac:dyDescent="0.3">
      <c r="A6" s="67" t="s">
        <v>255</v>
      </c>
      <c r="B6" s="66" t="s">
        <v>1499</v>
      </c>
    </row>
    <row r="7" spans="1:2" x14ac:dyDescent="0.3">
      <c r="A7" s="67" t="s">
        <v>1500</v>
      </c>
      <c r="B7" s="66" t="s">
        <v>1501</v>
      </c>
    </row>
    <row r="8" spans="1:2" x14ac:dyDescent="0.3">
      <c r="A8" s="67" t="s">
        <v>1502</v>
      </c>
      <c r="B8" s="66" t="s">
        <v>1503</v>
      </c>
    </row>
    <row r="9" spans="1:2" x14ac:dyDescent="0.3">
      <c r="A9" s="67" t="s">
        <v>1504</v>
      </c>
      <c r="B9" s="66" t="s">
        <v>1505</v>
      </c>
    </row>
    <row r="10" spans="1:2" x14ac:dyDescent="0.3">
      <c r="A10" s="67" t="s">
        <v>279</v>
      </c>
      <c r="B10" s="66" t="s">
        <v>1506</v>
      </c>
    </row>
    <row r="11" spans="1:2" ht="27.6" x14ac:dyDescent="0.3">
      <c r="A11" s="67" t="s">
        <v>290</v>
      </c>
      <c r="B11" s="66" t="s">
        <v>1507</v>
      </c>
    </row>
    <row r="12" spans="1:2" x14ac:dyDescent="0.3">
      <c r="A12" s="67" t="s">
        <v>323</v>
      </c>
      <c r="B12" s="66" t="s">
        <v>1508</v>
      </c>
    </row>
    <row r="13" spans="1:2" x14ac:dyDescent="0.3">
      <c r="A13" s="67" t="s">
        <v>328</v>
      </c>
      <c r="B13" s="66" t="s">
        <v>325</v>
      </c>
    </row>
    <row r="14" spans="1:2" x14ac:dyDescent="0.3">
      <c r="A14" s="67" t="s">
        <v>340</v>
      </c>
      <c r="B14" s="66" t="s">
        <v>1509</v>
      </c>
    </row>
    <row r="15" spans="1:2" x14ac:dyDescent="0.3">
      <c r="A15" s="67" t="s">
        <v>361</v>
      </c>
      <c r="B15" s="66" t="s">
        <v>1510</v>
      </c>
    </row>
    <row r="16" spans="1:2" x14ac:dyDescent="0.3">
      <c r="A16" s="67" t="s">
        <v>370</v>
      </c>
      <c r="B16" s="66" t="s">
        <v>1511</v>
      </c>
    </row>
    <row r="17" spans="1:2" x14ac:dyDescent="0.3">
      <c r="A17" s="67" t="s">
        <v>405</v>
      </c>
      <c r="B17" s="66" t="s">
        <v>1512</v>
      </c>
    </row>
    <row r="18" spans="1:2" x14ac:dyDescent="0.3">
      <c r="A18" s="67" t="s">
        <v>437</v>
      </c>
      <c r="B18" s="66" t="s">
        <v>1513</v>
      </c>
    </row>
    <row r="19" spans="1:2" x14ac:dyDescent="0.3">
      <c r="A19" s="67" t="s">
        <v>450</v>
      </c>
      <c r="B19" s="66" t="s">
        <v>1514</v>
      </c>
    </row>
    <row r="20" spans="1:2" ht="27.6" x14ac:dyDescent="0.3">
      <c r="A20" s="67" t="s">
        <v>461</v>
      </c>
      <c r="B20" s="66" t="s">
        <v>1515</v>
      </c>
    </row>
    <row r="21" spans="1:2" x14ac:dyDescent="0.3">
      <c r="A21" s="67" t="s">
        <v>492</v>
      </c>
      <c r="B21" s="66" t="s">
        <v>1516</v>
      </c>
    </row>
    <row r="22" spans="1:2" x14ac:dyDescent="0.3">
      <c r="A22" s="67" t="s">
        <v>547</v>
      </c>
      <c r="B22" s="66" t="s">
        <v>1517</v>
      </c>
    </row>
    <row r="23" spans="1:2" x14ac:dyDescent="0.3">
      <c r="A23" s="67" t="s">
        <v>595</v>
      </c>
      <c r="B23" s="66" t="s">
        <v>1518</v>
      </c>
    </row>
    <row r="24" spans="1:2" ht="27.6" x14ac:dyDescent="0.3">
      <c r="A24" s="67" t="s">
        <v>612</v>
      </c>
      <c r="B24" s="66" t="s">
        <v>1519</v>
      </c>
    </row>
    <row r="25" spans="1:2" ht="27.6" x14ac:dyDescent="0.3">
      <c r="A25" s="67" t="s">
        <v>711</v>
      </c>
      <c r="B25" s="66" t="s">
        <v>1520</v>
      </c>
    </row>
    <row r="26" spans="1:2" x14ac:dyDescent="0.3">
      <c r="A26" s="67" t="s">
        <v>722</v>
      </c>
      <c r="B26" s="66" t="s">
        <v>1521</v>
      </c>
    </row>
    <row r="27" spans="1:2" ht="27.6" x14ac:dyDescent="0.3">
      <c r="A27" s="67" t="s">
        <v>737</v>
      </c>
      <c r="B27" s="66" t="s">
        <v>1522</v>
      </c>
    </row>
    <row r="28" spans="1:2" ht="27.6" x14ac:dyDescent="0.3">
      <c r="A28" s="67" t="s">
        <v>746</v>
      </c>
      <c r="B28" s="66" t="s">
        <v>1523</v>
      </c>
    </row>
    <row r="29" spans="1:2" x14ac:dyDescent="0.3">
      <c r="A29" s="67" t="s">
        <v>776</v>
      </c>
      <c r="B29" s="66" t="s">
        <v>1524</v>
      </c>
    </row>
    <row r="30" spans="1:2" x14ac:dyDescent="0.3">
      <c r="A30" s="67" t="s">
        <v>805</v>
      </c>
      <c r="B30" s="66" t="s">
        <v>1525</v>
      </c>
    </row>
    <row r="31" spans="1:2" x14ac:dyDescent="0.3">
      <c r="A31" s="67" t="s">
        <v>820</v>
      </c>
      <c r="B31" s="66" t="s">
        <v>1526</v>
      </c>
    </row>
    <row r="32" spans="1:2" ht="16.5" customHeight="1" x14ac:dyDescent="0.3">
      <c r="A32" s="67" t="s">
        <v>842</v>
      </c>
      <c r="B32" s="66" t="s">
        <v>1527</v>
      </c>
    </row>
    <row r="33" spans="1:2" x14ac:dyDescent="0.3">
      <c r="A33" s="206" t="s">
        <v>863</v>
      </c>
      <c r="B33" s="66" t="s">
        <v>1528</v>
      </c>
    </row>
    <row r="34" spans="1:2" x14ac:dyDescent="0.3">
      <c r="A34" s="67" t="s">
        <v>911</v>
      </c>
      <c r="B34" s="66" t="s">
        <v>1529</v>
      </c>
    </row>
    <row r="35" spans="1:2" x14ac:dyDescent="0.3">
      <c r="A35" s="67" t="s">
        <v>948</v>
      </c>
      <c r="B35" s="66" t="s">
        <v>1530</v>
      </c>
    </row>
    <row r="36" spans="1:2" x14ac:dyDescent="0.3">
      <c r="A36" s="67" t="s">
        <v>973</v>
      </c>
      <c r="B36" s="66" t="s">
        <v>1531</v>
      </c>
    </row>
    <row r="37" spans="1:2" x14ac:dyDescent="0.3">
      <c r="A37" s="67" t="s">
        <v>1003</v>
      </c>
      <c r="B37" s="66" t="s">
        <v>1532</v>
      </c>
    </row>
    <row r="38" spans="1:2" x14ac:dyDescent="0.3">
      <c r="A38" s="67" t="s">
        <v>1200</v>
      </c>
      <c r="B38" s="66" t="s">
        <v>1533</v>
      </c>
    </row>
    <row r="39" spans="1:2" x14ac:dyDescent="0.3">
      <c r="A39" s="67" t="s">
        <v>1246</v>
      </c>
      <c r="B39" s="66" t="s">
        <v>1534</v>
      </c>
    </row>
    <row r="40" spans="1:2" x14ac:dyDescent="0.3">
      <c r="A40" s="67" t="s">
        <v>1261</v>
      </c>
      <c r="B40" s="66" t="s">
        <v>1535</v>
      </c>
    </row>
    <row r="41" spans="1:2" x14ac:dyDescent="0.3">
      <c r="A41" s="67" t="s">
        <v>1268</v>
      </c>
      <c r="B41" s="66" t="s">
        <v>1536</v>
      </c>
    </row>
    <row r="42" spans="1:2" x14ac:dyDescent="0.3">
      <c r="A42" s="67" t="s">
        <v>1318</v>
      </c>
      <c r="B42" s="66" t="s">
        <v>1537</v>
      </c>
    </row>
    <row r="43" spans="1:2" x14ac:dyDescent="0.3">
      <c r="A43" s="67" t="s">
        <v>1323</v>
      </c>
      <c r="B43" s="66" t="s">
        <v>1538</v>
      </c>
    </row>
  </sheetData>
  <sheetProtection sheet="1" selectLockedCells="1"/>
  <mergeCells count="1">
    <mergeCell ref="A1:B1"/>
  </mergeCells>
  <pageMargins left="0.70866141732283472" right="0.70866141732283472" top="0.31496062992125984" bottom="0.43307086614173229"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pageSetUpPr fitToPage="1"/>
  </sheetPr>
  <dimension ref="A1:T2866"/>
  <sheetViews>
    <sheetView zoomScaleNormal="100" workbookViewId="0">
      <pane ySplit="3" topLeftCell="A4" activePane="bottomLeft" state="frozen"/>
      <selection activeCell="D151" sqref="D151"/>
      <selection pane="bottomLeft" activeCell="C679" sqref="C679"/>
    </sheetView>
  </sheetViews>
  <sheetFormatPr defaultColWidth="11.44140625" defaultRowHeight="14.4" x14ac:dyDescent="0.3"/>
  <cols>
    <col min="1" max="1" width="8.44140625" customWidth="1"/>
    <col min="2" max="2" width="51.6640625" customWidth="1"/>
    <col min="3" max="3" width="7.6640625" customWidth="1"/>
    <col min="4" max="4" width="1.5546875" customWidth="1"/>
    <col min="5" max="5" width="25.33203125" bestFit="1" customWidth="1"/>
    <col min="6" max="11" width="3.5546875" customWidth="1"/>
    <col min="12" max="12" width="13.44140625" style="51" customWidth="1"/>
    <col min="13" max="13" width="3.33203125" bestFit="1" customWidth="1"/>
    <col min="14" max="14" width="4.6640625" customWidth="1"/>
    <col min="15" max="15" width="8.5546875" style="57" bestFit="1" customWidth="1"/>
    <col min="16" max="16" width="8.5546875" style="54" bestFit="1" customWidth="1"/>
    <col min="17" max="17" width="5.5546875" bestFit="1" customWidth="1"/>
    <col min="18" max="18" width="4.88671875" bestFit="1" customWidth="1"/>
  </cols>
  <sheetData>
    <row r="1" spans="1:20" s="246" customFormat="1" thickBot="1" x14ac:dyDescent="0.35">
      <c r="A1" s="242" t="s">
        <v>1539</v>
      </c>
      <c r="B1" s="8" t="str">
        <f>'Dati aziendali'!C3</f>
        <v>Muster AG</v>
      </c>
      <c r="C1" s="243" t="s">
        <v>1540</v>
      </c>
      <c r="D1" s="243"/>
      <c r="E1" s="8" t="s">
        <v>1541</v>
      </c>
      <c r="F1" s="272"/>
      <c r="G1" s="272"/>
      <c r="H1" s="272"/>
      <c r="I1" s="272"/>
      <c r="J1" s="272"/>
      <c r="K1" s="272"/>
      <c r="L1" s="244"/>
      <c r="M1" s="245"/>
      <c r="N1" s="334"/>
      <c r="O1" s="335"/>
      <c r="P1" s="335"/>
      <c r="Q1" s="336"/>
      <c r="R1" s="271"/>
    </row>
    <row r="2" spans="1:20" ht="34.5" customHeight="1" x14ac:dyDescent="0.3">
      <c r="A2" s="330" t="s">
        <v>1542</v>
      </c>
      <c r="B2" s="331"/>
      <c r="C2" s="329" t="s">
        <v>1543</v>
      </c>
      <c r="D2" s="329"/>
      <c r="E2" s="329"/>
      <c r="F2" s="337" t="s">
        <v>1544</v>
      </c>
      <c r="G2" s="338"/>
      <c r="H2" s="338"/>
      <c r="I2" s="338"/>
      <c r="J2" s="338"/>
      <c r="K2" s="339"/>
      <c r="L2" s="230" t="s">
        <v>1545</v>
      </c>
      <c r="M2" s="212" t="s">
        <v>1546</v>
      </c>
      <c r="N2" s="213"/>
      <c r="O2" s="214"/>
      <c r="P2" s="215"/>
      <c r="Q2" s="44"/>
      <c r="R2" s="44"/>
    </row>
    <row r="3" spans="1:20" ht="94.5" customHeight="1" x14ac:dyDescent="0.3">
      <c r="A3" s="332"/>
      <c r="B3" s="333"/>
      <c r="C3" s="40" t="s">
        <v>1547</v>
      </c>
      <c r="D3" s="40" t="s">
        <v>1548</v>
      </c>
      <c r="E3" s="40" t="s">
        <v>1549</v>
      </c>
      <c r="F3" s="234" t="s">
        <v>1550</v>
      </c>
      <c r="G3" s="234" t="s">
        <v>1551</v>
      </c>
      <c r="H3" s="234" t="s">
        <v>1552</v>
      </c>
      <c r="I3" s="234" t="s">
        <v>1553</v>
      </c>
      <c r="J3" s="234" t="s">
        <v>1554</v>
      </c>
      <c r="K3" s="234" t="s">
        <v>1555</v>
      </c>
      <c r="L3" s="241" t="s">
        <v>1556</v>
      </c>
      <c r="M3" s="32" t="s">
        <v>1557</v>
      </c>
      <c r="N3" s="31" t="s">
        <v>1558</v>
      </c>
      <c r="O3" s="31" t="s">
        <v>1559</v>
      </c>
      <c r="P3" s="53" t="s">
        <v>1560</v>
      </c>
      <c r="Q3" s="45" t="s">
        <v>1561</v>
      </c>
      <c r="R3" s="45" t="s">
        <v>1562</v>
      </c>
    </row>
    <row r="4" spans="1:20" x14ac:dyDescent="0.3">
      <c r="A4" s="7">
        <v>1</v>
      </c>
      <c r="B4" s="7" t="str">
        <f>Autovalutazione!B3</f>
        <v>Principi, obiettivi e strategie</v>
      </c>
      <c r="C4" s="30">
        <f>O4/N4</f>
        <v>0</v>
      </c>
      <c r="D4" s="30"/>
      <c r="E4" s="18"/>
      <c r="F4" s="18"/>
      <c r="G4" s="18"/>
      <c r="H4" s="18"/>
      <c r="I4" s="18"/>
      <c r="J4" s="18"/>
      <c r="K4" s="18"/>
      <c r="L4" s="231">
        <f>P4/N4</f>
        <v>0</v>
      </c>
      <c r="M4" s="5"/>
      <c r="N4" s="5">
        <f>SUM(M5,M15,M29,M42,M56)</f>
        <v>17</v>
      </c>
      <c r="O4" s="48">
        <f>SUM(Q5:Q63)</f>
        <v>0</v>
      </c>
      <c r="P4" s="48">
        <f>SUM(R5:R63)</f>
        <v>0</v>
      </c>
      <c r="Q4" s="35"/>
      <c r="R4" s="35"/>
    </row>
    <row r="5" spans="1:20" x14ac:dyDescent="0.3">
      <c r="A5" s="19" t="str">
        <f>Autovalutazione!A5</f>
        <v>1.1.</v>
      </c>
      <c r="B5" s="20" t="str">
        <f>Autovalutazione!B5</f>
        <v>Carta dei valori, principi direttivi</v>
      </c>
      <c r="C5" s="21">
        <f>O5/N5</f>
        <v>0</v>
      </c>
      <c r="D5" s="292"/>
      <c r="E5" s="23"/>
      <c r="F5" s="232"/>
      <c r="G5" s="232"/>
      <c r="H5" s="232"/>
      <c r="I5" s="232"/>
      <c r="J5" s="232"/>
      <c r="K5" s="232"/>
      <c r="L5" s="50">
        <f>P5/N5</f>
        <v>0</v>
      </c>
      <c r="M5" s="22">
        <v>3</v>
      </c>
      <c r="N5" s="22">
        <f>SUM(M6:M14)</f>
        <v>25</v>
      </c>
      <c r="O5" s="24">
        <f>SUM(O6:O14)</f>
        <v>0</v>
      </c>
      <c r="P5" s="24">
        <f>SUM(P6:P14)</f>
        <v>0</v>
      </c>
      <c r="Q5" s="52">
        <f>O5/$N5*$M5</f>
        <v>0</v>
      </c>
      <c r="R5" s="52">
        <f>P5/$N5*$M5</f>
        <v>0</v>
      </c>
      <c r="T5" s="264"/>
    </row>
    <row r="6" spans="1:20" x14ac:dyDescent="0.3">
      <c r="A6" s="3" t="str">
        <f>Autovalutazione!A6</f>
        <v>1.1.1.</v>
      </c>
      <c r="B6" s="6" t="str">
        <f>Autovalutazione!C6</f>
        <v>L'azienda ha una propria carta dei valori?</v>
      </c>
      <c r="C6" s="38">
        <f>IF(ISBLANK(Autovalutazione!D6),0,1)</f>
        <v>0</v>
      </c>
      <c r="D6" s="293" t="str">
        <f>IF(AND(Autovalutazione!D6="",Autovalutazione!E6=""),"*","")</f>
        <v>*</v>
      </c>
      <c r="E6" s="38" t="str">
        <f>IF(ISBLANK(Autovalutazione!F6),"",Autovalutazione!F6)</f>
        <v/>
      </c>
      <c r="F6" s="235"/>
      <c r="G6" s="235"/>
      <c r="H6" s="235"/>
      <c r="I6" s="235"/>
      <c r="J6" s="235"/>
      <c r="K6" s="235"/>
      <c r="L6" s="229"/>
      <c r="M6" s="37">
        <v>3</v>
      </c>
      <c r="N6" s="27"/>
      <c r="O6" s="28">
        <f t="shared" ref="O6:O14" si="0">C6*M6</f>
        <v>0</v>
      </c>
      <c r="P6" s="43">
        <f>L6*M6</f>
        <v>0</v>
      </c>
      <c r="Q6" s="36"/>
      <c r="R6" s="27"/>
    </row>
    <row r="7" spans="1:20" ht="26.4" x14ac:dyDescent="0.3">
      <c r="A7" s="3" t="str">
        <f>Autovalutazione!A7</f>
        <v>1.1.2.</v>
      </c>
      <c r="B7" s="6" t="str">
        <f>Autovalutazione!C7</f>
        <v>La sicurezza e la salute dei lavoratori fanno parte dei valori dell'azienda?</v>
      </c>
      <c r="C7" s="38">
        <f>IF(ISBLANK(Autovalutazione!D7),0,1)</f>
        <v>0</v>
      </c>
      <c r="D7" s="293" t="str">
        <f>IF(AND(Autovalutazione!D7="",Autovalutazione!E7=""),"*","")</f>
        <v>*</v>
      </c>
      <c r="E7" s="38" t="str">
        <f>IF(ISBLANK(Autovalutazione!F7),"",Autovalutazione!F7)</f>
        <v/>
      </c>
      <c r="F7" s="235"/>
      <c r="G7" s="235"/>
      <c r="H7" s="235"/>
      <c r="I7" s="235"/>
      <c r="J7" s="235"/>
      <c r="K7" s="235"/>
      <c r="L7" s="229"/>
      <c r="M7" s="37">
        <v>4</v>
      </c>
      <c r="N7" s="27"/>
      <c r="O7" s="28">
        <f t="shared" si="0"/>
        <v>0</v>
      </c>
      <c r="P7" s="43">
        <f t="shared" ref="P7:P14" si="1">L7*M7</f>
        <v>0</v>
      </c>
      <c r="Q7" s="36"/>
      <c r="R7" s="27"/>
    </row>
    <row r="8" spans="1:20" ht="26.4" x14ac:dyDescent="0.3">
      <c r="A8" s="3" t="str">
        <f>Autovalutazione!A8</f>
        <v>1.1.3.</v>
      </c>
      <c r="B8" s="6" t="str">
        <f>Autovalutazione!C8</f>
        <v>I dipendenti sono informati sull'importanza dei valori aziendali e sulle loro conseguenze nella vita di tutti i giorni?</v>
      </c>
      <c r="C8" s="38">
        <f>IF(ISBLANK(Autovalutazione!D8),0,1)</f>
        <v>0</v>
      </c>
      <c r="D8" s="293" t="str">
        <f>IF(AND(Autovalutazione!D8="",Autovalutazione!E8=""),"*","")</f>
        <v>*</v>
      </c>
      <c r="E8" s="38" t="str">
        <f>IF(ISBLANK(Autovalutazione!F8),"",Autovalutazione!F8)</f>
        <v/>
      </c>
      <c r="F8" s="235"/>
      <c r="G8" s="235"/>
      <c r="H8" s="235"/>
      <c r="I8" s="235"/>
      <c r="J8" s="235"/>
      <c r="K8" s="235"/>
      <c r="L8" s="229"/>
      <c r="M8" s="37">
        <v>5</v>
      </c>
      <c r="N8" s="27"/>
      <c r="O8" s="28">
        <f t="shared" si="0"/>
        <v>0</v>
      </c>
      <c r="P8" s="43">
        <f t="shared" si="1"/>
        <v>0</v>
      </c>
      <c r="Q8" s="36"/>
      <c r="R8" s="27"/>
    </row>
    <row r="9" spans="1:20" x14ac:dyDescent="0.3">
      <c r="A9" s="3" t="str">
        <f>Autovalutazione!A9</f>
        <v>1.1.4.</v>
      </c>
      <c r="B9" s="6" t="str">
        <f>Autovalutazione!C9</f>
        <v>Quanto avviene in azienda è in linea con la carta dei valori?</v>
      </c>
      <c r="C9" s="38">
        <f>IF(ISBLANK(Autovalutazione!D9),0,1)</f>
        <v>0</v>
      </c>
      <c r="D9" s="293" t="str">
        <f>IF(AND(Autovalutazione!D9="",Autovalutazione!E9=""),"*","")</f>
        <v>*</v>
      </c>
      <c r="E9" s="38" t="str">
        <f>IF(ISBLANK(Autovalutazione!F9),"",Autovalutazione!F9)</f>
        <v/>
      </c>
      <c r="F9" s="235"/>
      <c r="G9" s="235"/>
      <c r="H9" s="235"/>
      <c r="I9" s="235"/>
      <c r="J9" s="235"/>
      <c r="K9" s="235"/>
      <c r="L9" s="229"/>
      <c r="M9" s="37">
        <v>5</v>
      </c>
      <c r="N9" s="27"/>
      <c r="O9" s="28">
        <f t="shared" si="0"/>
        <v>0</v>
      </c>
      <c r="P9" s="43">
        <f t="shared" si="1"/>
        <v>0</v>
      </c>
      <c r="Q9" s="36"/>
      <c r="R9" s="27"/>
    </row>
    <row r="10" spans="1:20" ht="26.4" x14ac:dyDescent="0.3">
      <c r="A10" s="3" t="str">
        <f>Autovalutazione!A10</f>
        <v>1.1.5.</v>
      </c>
      <c r="B10" s="6" t="str">
        <f>Autovalutazione!C10</f>
        <v>Il comportamento dei superiori si ispira a determinati principi o direttive? Se sì, quali?</v>
      </c>
      <c r="C10" s="38">
        <f>IF(ISBLANK(Autovalutazione!D10),0,1)</f>
        <v>0</v>
      </c>
      <c r="D10" s="293" t="str">
        <f>IF(AND(Autovalutazione!D10="",Autovalutazione!E10=""),"*","")</f>
        <v>*</v>
      </c>
      <c r="E10" s="38" t="str">
        <f>IF(ISBLANK(Autovalutazione!F10),"",Autovalutazione!F10)</f>
        <v/>
      </c>
      <c r="F10" s="235"/>
      <c r="G10" s="235"/>
      <c r="H10" s="235"/>
      <c r="I10" s="235"/>
      <c r="J10" s="235"/>
      <c r="K10" s="235"/>
      <c r="L10" s="229"/>
      <c r="M10" s="37">
        <v>0</v>
      </c>
      <c r="N10" s="27"/>
      <c r="O10" s="28">
        <f t="shared" si="0"/>
        <v>0</v>
      </c>
      <c r="P10" s="43">
        <f t="shared" si="1"/>
        <v>0</v>
      </c>
      <c r="Q10" s="36"/>
      <c r="R10" s="27"/>
    </row>
    <row r="11" spans="1:20" ht="26.4" x14ac:dyDescent="0.3">
      <c r="A11" s="3" t="str">
        <f>Autovalutazione!A11</f>
        <v>1.1.6.</v>
      </c>
      <c r="B11" s="6" t="str">
        <f>Autovalutazione!C11</f>
        <v>La sicurezza e la tutela della salute sono menzionati tra i principi direttivi?</v>
      </c>
      <c r="C11" s="38">
        <f>IF(ISBLANK(Autovalutazione!D11),0,1)</f>
        <v>0</v>
      </c>
      <c r="D11" s="293" t="str">
        <f>IF(AND(Autovalutazione!D11="",Autovalutazione!E11=""),"*","")</f>
        <v>*</v>
      </c>
      <c r="E11" s="38" t="str">
        <f>IF(ISBLANK(Autovalutazione!F11),"",Autovalutazione!F11)</f>
        <v/>
      </c>
      <c r="F11" s="235"/>
      <c r="G11" s="235"/>
      <c r="H11" s="235"/>
      <c r="I11" s="235"/>
      <c r="J11" s="235"/>
      <c r="K11" s="235"/>
      <c r="L11" s="229"/>
      <c r="M11" s="37">
        <v>3</v>
      </c>
      <c r="N11" s="27"/>
      <c r="O11" s="28">
        <f t="shared" si="0"/>
        <v>0</v>
      </c>
      <c r="P11" s="43">
        <f t="shared" si="1"/>
        <v>0</v>
      </c>
      <c r="Q11" s="36"/>
      <c r="R11" s="27"/>
    </row>
    <row r="12" spans="1:20" x14ac:dyDescent="0.3">
      <c r="A12" s="3" t="str">
        <f>Autovalutazione!A12</f>
        <v>1.1.7.</v>
      </c>
      <c r="B12" s="6" t="str">
        <f>Autovalutazione!C12</f>
        <v>L'azienda ha firmato la Charta della sicurezza della Suva?</v>
      </c>
      <c r="C12" s="38">
        <f>IF(ISBLANK(Autovalutazione!D12),0,1)</f>
        <v>0</v>
      </c>
      <c r="D12" s="293" t="str">
        <f>IF(AND(Autovalutazione!D12="",Autovalutazione!E12=""),"*","")</f>
        <v>*</v>
      </c>
      <c r="E12" s="38" t="str">
        <f>IF(ISBLANK(Autovalutazione!F12),"",Autovalutazione!F12)</f>
        <v/>
      </c>
      <c r="F12" s="235"/>
      <c r="G12" s="235"/>
      <c r="H12" s="235"/>
      <c r="I12" s="235"/>
      <c r="J12" s="235"/>
      <c r="K12" s="235"/>
      <c r="L12" s="229"/>
      <c r="M12" s="37">
        <v>2</v>
      </c>
      <c r="N12" s="27"/>
      <c r="O12" s="28">
        <f t="shared" si="0"/>
        <v>0</v>
      </c>
      <c r="P12" s="43">
        <f t="shared" si="1"/>
        <v>0</v>
      </c>
      <c r="Q12" s="36"/>
      <c r="R12" s="27"/>
    </row>
    <row r="13" spans="1:20" ht="52.8" x14ac:dyDescent="0.3">
      <c r="A13" s="3" t="str">
        <f>Autovalutazione!A13</f>
        <v>1.1.8.a</v>
      </c>
      <c r="B13" s="6" t="str">
        <f>Autovalutazione!C13</f>
        <v>Nell’azienda uno dei seguenti sistemi di gestione / certificazioni è in funzione?
ISO 9001, ISO 14001, ISO 45001, OHSAS18001
Se sì, quale?</v>
      </c>
      <c r="C13" s="38">
        <f>IF(ISBLANK(Autovalutazione!D13),0,1)</f>
        <v>0</v>
      </c>
      <c r="D13" s="293" t="str">
        <f>IF(AND(Autovalutazione!D13="",Autovalutazione!E13=""),"*","")</f>
        <v>*</v>
      </c>
      <c r="E13" s="38" t="str">
        <f>IF(ISBLANK(Autovalutazione!F13),"",Autovalutazione!F13)</f>
        <v/>
      </c>
      <c r="F13" s="236"/>
      <c r="G13" s="236"/>
      <c r="H13" s="236"/>
      <c r="I13" s="236"/>
      <c r="J13" s="236"/>
      <c r="K13" s="236"/>
      <c r="L13" s="229"/>
      <c r="M13" s="37">
        <v>3</v>
      </c>
      <c r="N13" s="27"/>
      <c r="O13" s="28">
        <f t="shared" si="0"/>
        <v>0</v>
      </c>
      <c r="P13" s="43">
        <f t="shared" si="1"/>
        <v>0</v>
      </c>
      <c r="Q13" s="36"/>
      <c r="R13" s="27"/>
    </row>
    <row r="14" spans="1:20" ht="26.4" x14ac:dyDescent="0.3">
      <c r="A14" s="3" t="str">
        <f>Autovalutazione!A14</f>
        <v>1.1.8.b</v>
      </c>
      <c r="B14" s="6" t="str">
        <f>Autovalutazione!C14</f>
        <v>Vengono introdotti altri sistemi di gestione / certificazioni? Se sì, quali?</v>
      </c>
      <c r="C14" s="38">
        <f>IF(ISBLANK(Autovalutazione!D14),0,1)</f>
        <v>0</v>
      </c>
      <c r="D14" s="293" t="str">
        <f>IF(AND(Autovalutazione!D14="",Autovalutazione!E14=""),"*","")</f>
        <v>*</v>
      </c>
      <c r="E14" s="38" t="str">
        <f>IF(ISBLANK(Autovalutazione!F14),"",Autovalutazione!F14)</f>
        <v/>
      </c>
      <c r="F14" s="235"/>
      <c r="G14" s="235"/>
      <c r="H14" s="235"/>
      <c r="I14" s="235"/>
      <c r="J14" s="235"/>
      <c r="K14" s="235"/>
      <c r="L14" s="229"/>
      <c r="M14" s="37">
        <v>0</v>
      </c>
      <c r="N14" s="27"/>
      <c r="O14" s="28">
        <f t="shared" si="0"/>
        <v>0</v>
      </c>
      <c r="P14" s="43">
        <f t="shared" si="1"/>
        <v>0</v>
      </c>
      <c r="Q14" s="36"/>
      <c r="R14" s="27"/>
    </row>
    <row r="15" spans="1:20" x14ac:dyDescent="0.3">
      <c r="A15" s="19" t="str">
        <f>Autovalutazione!A15</f>
        <v>1.2.</v>
      </c>
      <c r="B15" s="20" t="str">
        <f>Autovalutazione!B15</f>
        <v>Impegno della direzione</v>
      </c>
      <c r="C15" s="21">
        <f>O15/N15</f>
        <v>0</v>
      </c>
      <c r="D15" s="29"/>
      <c r="E15" s="23"/>
      <c r="F15" s="232"/>
      <c r="G15" s="232"/>
      <c r="H15" s="232"/>
      <c r="I15" s="232"/>
      <c r="J15" s="232"/>
      <c r="K15" s="232"/>
      <c r="L15" s="50">
        <f>P15/N15</f>
        <v>0</v>
      </c>
      <c r="M15" s="22">
        <v>5</v>
      </c>
      <c r="N15" s="22">
        <f>SUM(M16:M28)</f>
        <v>14</v>
      </c>
      <c r="O15" s="24">
        <f>SUM(O16:O28)</f>
        <v>0</v>
      </c>
      <c r="P15" s="24">
        <f>SUM(P16:P28)</f>
        <v>0</v>
      </c>
      <c r="Q15" s="52">
        <f>O15/$N15*$M15</f>
        <v>0</v>
      </c>
      <c r="R15" s="52">
        <f>P15/$N15*$M15</f>
        <v>0</v>
      </c>
    </row>
    <row r="16" spans="1:20" ht="39.6" x14ac:dyDescent="0.3">
      <c r="A16" s="3" t="str">
        <f>Autovalutazione!A16</f>
        <v>1.2.1.</v>
      </c>
      <c r="B16" s="6" t="str">
        <f>Autovalutazione!C16</f>
        <v>La sicurezza e la tutela della salute sono principi vissuti dalla direzione e vengono promossi con decisioni, regolamenti e direttive?</v>
      </c>
      <c r="C16" s="38">
        <f>IF(ISBLANK(Autovalutazione!D16),0,1)</f>
        <v>0</v>
      </c>
      <c r="D16" s="293" t="str">
        <f>IF(AND(Autovalutazione!D16="",Autovalutazione!E16=""),"*","")</f>
        <v>*</v>
      </c>
      <c r="E16" s="38" t="str">
        <f>IF(ISBLANK(Autovalutazione!F16),"",Autovalutazione!F16)</f>
        <v/>
      </c>
      <c r="F16" s="235"/>
      <c r="G16" s="235"/>
      <c r="H16" s="235"/>
      <c r="I16" s="235"/>
      <c r="J16" s="235"/>
      <c r="K16" s="235"/>
      <c r="L16" s="229"/>
      <c r="M16" s="37">
        <v>5</v>
      </c>
      <c r="N16" s="27"/>
      <c r="O16" s="28">
        <f t="shared" ref="O16:O28" si="2">M16*C16</f>
        <v>0</v>
      </c>
      <c r="P16" s="43">
        <f t="shared" ref="P16:P27" si="3">L16*M16</f>
        <v>0</v>
      </c>
      <c r="Q16" s="36"/>
      <c r="R16" s="27"/>
    </row>
    <row r="17" spans="1:18" ht="26.4" x14ac:dyDescent="0.3">
      <c r="A17" s="3" t="str">
        <f>Autovalutazione!A17</f>
        <v>1.2.2.</v>
      </c>
      <c r="B17" s="6" t="str">
        <f>Autovalutazione!C17</f>
        <v>Nella vostra azienda, la sicurezza sul lavoro ha la stessa importanza della qualità e della produttività?</v>
      </c>
      <c r="C17" s="38">
        <f>IF(ISBLANK(Autovalutazione!D17),0,1)</f>
        <v>0</v>
      </c>
      <c r="D17" s="293" t="str">
        <f>IF(AND(Autovalutazione!D17="",Autovalutazione!E17=""),"*","")</f>
        <v>*</v>
      </c>
      <c r="E17" s="38" t="str">
        <f>IF(ISBLANK(Autovalutazione!F17),"",Autovalutazione!F17)</f>
        <v/>
      </c>
      <c r="F17" s="235"/>
      <c r="G17" s="235"/>
      <c r="H17" s="235"/>
      <c r="I17" s="235"/>
      <c r="J17" s="235"/>
      <c r="K17" s="235"/>
      <c r="L17" s="229"/>
      <c r="M17" s="37">
        <v>5</v>
      </c>
      <c r="N17" s="27"/>
      <c r="O17" s="28">
        <f t="shared" si="2"/>
        <v>0</v>
      </c>
      <c r="P17" s="43">
        <f t="shared" si="3"/>
        <v>0</v>
      </c>
      <c r="Q17" s="36"/>
      <c r="R17" s="27"/>
    </row>
    <row r="18" spans="1:18" ht="26.4" x14ac:dyDescent="0.3">
      <c r="A18" s="3" t="str">
        <f>Autovalutazione!A18</f>
        <v>1.2.3.</v>
      </c>
      <c r="B18" s="6" t="str">
        <f>Autovalutazione!C18</f>
        <v>La direzione, durante le ispezioni in azienda, affronta le situazioni  e i comportamenti pericolosi?</v>
      </c>
      <c r="C18" s="38">
        <f>IF(ISBLANK(Autovalutazione!D18),0,1)</f>
        <v>0</v>
      </c>
      <c r="D18" s="293" t="str">
        <f>IF(AND(Autovalutazione!D18="",Autovalutazione!E18=""),"*","")</f>
        <v>*</v>
      </c>
      <c r="E18" s="38" t="str">
        <f>IF(ISBLANK(Autovalutazione!F18),"",Autovalutazione!F18)</f>
        <v/>
      </c>
      <c r="F18" s="235"/>
      <c r="G18" s="235"/>
      <c r="H18" s="235"/>
      <c r="I18" s="235"/>
      <c r="J18" s="235"/>
      <c r="K18" s="235"/>
      <c r="L18" s="229"/>
      <c r="M18" s="37">
        <v>3</v>
      </c>
      <c r="N18" s="27"/>
      <c r="O18" s="28">
        <f t="shared" si="2"/>
        <v>0</v>
      </c>
      <c r="P18" s="43">
        <f t="shared" si="3"/>
        <v>0</v>
      </c>
      <c r="Q18" s="36"/>
      <c r="R18" s="36"/>
    </row>
    <row r="19" spans="1:18" ht="26.4" x14ac:dyDescent="0.3">
      <c r="A19" s="3" t="str">
        <f>Autovalutazione!A19</f>
        <v>1.2.4.</v>
      </c>
      <c r="B19" s="6" t="str">
        <f>Autovalutazione!C19</f>
        <v>Per la sicurezza sul lavoro e la tutela della salute l'azienda ha conferito un centro costi?</v>
      </c>
      <c r="C19" s="38">
        <f>IF(ISBLANK(Autovalutazione!D19),0,1)</f>
        <v>0</v>
      </c>
      <c r="D19" s="293" t="str">
        <f>IF(AND(Autovalutazione!D19="",Autovalutazione!E19=""),"*","")</f>
        <v>*</v>
      </c>
      <c r="E19" s="38" t="str">
        <f>IF(ISBLANK(Autovalutazione!F19),"",Autovalutazione!F19)</f>
        <v/>
      </c>
      <c r="F19" s="235"/>
      <c r="G19" s="235"/>
      <c r="H19" s="235"/>
      <c r="I19" s="235"/>
      <c r="J19" s="235"/>
      <c r="K19" s="235"/>
      <c r="L19" s="229"/>
      <c r="M19" s="37">
        <v>1</v>
      </c>
      <c r="N19" s="27"/>
      <c r="O19" s="28">
        <f t="shared" si="2"/>
        <v>0</v>
      </c>
      <c r="P19" s="43">
        <f t="shared" si="3"/>
        <v>0</v>
      </c>
      <c r="Q19" s="36"/>
      <c r="R19" s="27"/>
    </row>
    <row r="20" spans="1:18" ht="26.4" x14ac:dyDescent="0.3">
      <c r="A20" s="3" t="str">
        <f>Autovalutazione!A20</f>
        <v>1.2.5.a</v>
      </c>
      <c r="B20" s="6" t="str">
        <f>Autovalutazione!C20</f>
        <v>La direzione si impegna e appoggia le seguenti attività:
Valutazioni dei rischi?</v>
      </c>
      <c r="C20" s="38">
        <f>IF(ISBLANK(Autovalutazione!D20),0,1)</f>
        <v>0</v>
      </c>
      <c r="D20" s="293" t="str">
        <f>IF(AND(Autovalutazione!D20="",Autovalutazione!E20=""),"*","")</f>
        <v>*</v>
      </c>
      <c r="E20" s="38" t="str">
        <f>IF(ISBLANK(Autovalutazione!F20),"",Autovalutazione!F20)</f>
        <v/>
      </c>
      <c r="F20" s="235"/>
      <c r="G20" s="235"/>
      <c r="H20" s="235"/>
      <c r="I20" s="235"/>
      <c r="J20" s="235"/>
      <c r="K20" s="235"/>
      <c r="L20" s="229"/>
      <c r="M20" s="37">
        <v>0</v>
      </c>
      <c r="N20" s="27"/>
      <c r="O20" s="28">
        <f t="shared" si="2"/>
        <v>0</v>
      </c>
      <c r="P20" s="43">
        <f t="shared" si="3"/>
        <v>0</v>
      </c>
      <c r="Q20" s="36"/>
      <c r="R20" s="27"/>
    </row>
    <row r="21" spans="1:18" x14ac:dyDescent="0.3">
      <c r="A21" s="3" t="str">
        <f>Autovalutazione!A21</f>
        <v>1.2.5.b</v>
      </c>
      <c r="B21" s="6" t="str">
        <f>Autovalutazione!C21</f>
        <v>Audit, controlli?</v>
      </c>
      <c r="C21" s="38">
        <f>IF(ISBLANK(Autovalutazione!D21),0,1)</f>
        <v>0</v>
      </c>
      <c r="D21" s="293" t="str">
        <f>IF(AND(Autovalutazione!D21="",Autovalutazione!E21=""),"*","")</f>
        <v>*</v>
      </c>
      <c r="E21" s="38" t="str">
        <f>IF(ISBLANK(Autovalutazione!F21),"",Autovalutazione!F21)</f>
        <v/>
      </c>
      <c r="F21" s="235"/>
      <c r="G21" s="235"/>
      <c r="H21" s="235"/>
      <c r="I21" s="235"/>
      <c r="J21" s="235"/>
      <c r="K21" s="235"/>
      <c r="L21" s="229"/>
      <c r="M21" s="37">
        <v>0</v>
      </c>
      <c r="N21" s="27"/>
      <c r="O21" s="28">
        <f t="shared" si="2"/>
        <v>0</v>
      </c>
      <c r="P21" s="43">
        <f t="shared" si="3"/>
        <v>0</v>
      </c>
      <c r="Q21" s="36"/>
      <c r="R21" s="27"/>
    </row>
    <row r="22" spans="1:18" x14ac:dyDescent="0.3">
      <c r="A22" s="3" t="str">
        <f>Autovalutazione!A22</f>
        <v>1.2.5.c</v>
      </c>
      <c r="B22" s="6" t="str">
        <f>Autovalutazione!C22</f>
        <v>Indagine d'infortunio?</v>
      </c>
      <c r="C22" s="38">
        <f>IF(ISBLANK(Autovalutazione!D22),0,1)</f>
        <v>0</v>
      </c>
      <c r="D22" s="293" t="str">
        <f>IF(AND(Autovalutazione!D22="",Autovalutazione!E22=""),"*","")</f>
        <v>*</v>
      </c>
      <c r="E22" s="38" t="str">
        <f>IF(ISBLANK(Autovalutazione!F22),"",Autovalutazione!F22)</f>
        <v/>
      </c>
      <c r="F22" s="235"/>
      <c r="G22" s="235"/>
      <c r="H22" s="235"/>
      <c r="I22" s="235"/>
      <c r="J22" s="235"/>
      <c r="K22" s="235"/>
      <c r="L22" s="229"/>
      <c r="M22" s="37">
        <v>0</v>
      </c>
      <c r="N22" s="27"/>
      <c r="O22" s="28">
        <f t="shared" si="2"/>
        <v>0</v>
      </c>
      <c r="P22" s="43">
        <f t="shared" si="3"/>
        <v>0</v>
      </c>
      <c r="Q22" s="36"/>
      <c r="R22" s="27"/>
    </row>
    <row r="23" spans="1:18" x14ac:dyDescent="0.3">
      <c r="A23" s="3" t="str">
        <f>Autovalutazione!A23</f>
        <v>1.2.5.d</v>
      </c>
      <c r="B23" s="6" t="str">
        <f>Autovalutazione!C23</f>
        <v>Formazioni sul posto di lavoro?</v>
      </c>
      <c r="C23" s="38">
        <f>IF(ISBLANK(Autovalutazione!D23),0,1)</f>
        <v>0</v>
      </c>
      <c r="D23" s="293" t="str">
        <f>IF(AND(Autovalutazione!D23="",Autovalutazione!E23=""),"*","")</f>
        <v>*</v>
      </c>
      <c r="E23" s="38" t="str">
        <f>IF(ISBLANK(Autovalutazione!F23),"",Autovalutazione!F23)</f>
        <v/>
      </c>
      <c r="F23" s="235"/>
      <c r="G23" s="235"/>
      <c r="H23" s="235"/>
      <c r="I23" s="235"/>
      <c r="J23" s="235"/>
      <c r="K23" s="235"/>
      <c r="L23" s="229"/>
      <c r="M23" s="37">
        <v>0</v>
      </c>
      <c r="N23" s="27"/>
      <c r="O23" s="28">
        <f t="shared" si="2"/>
        <v>0</v>
      </c>
      <c r="P23" s="43">
        <f t="shared" si="3"/>
        <v>0</v>
      </c>
      <c r="Q23" s="36"/>
      <c r="R23" s="27"/>
    </row>
    <row r="24" spans="1:18" x14ac:dyDescent="0.3">
      <c r="A24" s="3" t="str">
        <f>Autovalutazione!A24</f>
        <v>1.2.5.e</v>
      </c>
      <c r="B24" s="6" t="str">
        <f>Autovalutazione!C24</f>
        <v>Applicazione delle misure di sicurezza?</v>
      </c>
      <c r="C24" s="38">
        <f>IF(ISBLANK(Autovalutazione!D24),0,1)</f>
        <v>0</v>
      </c>
      <c r="D24" s="293" t="str">
        <f>IF(AND(Autovalutazione!D24="",Autovalutazione!E24=""),"*","")</f>
        <v>*</v>
      </c>
      <c r="E24" s="38" t="str">
        <f>IF(ISBLANK(Autovalutazione!F24),"",Autovalutazione!F24)</f>
        <v/>
      </c>
      <c r="F24" s="235"/>
      <c r="G24" s="235"/>
      <c r="H24" s="235"/>
      <c r="I24" s="235"/>
      <c r="J24" s="235"/>
      <c r="K24" s="235"/>
      <c r="L24" s="229"/>
      <c r="M24" s="37">
        <v>0</v>
      </c>
      <c r="N24" s="27"/>
      <c r="O24" s="28">
        <f t="shared" si="2"/>
        <v>0</v>
      </c>
      <c r="P24" s="43">
        <f t="shared" si="3"/>
        <v>0</v>
      </c>
      <c r="Q24" s="36"/>
      <c r="R24" s="27"/>
    </row>
    <row r="25" spans="1:18" x14ac:dyDescent="0.3">
      <c r="A25" s="3" t="str">
        <f>Autovalutazione!A25</f>
        <v>1.2.5.f</v>
      </c>
      <c r="B25" s="6" t="str">
        <f>Autovalutazione!C25</f>
        <v>Campagne per la sicurezza sul lavoro?</v>
      </c>
      <c r="C25" s="38">
        <f>IF(ISBLANK(Autovalutazione!D25),0,1)</f>
        <v>0</v>
      </c>
      <c r="D25" s="293" t="str">
        <f>IF(AND(Autovalutazione!D25="",Autovalutazione!E25=""),"*","")</f>
        <v>*</v>
      </c>
      <c r="E25" s="38" t="str">
        <f>IF(ISBLANK(Autovalutazione!F25),"",Autovalutazione!F25)</f>
        <v/>
      </c>
      <c r="F25" s="235"/>
      <c r="G25" s="235"/>
      <c r="H25" s="235"/>
      <c r="I25" s="235"/>
      <c r="J25" s="235"/>
      <c r="K25" s="235"/>
      <c r="L25" s="229"/>
      <c r="M25" s="37">
        <v>0</v>
      </c>
      <c r="N25" s="27"/>
      <c r="O25" s="28">
        <f t="shared" si="2"/>
        <v>0</v>
      </c>
      <c r="P25" s="43">
        <f t="shared" si="3"/>
        <v>0</v>
      </c>
      <c r="Q25" s="36"/>
      <c r="R25" s="27"/>
    </row>
    <row r="26" spans="1:18" x14ac:dyDescent="0.3">
      <c r="A26" s="3" t="str">
        <f>Autovalutazione!A26</f>
        <v>1.2.5.g</v>
      </c>
      <c r="B26" s="6" t="str">
        <f>Autovalutazione!C26</f>
        <v>Campagne per la sicurezza nel tempo libero?</v>
      </c>
      <c r="C26" s="38">
        <f>IF(ISBLANK(Autovalutazione!D26),0,1)</f>
        <v>0</v>
      </c>
      <c r="D26" s="293" t="str">
        <f>IF(AND(Autovalutazione!D26="",Autovalutazione!E26=""),"*","")</f>
        <v>*</v>
      </c>
      <c r="E26" s="38" t="str">
        <f>IF(ISBLANK(Autovalutazione!F26),"",Autovalutazione!F26)</f>
        <v/>
      </c>
      <c r="F26" s="235"/>
      <c r="G26" s="235"/>
      <c r="H26" s="235"/>
      <c r="I26" s="235"/>
      <c r="J26" s="235"/>
      <c r="K26" s="235"/>
      <c r="L26" s="229"/>
      <c r="M26" s="37">
        <v>0</v>
      </c>
      <c r="N26" s="27"/>
      <c r="O26" s="28">
        <f t="shared" si="2"/>
        <v>0</v>
      </c>
      <c r="P26" s="43">
        <f>L26*M26</f>
        <v>0</v>
      </c>
      <c r="Q26" s="36"/>
      <c r="R26" s="27"/>
    </row>
    <row r="27" spans="1:18" x14ac:dyDescent="0.3">
      <c r="A27" s="3" t="str">
        <f>Autovalutazione!A27</f>
        <v>1.2.5.h</v>
      </c>
      <c r="B27" s="6" t="str">
        <f>Autovalutazione!C27</f>
        <v>Gestione delle assenze?</v>
      </c>
      <c r="C27" s="38">
        <f>IF(ISBLANK(Autovalutazione!D27),0,1)</f>
        <v>0</v>
      </c>
      <c r="D27" s="293" t="str">
        <f>IF(AND(Autovalutazione!D27="",Autovalutazione!E27=""),"*","")</f>
        <v>*</v>
      </c>
      <c r="E27" s="38" t="str">
        <f>IF(ISBLANK(Autovalutazione!F27),"",Autovalutazione!F27)</f>
        <v/>
      </c>
      <c r="F27" s="235"/>
      <c r="G27" s="235"/>
      <c r="H27" s="235"/>
      <c r="I27" s="235"/>
      <c r="J27" s="235"/>
      <c r="K27" s="235"/>
      <c r="L27" s="229"/>
      <c r="M27" s="37">
        <v>0</v>
      </c>
      <c r="N27" s="27"/>
      <c r="O27" s="28">
        <f t="shared" si="2"/>
        <v>0</v>
      </c>
      <c r="P27" s="43">
        <f t="shared" si="3"/>
        <v>0</v>
      </c>
      <c r="Q27" s="36"/>
      <c r="R27" s="27"/>
    </row>
    <row r="28" spans="1:18" x14ac:dyDescent="0.3">
      <c r="A28" s="3" t="str">
        <f>Autovalutazione!A28</f>
        <v>1.2.5.i</v>
      </c>
      <c r="B28" s="6" t="str">
        <f>Autovalutazione!C28</f>
        <v>Altre? Se sì, quale?</v>
      </c>
      <c r="C28" s="38">
        <f>IF(ISBLANK(Autovalutazione!D28),0,1)</f>
        <v>0</v>
      </c>
      <c r="D28" s="293" t="str">
        <f>IF(AND(Autovalutazione!D28="",Autovalutazione!E28=""),"*","")</f>
        <v>*</v>
      </c>
      <c r="E28" s="38" t="str">
        <f>IF(ISBLANK(Autovalutazione!F28),"",Autovalutazione!F28)</f>
        <v/>
      </c>
      <c r="F28" s="235"/>
      <c r="G28" s="235"/>
      <c r="H28" s="235"/>
      <c r="I28" s="235"/>
      <c r="J28" s="235"/>
      <c r="K28" s="235"/>
      <c r="L28" s="229"/>
      <c r="M28" s="37">
        <v>0</v>
      </c>
      <c r="N28" s="27"/>
      <c r="O28" s="28">
        <f t="shared" si="2"/>
        <v>0</v>
      </c>
      <c r="P28" s="43">
        <f>L28*M28</f>
        <v>0</v>
      </c>
      <c r="Q28" s="36"/>
      <c r="R28" s="27"/>
    </row>
    <row r="29" spans="1:18" x14ac:dyDescent="0.3">
      <c r="A29" s="26" t="str">
        <f>Autovalutazione!A29</f>
        <v>1.3.</v>
      </c>
      <c r="B29" s="25" t="str">
        <f>Autovalutazione!B29</f>
        <v>Impegno dei superiori</v>
      </c>
      <c r="C29" s="21">
        <f>O29/N29</f>
        <v>0</v>
      </c>
      <c r="D29" s="29"/>
      <c r="E29" s="23"/>
      <c r="F29" s="232"/>
      <c r="G29" s="232"/>
      <c r="H29" s="232"/>
      <c r="I29" s="232"/>
      <c r="J29" s="232"/>
      <c r="K29" s="232"/>
      <c r="L29" s="50">
        <f>P29/N29</f>
        <v>0</v>
      </c>
      <c r="M29" s="22">
        <v>5</v>
      </c>
      <c r="N29" s="22">
        <f>SUM(M30:M41)</f>
        <v>21</v>
      </c>
      <c r="O29" s="24">
        <f>SUM(O30:O41)</f>
        <v>0</v>
      </c>
      <c r="P29" s="24">
        <f>SUM(P30:P41)</f>
        <v>0</v>
      </c>
      <c r="Q29" s="52">
        <f>O29/$N29*$M29</f>
        <v>0</v>
      </c>
      <c r="R29" s="52">
        <f>P29/$N29*$M29</f>
        <v>0</v>
      </c>
    </row>
    <row r="30" spans="1:18" ht="52.8" x14ac:dyDescent="0.3">
      <c r="A30" s="3" t="str">
        <f>Autovalutazione!A30</f>
        <v>1.3.1.a</v>
      </c>
      <c r="B30" s="6" t="str">
        <f>Autovalutazione!C30</f>
        <v>I superiori con il loro comportamento promuovono la sicurezza e la tutela della salute:
Applicano per primi le norme di sicurezza (ad esempio usare i DPI)?</v>
      </c>
      <c r="C30" s="38">
        <f>IF(ISBLANK(Autovalutazione!D30),0,1)</f>
        <v>0</v>
      </c>
      <c r="D30" s="293" t="str">
        <f>IF(AND(Autovalutazione!D30="",Autovalutazione!E30=""),"*","")</f>
        <v>*</v>
      </c>
      <c r="E30" s="39" t="str">
        <f>IF(ISBLANK(Autovalutazione!F30),"",Autovalutazione!F30)</f>
        <v/>
      </c>
      <c r="F30" s="235"/>
      <c r="G30" s="235"/>
      <c r="H30" s="235"/>
      <c r="I30" s="235"/>
      <c r="J30" s="235"/>
      <c r="K30" s="235"/>
      <c r="L30" s="229"/>
      <c r="M30" s="37">
        <v>5</v>
      </c>
      <c r="N30" s="27"/>
      <c r="O30" s="28">
        <f t="shared" ref="O30:O41" si="4">M30*C30</f>
        <v>0</v>
      </c>
      <c r="P30" s="43">
        <f t="shared" ref="P30:P41" si="5">L30*M30</f>
        <v>0</v>
      </c>
      <c r="Q30" s="36"/>
      <c r="R30" s="27"/>
    </row>
    <row r="31" spans="1:18" x14ac:dyDescent="0.3">
      <c r="A31" s="3" t="str">
        <f>Autovalutazione!A31</f>
        <v>1.3.1.b</v>
      </c>
      <c r="B31" s="6" t="str">
        <f>Autovalutazione!C31</f>
        <v>Impongono il rispetto delle norme di sicurezza?</v>
      </c>
      <c r="C31" s="38">
        <f>IF(ISBLANK(Autovalutazione!D31),0,1)</f>
        <v>0</v>
      </c>
      <c r="D31" s="293" t="str">
        <f>IF(AND(Autovalutazione!D31="",Autovalutazione!E31=""),"*","")</f>
        <v>*</v>
      </c>
      <c r="E31" s="39" t="str">
        <f>IF(ISBLANK(Autovalutazione!F31),"",Autovalutazione!F31)</f>
        <v/>
      </c>
      <c r="F31" s="235"/>
      <c r="G31" s="235"/>
      <c r="H31" s="235"/>
      <c r="I31" s="235"/>
      <c r="J31" s="235"/>
      <c r="K31" s="235"/>
      <c r="L31" s="229"/>
      <c r="M31" s="37">
        <v>5</v>
      </c>
      <c r="N31" s="27"/>
      <c r="O31" s="28">
        <f t="shared" si="4"/>
        <v>0</v>
      </c>
      <c r="P31" s="43">
        <f t="shared" si="5"/>
        <v>0</v>
      </c>
      <c r="Q31" s="36"/>
      <c r="R31" s="27"/>
    </row>
    <row r="32" spans="1:18" x14ac:dyDescent="0.3">
      <c r="A32" s="3" t="str">
        <f>Autovalutazione!A32</f>
        <v>1.3.1.c</v>
      </c>
      <c r="B32" s="6" t="str">
        <f>Autovalutazione!C32</f>
        <v>Altri comportamenti e incentivi? Se sì, quali?</v>
      </c>
      <c r="C32" s="38">
        <f>IF(ISBLANK(Autovalutazione!D32),0,1)</f>
        <v>0</v>
      </c>
      <c r="D32" s="293" t="str">
        <f>IF(AND(Autovalutazione!D32="",Autovalutazione!E32=""),"*","")</f>
        <v>*</v>
      </c>
      <c r="E32" s="39" t="str">
        <f>IF(ISBLANK(Autovalutazione!F32),"",Autovalutazione!F32)</f>
        <v/>
      </c>
      <c r="F32" s="235"/>
      <c r="G32" s="235"/>
      <c r="H32" s="235"/>
      <c r="I32" s="235"/>
      <c r="J32" s="235"/>
      <c r="K32" s="235"/>
      <c r="L32" s="229"/>
      <c r="M32" s="37">
        <v>0</v>
      </c>
      <c r="N32" s="27"/>
      <c r="O32" s="28">
        <f t="shared" si="4"/>
        <v>0</v>
      </c>
      <c r="P32" s="43">
        <f t="shared" si="5"/>
        <v>0</v>
      </c>
      <c r="Q32" s="36"/>
      <c r="R32" s="27"/>
    </row>
    <row r="33" spans="1:18" ht="52.8" x14ac:dyDescent="0.3">
      <c r="A33" s="3" t="str">
        <f>Autovalutazione!A33</f>
        <v>1.3.2.a</v>
      </c>
      <c r="B33" s="6" t="str">
        <f>Autovalutazione!C33</f>
        <v>Cosa fanno i superiori per promuovere la sicurezza e la tutela della salute sul lavoro? I superiori esercitano il proprio compito mediante:
Valutazioni dei rischi?</v>
      </c>
      <c r="C33" s="38">
        <f>IF(ISBLANK(Autovalutazione!D33),0,1)</f>
        <v>0</v>
      </c>
      <c r="D33" s="293" t="str">
        <f>IF(AND(Autovalutazione!D33="",Autovalutazione!E33=""),"*","")</f>
        <v>*</v>
      </c>
      <c r="E33" s="39" t="str">
        <f>IF(ISBLANK(Autovalutazione!F33),"",Autovalutazione!F33)</f>
        <v/>
      </c>
      <c r="F33" s="235"/>
      <c r="G33" s="235"/>
      <c r="H33" s="235"/>
      <c r="I33" s="235"/>
      <c r="J33" s="235"/>
      <c r="K33" s="235"/>
      <c r="L33" s="229"/>
      <c r="M33" s="37">
        <v>0</v>
      </c>
      <c r="N33" s="27"/>
      <c r="O33" s="28">
        <f t="shared" si="4"/>
        <v>0</v>
      </c>
      <c r="P33" s="43">
        <f t="shared" si="5"/>
        <v>0</v>
      </c>
      <c r="Q33" s="36"/>
      <c r="R33" s="36"/>
    </row>
    <row r="34" spans="1:18" x14ac:dyDescent="0.3">
      <c r="A34" s="3" t="str">
        <f>Autovalutazione!A34</f>
        <v>1.3.2.b</v>
      </c>
      <c r="B34" s="6" t="str">
        <f>Autovalutazione!C34</f>
        <v>Audit, controlli?</v>
      </c>
      <c r="C34" s="38">
        <f>IF(ISBLANK(Autovalutazione!D34),0,1)</f>
        <v>0</v>
      </c>
      <c r="D34" s="293" t="str">
        <f>IF(AND(Autovalutazione!D34="",Autovalutazione!E34=""),"*","")</f>
        <v>*</v>
      </c>
      <c r="E34" s="39" t="str">
        <f>IF(ISBLANK(Autovalutazione!F34),"",Autovalutazione!F34)</f>
        <v/>
      </c>
      <c r="F34" s="235"/>
      <c r="G34" s="235"/>
      <c r="H34" s="235"/>
      <c r="I34" s="235"/>
      <c r="J34" s="235"/>
      <c r="K34" s="235"/>
      <c r="L34" s="229"/>
      <c r="M34" s="37">
        <v>2</v>
      </c>
      <c r="N34" s="27"/>
      <c r="O34" s="28">
        <f t="shared" si="4"/>
        <v>0</v>
      </c>
      <c r="P34" s="43">
        <f t="shared" si="5"/>
        <v>0</v>
      </c>
      <c r="Q34" s="36"/>
      <c r="R34" s="27"/>
    </row>
    <row r="35" spans="1:18" x14ac:dyDescent="0.3">
      <c r="A35" s="3" t="str">
        <f>Autovalutazione!A35</f>
        <v>1.3.2.c</v>
      </c>
      <c r="B35" s="6" t="str">
        <f>Autovalutazione!C35</f>
        <v>Indagine d'infortunio?</v>
      </c>
      <c r="C35" s="38">
        <f>IF(ISBLANK(Autovalutazione!D35),0,1)</f>
        <v>0</v>
      </c>
      <c r="D35" s="293" t="str">
        <f>IF(AND(Autovalutazione!D35="",Autovalutazione!E35=""),"*","")</f>
        <v>*</v>
      </c>
      <c r="E35" s="39" t="str">
        <f>IF(ISBLANK(Autovalutazione!F35),"",Autovalutazione!F35)</f>
        <v/>
      </c>
      <c r="F35" s="235"/>
      <c r="G35" s="235"/>
      <c r="H35" s="235"/>
      <c r="I35" s="235"/>
      <c r="J35" s="235"/>
      <c r="K35" s="235"/>
      <c r="L35" s="229"/>
      <c r="M35" s="37">
        <v>2</v>
      </c>
      <c r="N35" s="27"/>
      <c r="O35" s="28">
        <f t="shared" si="4"/>
        <v>0</v>
      </c>
      <c r="P35" s="43">
        <f t="shared" si="5"/>
        <v>0</v>
      </c>
      <c r="Q35" s="36"/>
      <c r="R35" s="27"/>
    </row>
    <row r="36" spans="1:18" x14ac:dyDescent="0.3">
      <c r="A36" s="3" t="str">
        <f>Autovalutazione!A36</f>
        <v>1.3.2.d</v>
      </c>
      <c r="B36" s="6" t="str">
        <f>Autovalutazione!C36</f>
        <v>Formazioni sul posto di lavoro?</v>
      </c>
      <c r="C36" s="38">
        <f>IF(ISBLANK(Autovalutazione!D36),0,1)</f>
        <v>0</v>
      </c>
      <c r="D36" s="293" t="str">
        <f>IF(AND(Autovalutazione!D36="",Autovalutazione!E36=""),"*","")</f>
        <v>*</v>
      </c>
      <c r="E36" s="39" t="str">
        <f>IF(ISBLANK(Autovalutazione!F36),"",Autovalutazione!F36)</f>
        <v/>
      </c>
      <c r="F36" s="235"/>
      <c r="G36" s="235"/>
      <c r="H36" s="235"/>
      <c r="I36" s="235"/>
      <c r="J36" s="235"/>
      <c r="K36" s="235"/>
      <c r="L36" s="229"/>
      <c r="M36" s="37">
        <v>2</v>
      </c>
      <c r="N36" s="27"/>
      <c r="O36" s="28">
        <f t="shared" si="4"/>
        <v>0</v>
      </c>
      <c r="P36" s="43">
        <f t="shared" si="5"/>
        <v>0</v>
      </c>
      <c r="Q36" s="36"/>
      <c r="R36" s="27"/>
    </row>
    <row r="37" spans="1:18" x14ac:dyDescent="0.3">
      <c r="A37" s="3" t="str">
        <f>Autovalutazione!A37</f>
        <v>1.3.2.e</v>
      </c>
      <c r="B37" s="6" t="str">
        <f>Autovalutazione!C37</f>
        <v>Campagne per la sicurezza sul lavoro?</v>
      </c>
      <c r="C37" s="38">
        <f>IF(ISBLANK(Autovalutazione!D37),0,1)</f>
        <v>0</v>
      </c>
      <c r="D37" s="293" t="str">
        <f>IF(AND(Autovalutazione!D37="",Autovalutazione!E37=""),"*","")</f>
        <v>*</v>
      </c>
      <c r="E37" s="39" t="str">
        <f>IF(ISBLANK(Autovalutazione!F37),"",Autovalutazione!F37)</f>
        <v/>
      </c>
      <c r="F37" s="235"/>
      <c r="G37" s="235"/>
      <c r="H37" s="235"/>
      <c r="I37" s="235"/>
      <c r="J37" s="235"/>
      <c r="K37" s="235"/>
      <c r="L37" s="229"/>
      <c r="M37" s="37">
        <v>0</v>
      </c>
      <c r="N37" s="27"/>
      <c r="O37" s="28">
        <f t="shared" si="4"/>
        <v>0</v>
      </c>
      <c r="P37" s="43">
        <f t="shared" si="5"/>
        <v>0</v>
      </c>
      <c r="Q37" s="36"/>
      <c r="R37" s="27"/>
    </row>
    <row r="38" spans="1:18" x14ac:dyDescent="0.3">
      <c r="A38" s="3" t="str">
        <f>Autovalutazione!A38</f>
        <v>1.3.2.f</v>
      </c>
      <c r="B38" s="6" t="str">
        <f>Autovalutazione!C38</f>
        <v>Campagne per la sicurezza nel tempo libero?</v>
      </c>
      <c r="C38" s="38">
        <f>IF(ISBLANK(Autovalutazione!D38),0,1)</f>
        <v>0</v>
      </c>
      <c r="D38" s="293" t="str">
        <f>IF(AND(Autovalutazione!D38="",Autovalutazione!E38=""),"*","")</f>
        <v>*</v>
      </c>
      <c r="E38" s="39" t="str">
        <f>IF(ISBLANK(Autovalutazione!F38),"",Autovalutazione!F38)</f>
        <v/>
      </c>
      <c r="F38" s="235"/>
      <c r="G38" s="235"/>
      <c r="H38" s="235"/>
      <c r="I38" s="235"/>
      <c r="J38" s="235"/>
      <c r="K38" s="235"/>
      <c r="L38" s="229"/>
      <c r="M38" s="37">
        <v>0</v>
      </c>
      <c r="N38" s="27"/>
      <c r="O38" s="28">
        <f t="shared" si="4"/>
        <v>0</v>
      </c>
      <c r="P38" s="43">
        <f t="shared" si="5"/>
        <v>0</v>
      </c>
      <c r="Q38" s="36"/>
      <c r="R38" s="27"/>
    </row>
    <row r="39" spans="1:18" x14ac:dyDescent="0.3">
      <c r="A39" s="3" t="str">
        <f>Autovalutazione!A39</f>
        <v>1.3.2.g</v>
      </c>
      <c r="B39" s="6" t="str">
        <f>Autovalutazione!C39</f>
        <v>Gestione delle assenze?</v>
      </c>
      <c r="C39" s="38">
        <f>IF(ISBLANK(Autovalutazione!D39),0,1)</f>
        <v>0</v>
      </c>
      <c r="D39" s="293" t="str">
        <f>IF(AND(Autovalutazione!D39="",Autovalutazione!E39=""),"*","")</f>
        <v>*</v>
      </c>
      <c r="E39" s="39" t="str">
        <f>IF(ISBLANK(Autovalutazione!F39),"",Autovalutazione!F39)</f>
        <v/>
      </c>
      <c r="F39" s="235"/>
      <c r="G39" s="235"/>
      <c r="H39" s="235"/>
      <c r="I39" s="235"/>
      <c r="J39" s="235"/>
      <c r="K39" s="235"/>
      <c r="L39" s="229"/>
      <c r="M39" s="37">
        <v>2</v>
      </c>
      <c r="N39" s="27"/>
      <c r="O39" s="28">
        <f t="shared" si="4"/>
        <v>0</v>
      </c>
      <c r="P39" s="43">
        <f t="shared" si="5"/>
        <v>0</v>
      </c>
      <c r="Q39" s="36"/>
      <c r="R39" s="27"/>
    </row>
    <row r="40" spans="1:18" x14ac:dyDescent="0.3">
      <c r="A40" s="3" t="str">
        <f>Autovalutazione!A40</f>
        <v>1.3.2.h</v>
      </c>
      <c r="B40" s="6" t="str">
        <f>Autovalutazione!C40</f>
        <v>Altre? Se sì, quale?</v>
      </c>
      <c r="C40" s="38">
        <f>IF(ISBLANK(Autovalutazione!D40),0,1)</f>
        <v>0</v>
      </c>
      <c r="D40" s="293" t="str">
        <f>IF(AND(Autovalutazione!D40="",Autovalutazione!E40=""),"*","")</f>
        <v>*</v>
      </c>
      <c r="E40" s="39" t="str">
        <f>IF(ISBLANK(Autovalutazione!F40),"",Autovalutazione!F40)</f>
        <v/>
      </c>
      <c r="F40" s="235"/>
      <c r="G40" s="235"/>
      <c r="H40" s="235"/>
      <c r="I40" s="235"/>
      <c r="J40" s="235"/>
      <c r="K40" s="235"/>
      <c r="L40" s="229"/>
      <c r="M40" s="37">
        <v>0</v>
      </c>
      <c r="N40" s="27"/>
      <c r="O40" s="28">
        <f t="shared" si="4"/>
        <v>0</v>
      </c>
      <c r="P40" s="43">
        <f t="shared" si="5"/>
        <v>0</v>
      </c>
      <c r="Q40" s="36"/>
      <c r="R40" s="27"/>
    </row>
    <row r="41" spans="1:18" ht="26.4" x14ac:dyDescent="0.3">
      <c r="A41" s="3" t="str">
        <f>Autovalutazione!A41</f>
        <v>1.3.3</v>
      </c>
      <c r="B41" s="6" t="str">
        <f>Autovalutazione!C41</f>
        <v>I superiori conoscono diritti e doveri stabiliti per legge in materia di sicurezza e tutela della salute?</v>
      </c>
      <c r="C41" s="38">
        <f>IF(ISBLANK(Autovalutazione!D41),0,1)</f>
        <v>0</v>
      </c>
      <c r="D41" s="293" t="str">
        <f>IF(AND(Autovalutazione!D41="",Autovalutazione!E41=""),"*","")</f>
        <v>*</v>
      </c>
      <c r="E41" s="39" t="str">
        <f>IF(ISBLANK(Autovalutazione!F41),"",Autovalutazione!F41)</f>
        <v/>
      </c>
      <c r="F41" s="235"/>
      <c r="G41" s="235"/>
      <c r="H41" s="235"/>
      <c r="I41" s="235"/>
      <c r="J41" s="235"/>
      <c r="K41" s="235"/>
      <c r="L41" s="229"/>
      <c r="M41" s="37">
        <v>3</v>
      </c>
      <c r="N41" s="27"/>
      <c r="O41" s="28">
        <f t="shared" si="4"/>
        <v>0</v>
      </c>
      <c r="P41" s="43">
        <f t="shared" si="5"/>
        <v>0</v>
      </c>
      <c r="Q41" s="36"/>
      <c r="R41" s="27"/>
    </row>
    <row r="42" spans="1:18" x14ac:dyDescent="0.3">
      <c r="A42" s="19" t="str">
        <f>Autovalutazione!A42</f>
        <v>1.4.</v>
      </c>
      <c r="B42" s="25" t="str">
        <f>Autovalutazione!B42</f>
        <v>Obiettivi di sicurezza</v>
      </c>
      <c r="C42" s="21">
        <f>O42/N42</f>
        <v>0</v>
      </c>
      <c r="D42" s="29"/>
      <c r="E42" s="29"/>
      <c r="F42" s="232"/>
      <c r="G42" s="232"/>
      <c r="H42" s="232"/>
      <c r="I42" s="232"/>
      <c r="J42" s="232"/>
      <c r="K42" s="232"/>
      <c r="L42" s="50">
        <f>P42/N42</f>
        <v>0</v>
      </c>
      <c r="M42" s="22">
        <v>2</v>
      </c>
      <c r="N42" s="22">
        <f>SUM(M43:M55)</f>
        <v>21</v>
      </c>
      <c r="O42" s="24">
        <f>SUM(O43:O55)</f>
        <v>0</v>
      </c>
      <c r="P42" s="24">
        <f>SUM(P43:P55)</f>
        <v>0</v>
      </c>
      <c r="Q42" s="52">
        <f>O42/$N42*$M42</f>
        <v>0</v>
      </c>
      <c r="R42" s="52">
        <f>P42/$N42*$M42</f>
        <v>0</v>
      </c>
    </row>
    <row r="43" spans="1:18" ht="81" customHeight="1" x14ac:dyDescent="0.3">
      <c r="A43" s="3" t="str">
        <f>Autovalutazione!A43</f>
        <v>1.4.1.a</v>
      </c>
      <c r="B43" s="6" t="str">
        <f>Autovalutazione!C43</f>
        <v>Sono stati fissati obiettivi quantitativi per limitare la frequenza* degli eventi avversi e delle assenze:
*Frequenza: Numero di eventi rispetto all'orario di lavoro produttivo o numero di eventi rispetto al numero degli occupati a tempo pieno in un determinato periodo.
infortuni/malattie professionali?</v>
      </c>
      <c r="C43" s="38">
        <f>IF(ISBLANK(Autovalutazione!D43),0,1)</f>
        <v>0</v>
      </c>
      <c r="D43" s="293" t="str">
        <f>IF(AND(Autovalutazione!D43="",Autovalutazione!E43=""),"*","")</f>
        <v>*</v>
      </c>
      <c r="E43" s="39" t="str">
        <f>IF(ISBLANK(Autovalutazione!F43),"",Autovalutazione!F43)</f>
        <v/>
      </c>
      <c r="F43" s="235"/>
      <c r="G43" s="235"/>
      <c r="H43" s="235"/>
      <c r="I43" s="235"/>
      <c r="J43" s="235"/>
      <c r="K43" s="235"/>
      <c r="L43" s="229"/>
      <c r="M43" s="37">
        <v>5</v>
      </c>
      <c r="N43" s="27"/>
      <c r="O43" s="28">
        <f t="shared" ref="O43:O55" si="6">M43*C43</f>
        <v>0</v>
      </c>
      <c r="P43" s="43">
        <f t="shared" ref="P43:P55" si="7">L43*M43</f>
        <v>0</v>
      </c>
      <c r="Q43" s="36"/>
      <c r="R43" s="27"/>
    </row>
    <row r="44" spans="1:18" x14ac:dyDescent="0.3">
      <c r="A44" s="3" t="str">
        <f>Autovalutazione!A44</f>
        <v>1.4.1.b</v>
      </c>
      <c r="B44" s="6" t="str">
        <f>Autovalutazione!C44</f>
        <v>Infortuni non professionalki (INP)?</v>
      </c>
      <c r="C44" s="38">
        <f>IF(ISBLANK(Autovalutazione!D44),0,1)</f>
        <v>0</v>
      </c>
      <c r="D44" s="293" t="str">
        <f>IF(AND(Autovalutazione!D44="",Autovalutazione!E44=""),"*","")</f>
        <v>*</v>
      </c>
      <c r="E44" s="39" t="str">
        <f>IF(ISBLANK(Autovalutazione!F44),"",Autovalutazione!F44)</f>
        <v/>
      </c>
      <c r="F44" s="235"/>
      <c r="G44" s="235"/>
      <c r="H44" s="235"/>
      <c r="I44" s="235"/>
      <c r="J44" s="235"/>
      <c r="K44" s="235"/>
      <c r="L44" s="229"/>
      <c r="M44" s="37">
        <v>3</v>
      </c>
      <c r="N44" s="27"/>
      <c r="O44" s="28">
        <f t="shared" si="6"/>
        <v>0</v>
      </c>
      <c r="P44" s="43">
        <f t="shared" si="7"/>
        <v>0</v>
      </c>
      <c r="Q44" s="36"/>
      <c r="R44" s="27"/>
    </row>
    <row r="45" spans="1:18" x14ac:dyDescent="0.3">
      <c r="A45" s="3" t="str">
        <f>Autovalutazione!A45</f>
        <v>1.4.1.c</v>
      </c>
      <c r="B45" s="6" t="str">
        <f>Autovalutazione!C45</f>
        <v>Malattie?</v>
      </c>
      <c r="C45" s="38">
        <f>IF(ISBLANK(Autovalutazione!D45),0,1)</f>
        <v>0</v>
      </c>
      <c r="D45" s="293" t="str">
        <f>IF(AND(Autovalutazione!D45="",Autovalutazione!E45=""),"*","")</f>
        <v>*</v>
      </c>
      <c r="E45" s="39" t="str">
        <f>IF(ISBLANK(Autovalutazione!F45),"",Autovalutazione!F45)</f>
        <v/>
      </c>
      <c r="F45" s="235"/>
      <c r="G45" s="235"/>
      <c r="H45" s="235"/>
      <c r="I45" s="235"/>
      <c r="J45" s="235"/>
      <c r="K45" s="235"/>
      <c r="L45" s="229"/>
      <c r="M45" s="37">
        <v>2</v>
      </c>
      <c r="N45" s="27"/>
      <c r="O45" s="28">
        <f t="shared" si="6"/>
        <v>0</v>
      </c>
      <c r="P45" s="43">
        <f t="shared" si="7"/>
        <v>0</v>
      </c>
      <c r="Q45" s="36"/>
      <c r="R45" s="27"/>
    </row>
    <row r="46" spans="1:18" x14ac:dyDescent="0.3">
      <c r="A46" s="3" t="str">
        <f>Autovalutazione!A46</f>
        <v>1.4.1.d</v>
      </c>
      <c r="B46" s="6" t="str">
        <f>Autovalutazione!C46</f>
        <v>Danni materiali?</v>
      </c>
      <c r="C46" s="38">
        <f>IF(ISBLANK(Autovalutazione!D46),0,1)</f>
        <v>0</v>
      </c>
      <c r="D46" s="293" t="str">
        <f>IF(AND(Autovalutazione!D46="",Autovalutazione!E46=""),"*","")</f>
        <v>*</v>
      </c>
      <c r="E46" s="39" t="str">
        <f>IF(ISBLANK(Autovalutazione!F46),"",Autovalutazione!F46)</f>
        <v/>
      </c>
      <c r="F46" s="235"/>
      <c r="G46" s="235"/>
      <c r="H46" s="235"/>
      <c r="I46" s="235"/>
      <c r="J46" s="235"/>
      <c r="K46" s="235"/>
      <c r="L46" s="229"/>
      <c r="M46" s="37">
        <v>3</v>
      </c>
      <c r="N46" s="27"/>
      <c r="O46" s="28">
        <f t="shared" si="6"/>
        <v>0</v>
      </c>
      <c r="P46" s="43">
        <f t="shared" si="7"/>
        <v>0</v>
      </c>
      <c r="Q46" s="36"/>
      <c r="R46" s="27"/>
    </row>
    <row r="47" spans="1:18" x14ac:dyDescent="0.3">
      <c r="A47" s="3" t="str">
        <f>Autovalutazione!A47</f>
        <v>1.4.1.e</v>
      </c>
      <c r="B47" s="6" t="str">
        <f>Autovalutazione!C47</f>
        <v>Disturbi?</v>
      </c>
      <c r="C47" s="38">
        <f>IF(ISBLANK(Autovalutazione!D47),0,1)</f>
        <v>0</v>
      </c>
      <c r="D47" s="293" t="str">
        <f>IF(AND(Autovalutazione!D47="",Autovalutazione!E47=""),"*","")</f>
        <v>*</v>
      </c>
      <c r="E47" s="39" t="str">
        <f>IF(ISBLANK(Autovalutazione!F47),"",Autovalutazione!F47)</f>
        <v/>
      </c>
      <c r="F47" s="235"/>
      <c r="G47" s="235"/>
      <c r="H47" s="235"/>
      <c r="I47" s="235"/>
      <c r="J47" s="235"/>
      <c r="K47" s="235"/>
      <c r="L47" s="229"/>
      <c r="M47" s="37">
        <v>0</v>
      </c>
      <c r="N47" s="27"/>
      <c r="O47" s="28">
        <f t="shared" si="6"/>
        <v>0</v>
      </c>
      <c r="P47" s="43">
        <f t="shared" si="7"/>
        <v>0</v>
      </c>
      <c r="Q47" s="36"/>
      <c r="R47" s="27"/>
    </row>
    <row r="48" spans="1:18" x14ac:dyDescent="0.3">
      <c r="A48" s="3" t="str">
        <f>Autovalutazione!A48</f>
        <v>1.4.1.f</v>
      </c>
      <c r="B48" s="6" t="str">
        <f>Autovalutazione!C48</f>
        <v>Altri eventi? Se sì, quali eventi?</v>
      </c>
      <c r="C48" s="38">
        <f>IF(ISBLANK(Autovalutazione!D48),0,1)</f>
        <v>0</v>
      </c>
      <c r="D48" s="293" t="str">
        <f>IF(AND(Autovalutazione!D48="",Autovalutazione!E48=""),"*","")</f>
        <v>*</v>
      </c>
      <c r="E48" s="39" t="str">
        <f>IF(ISBLANK(Autovalutazione!F48),"",Autovalutazione!F48)</f>
        <v/>
      </c>
      <c r="F48" s="235"/>
      <c r="G48" s="235"/>
      <c r="H48" s="235"/>
      <c r="I48" s="235"/>
      <c r="J48" s="235"/>
      <c r="K48" s="235"/>
      <c r="L48" s="229"/>
      <c r="M48" s="37">
        <v>0</v>
      </c>
      <c r="N48" s="27"/>
      <c r="O48" s="28">
        <f t="shared" si="6"/>
        <v>0</v>
      </c>
      <c r="P48" s="43">
        <f t="shared" si="7"/>
        <v>0</v>
      </c>
      <c r="Q48" s="36"/>
      <c r="R48" s="36"/>
    </row>
    <row r="49" spans="1:18" ht="39.6" x14ac:dyDescent="0.3">
      <c r="A49" s="3" t="str">
        <f>Autovalutazione!A49</f>
        <v>1.4.2.a</v>
      </c>
      <c r="B49" s="6" t="str">
        <f>Autovalutazione!C49</f>
        <v>Esistono obiettivi misurabili in termini di limitazione dei tempi di inattività causati dai seguenti eventi:
infortuni/malattie professionali</v>
      </c>
      <c r="C49" s="38">
        <f>IF(ISBLANK(Autovalutazione!D49),0,1)</f>
        <v>0</v>
      </c>
      <c r="D49" s="293" t="str">
        <f>IF(AND(Autovalutazione!D49="",Autovalutazione!E49=""),"*","")</f>
        <v>*</v>
      </c>
      <c r="E49" s="39" t="str">
        <f>IF(ISBLANK(Autovalutazione!F49),"",Autovalutazione!F49)</f>
        <v/>
      </c>
      <c r="F49" s="235"/>
      <c r="G49" s="235"/>
      <c r="H49" s="235"/>
      <c r="I49" s="235"/>
      <c r="J49" s="235"/>
      <c r="K49" s="235"/>
      <c r="L49" s="229"/>
      <c r="M49" s="37">
        <v>1</v>
      </c>
      <c r="N49" s="27"/>
      <c r="O49" s="28">
        <f t="shared" si="6"/>
        <v>0</v>
      </c>
      <c r="P49" s="43">
        <f t="shared" si="7"/>
        <v>0</v>
      </c>
      <c r="Q49" s="36"/>
      <c r="R49" s="27"/>
    </row>
    <row r="50" spans="1:18" x14ac:dyDescent="0.3">
      <c r="A50" s="3" t="str">
        <f>Autovalutazione!A50</f>
        <v>1.4.2.b</v>
      </c>
      <c r="B50" s="6" t="str">
        <f>Autovalutazione!C50</f>
        <v>INP?</v>
      </c>
      <c r="C50" s="38">
        <f>IF(ISBLANK(Autovalutazione!D50),0,1)</f>
        <v>0</v>
      </c>
      <c r="D50" s="293" t="str">
        <f>IF(AND(Autovalutazione!D50="",Autovalutazione!E50=""),"*","")</f>
        <v>*</v>
      </c>
      <c r="E50" s="39" t="str">
        <f>IF(ISBLANK(Autovalutazione!F50),"",Autovalutazione!F50)</f>
        <v/>
      </c>
      <c r="F50" s="236"/>
      <c r="G50" s="236"/>
      <c r="H50" s="236"/>
      <c r="I50" s="236"/>
      <c r="J50" s="236"/>
      <c r="K50" s="236"/>
      <c r="L50" s="229"/>
      <c r="M50" s="37">
        <v>1</v>
      </c>
      <c r="N50" s="27"/>
      <c r="O50" s="28">
        <f t="shared" si="6"/>
        <v>0</v>
      </c>
      <c r="P50" s="43">
        <f t="shared" si="7"/>
        <v>0</v>
      </c>
      <c r="Q50" s="36"/>
      <c r="R50" s="27"/>
    </row>
    <row r="51" spans="1:18" x14ac:dyDescent="0.3">
      <c r="A51" s="3" t="str">
        <f>Autovalutazione!A51</f>
        <v>1.4.2.c</v>
      </c>
      <c r="B51" s="6" t="str">
        <f>Autovalutazione!C51</f>
        <v>Malattie?</v>
      </c>
      <c r="C51" s="38">
        <f>IF(ISBLANK(Autovalutazione!D51),0,1)</f>
        <v>0</v>
      </c>
      <c r="D51" s="293" t="str">
        <f>IF(AND(Autovalutazione!D51="",Autovalutazione!E51=""),"*","")</f>
        <v>*</v>
      </c>
      <c r="E51" s="39" t="str">
        <f>IF(ISBLANK(Autovalutazione!F51),"",Autovalutazione!F51)</f>
        <v/>
      </c>
      <c r="F51" s="235"/>
      <c r="G51" s="235"/>
      <c r="H51" s="235"/>
      <c r="I51" s="235"/>
      <c r="J51" s="235"/>
      <c r="K51" s="235"/>
      <c r="L51" s="229"/>
      <c r="M51" s="37">
        <v>3</v>
      </c>
      <c r="N51" s="27"/>
      <c r="O51" s="28">
        <f t="shared" si="6"/>
        <v>0</v>
      </c>
      <c r="P51" s="43">
        <f t="shared" si="7"/>
        <v>0</v>
      </c>
      <c r="Q51" s="36"/>
      <c r="R51" s="27"/>
    </row>
    <row r="52" spans="1:18" x14ac:dyDescent="0.3">
      <c r="A52" s="3" t="str">
        <f>Autovalutazione!A52</f>
        <v>1.4.2.d</v>
      </c>
      <c r="B52" s="6" t="str">
        <f>Autovalutazione!C52</f>
        <v>Altri eventi? Se sì, quali eventi?</v>
      </c>
      <c r="C52" s="38">
        <f>IF(ISBLANK(Autovalutazione!D52),0,1)</f>
        <v>0</v>
      </c>
      <c r="D52" s="293" t="str">
        <f>IF(AND(Autovalutazione!D52="",Autovalutazione!E52=""),"*","")</f>
        <v>*</v>
      </c>
      <c r="E52" s="39" t="str">
        <f>IF(ISBLANK(Autovalutazione!F52),"",Autovalutazione!F52)</f>
        <v/>
      </c>
      <c r="F52" s="235"/>
      <c r="G52" s="235"/>
      <c r="H52" s="235"/>
      <c r="I52" s="235"/>
      <c r="J52" s="235"/>
      <c r="K52" s="235"/>
      <c r="L52" s="229"/>
      <c r="M52" s="37">
        <v>0</v>
      </c>
      <c r="N52" s="27"/>
      <c r="O52" s="28">
        <f t="shared" si="6"/>
        <v>0</v>
      </c>
      <c r="P52" s="43">
        <f t="shared" si="7"/>
        <v>0</v>
      </c>
      <c r="Q52" s="36"/>
      <c r="R52" s="27"/>
    </row>
    <row r="53" spans="1:18" ht="26.4" x14ac:dyDescent="0.3">
      <c r="A53" s="3" t="str">
        <f>Autovalutazione!A53</f>
        <v>1.4.3.</v>
      </c>
      <c r="B53" s="6" t="str">
        <f>Autovalutazione!C53</f>
        <v>Gli obiettivi per la sicurezza e la tutela della salute si riferiscono a tutta l'azienda?</v>
      </c>
      <c r="C53" s="38">
        <f>IF(ISBLANK(Autovalutazione!D53),0,1)</f>
        <v>0</v>
      </c>
      <c r="D53" s="293" t="str">
        <f>IF(AND(Autovalutazione!D53="",Autovalutazione!E53=""),"*","")</f>
        <v>*</v>
      </c>
      <c r="E53" s="39" t="str">
        <f>IF(ISBLANK(Autovalutazione!F53),"",Autovalutazione!F53)</f>
        <v/>
      </c>
      <c r="F53" s="235"/>
      <c r="G53" s="235"/>
      <c r="H53" s="235"/>
      <c r="I53" s="235"/>
      <c r="J53" s="235"/>
      <c r="K53" s="235"/>
      <c r="L53" s="229"/>
      <c r="M53" s="37">
        <v>1</v>
      </c>
      <c r="N53" s="27"/>
      <c r="O53" s="28">
        <f t="shared" si="6"/>
        <v>0</v>
      </c>
      <c r="P53" s="43">
        <f t="shared" si="7"/>
        <v>0</v>
      </c>
      <c r="Q53" s="36"/>
      <c r="R53" s="27"/>
    </row>
    <row r="54" spans="1:18" ht="28.5" customHeight="1" x14ac:dyDescent="0.3">
      <c r="A54" s="3" t="str">
        <f>Autovalutazione!A54</f>
        <v>1.4.4.</v>
      </c>
      <c r="B54" s="6" t="str">
        <f>Autovalutazione!C54</f>
        <v>Gli obiettivi per la sicurezza e la tutela della salute si riferiscono a singole unità organizzative?</v>
      </c>
      <c r="C54" s="38">
        <f>IF(ISBLANK(Autovalutazione!D54),0,1)</f>
        <v>0</v>
      </c>
      <c r="D54" s="293" t="str">
        <f>IF(AND(Autovalutazione!D54="",Autovalutazione!E54=""),"*","")</f>
        <v>*</v>
      </c>
      <c r="E54" s="39" t="str">
        <f>IF(ISBLANK(Autovalutazione!F54),"",Autovalutazione!F54)</f>
        <v/>
      </c>
      <c r="F54" s="235"/>
      <c r="G54" s="235"/>
      <c r="H54" s="235"/>
      <c r="I54" s="235"/>
      <c r="J54" s="235"/>
      <c r="K54" s="235"/>
      <c r="L54" s="229"/>
      <c r="M54" s="37">
        <v>1</v>
      </c>
      <c r="N54" s="27"/>
      <c r="O54" s="28">
        <f t="shared" si="6"/>
        <v>0</v>
      </c>
      <c r="P54" s="43">
        <f t="shared" si="7"/>
        <v>0</v>
      </c>
      <c r="Q54" s="36"/>
      <c r="R54" s="27"/>
    </row>
    <row r="55" spans="1:18" ht="26.4" x14ac:dyDescent="0.3">
      <c r="A55" s="3" t="str">
        <f>Autovalutazione!A55</f>
        <v>1.4.5.</v>
      </c>
      <c r="B55" s="6" t="str">
        <f>Autovalutazione!C55</f>
        <v>Avete la possibilità di confrontare i dati della vostra azienda con quelli di altre aziende simili? Se sì, quali?</v>
      </c>
      <c r="C55" s="38">
        <f>IF(ISBLANK(Autovalutazione!D55),0,1)</f>
        <v>0</v>
      </c>
      <c r="D55" s="293" t="str">
        <f>IF(AND(Autovalutazione!D55="",Autovalutazione!E55=""),"*","")</f>
        <v>*</v>
      </c>
      <c r="E55" s="39" t="str">
        <f>IF(ISBLANK(Autovalutazione!F55),"",Autovalutazione!F55)</f>
        <v/>
      </c>
      <c r="F55" s="235"/>
      <c r="G55" s="235"/>
      <c r="H55" s="235"/>
      <c r="I55" s="235"/>
      <c r="J55" s="235"/>
      <c r="K55" s="235"/>
      <c r="L55" s="229"/>
      <c r="M55" s="37">
        <v>1</v>
      </c>
      <c r="N55" s="27"/>
      <c r="O55" s="28">
        <f t="shared" si="6"/>
        <v>0</v>
      </c>
      <c r="P55" s="43">
        <f t="shared" si="7"/>
        <v>0</v>
      </c>
      <c r="Q55" s="36"/>
      <c r="R55" s="27"/>
    </row>
    <row r="56" spans="1:18" x14ac:dyDescent="0.3">
      <c r="A56" s="19" t="str">
        <f>Autovalutazione!A56</f>
        <v>1.5.</v>
      </c>
      <c r="B56" s="25" t="str">
        <f>Autovalutazione!B56</f>
        <v>Formulazione degli obiettivi, controlling e strategia</v>
      </c>
      <c r="C56" s="21">
        <f>O56/N56</f>
        <v>0</v>
      </c>
      <c r="D56" s="29"/>
      <c r="E56" s="29"/>
      <c r="F56" s="232"/>
      <c r="G56" s="232"/>
      <c r="H56" s="232"/>
      <c r="I56" s="232"/>
      <c r="J56" s="232"/>
      <c r="K56" s="232"/>
      <c r="L56" s="50">
        <f>P56/N56</f>
        <v>0</v>
      </c>
      <c r="M56" s="22">
        <v>2</v>
      </c>
      <c r="N56" s="22">
        <f>SUM(M57:M63)</f>
        <v>17</v>
      </c>
      <c r="O56" s="24">
        <f>SUM(O57:O63)</f>
        <v>0</v>
      </c>
      <c r="P56" s="24">
        <f>SUM(P57:P63)</f>
        <v>0</v>
      </c>
      <c r="Q56" s="52">
        <f>O56/$N56*$M56</f>
        <v>0</v>
      </c>
      <c r="R56" s="52">
        <f>P56/$N56*$M56</f>
        <v>0</v>
      </c>
    </row>
    <row r="57" spans="1:18" ht="26.4" x14ac:dyDescent="0.3">
      <c r="A57" s="3" t="str">
        <f>Autovalutazione!A57</f>
        <v>1.5.1.</v>
      </c>
      <c r="B57" s="6" t="str">
        <f>Autovalutazione!C57</f>
        <v>Esiste un processo ben definito per formulare gli obiettivi di sicurezza?</v>
      </c>
      <c r="C57" s="38">
        <f>IF(ISBLANK(Autovalutazione!D57),0,1)</f>
        <v>0</v>
      </c>
      <c r="D57" s="293" t="str">
        <f>IF(AND(Autovalutazione!D57="",Autovalutazione!E57=""),"*","")</f>
        <v>*</v>
      </c>
      <c r="E57" s="39" t="str">
        <f>IF(ISBLANK(Autovalutazione!F57),"",Autovalutazione!F57)</f>
        <v/>
      </c>
      <c r="F57" s="235"/>
      <c r="G57" s="235"/>
      <c r="H57" s="235"/>
      <c r="I57" s="235"/>
      <c r="J57" s="235"/>
      <c r="K57" s="235"/>
      <c r="L57" s="229"/>
      <c r="M57" s="37">
        <v>3</v>
      </c>
      <c r="N57" s="28"/>
      <c r="O57" s="28">
        <f t="shared" ref="O57:O63" si="8">M57*C57</f>
        <v>0</v>
      </c>
      <c r="P57" s="43">
        <f t="shared" ref="P57:P63" si="9">L57*M57</f>
        <v>0</v>
      </c>
      <c r="Q57" s="36"/>
      <c r="R57" s="27"/>
    </row>
    <row r="58" spans="1:18" ht="26.4" x14ac:dyDescent="0.3">
      <c r="A58" s="3" t="str">
        <f>Autovalutazione!A58</f>
        <v>1.5.2.</v>
      </c>
      <c r="B58" s="6" t="str">
        <f>Autovalutazione!C58</f>
        <v>Gli obiettivi prevedono anche l'obbligo del miglioramento continuo del sistema di sicurezza?</v>
      </c>
      <c r="C58" s="38">
        <f>IF(ISBLANK(Autovalutazione!D58),0,1)</f>
        <v>0</v>
      </c>
      <c r="D58" s="293" t="str">
        <f>IF(AND(Autovalutazione!D58="",Autovalutazione!E58=""),"*","")</f>
        <v>*</v>
      </c>
      <c r="E58" s="39" t="str">
        <f>IF(ISBLANK(Autovalutazione!F58),"",Autovalutazione!F58)</f>
        <v/>
      </c>
      <c r="F58" s="235"/>
      <c r="G58" s="235"/>
      <c r="H58" s="235"/>
      <c r="I58" s="235"/>
      <c r="J58" s="235"/>
      <c r="K58" s="235"/>
      <c r="L58" s="229"/>
      <c r="M58" s="37">
        <v>3</v>
      </c>
      <c r="N58" s="27"/>
      <c r="O58" s="28">
        <f t="shared" si="8"/>
        <v>0</v>
      </c>
      <c r="P58" s="43">
        <f t="shared" si="9"/>
        <v>0</v>
      </c>
      <c r="Q58" s="36"/>
      <c r="R58" s="27"/>
    </row>
    <row r="59" spans="1:18" ht="26.4" x14ac:dyDescent="0.3">
      <c r="A59" s="3" t="str">
        <f>Autovalutazione!A59</f>
        <v>1.5.3.</v>
      </c>
      <c r="B59" s="6" t="str">
        <f>Autovalutazione!C59</f>
        <v>I quadri o i loro sostituti partecipano alla formulazione degli obiettivi di sicurezza?</v>
      </c>
      <c r="C59" s="38">
        <f>IF(ISBLANK(Autovalutazione!D59),0,1)</f>
        <v>0</v>
      </c>
      <c r="D59" s="293" t="str">
        <f>IF(AND(Autovalutazione!D59="",Autovalutazione!E59=""),"*","")</f>
        <v>*</v>
      </c>
      <c r="E59" s="39" t="str">
        <f>IF(ISBLANK(Autovalutazione!F59),"",Autovalutazione!F59)</f>
        <v/>
      </c>
      <c r="F59" s="235"/>
      <c r="G59" s="235"/>
      <c r="H59" s="235"/>
      <c r="I59" s="235"/>
      <c r="J59" s="235"/>
      <c r="K59" s="235"/>
      <c r="L59" s="229"/>
      <c r="M59" s="37">
        <v>4</v>
      </c>
      <c r="N59" s="27"/>
      <c r="O59" s="28">
        <f t="shared" si="8"/>
        <v>0</v>
      </c>
      <c r="P59" s="43">
        <f t="shared" si="9"/>
        <v>0</v>
      </c>
      <c r="Q59" s="36"/>
      <c r="R59" s="27"/>
    </row>
    <row r="60" spans="1:18" ht="39.6" x14ac:dyDescent="0.3">
      <c r="A60" s="3" t="str">
        <f>Autovalutazione!A60</f>
        <v xml:space="preserve">1.5.4. </v>
      </c>
      <c r="B60" s="6" t="str">
        <f>Autovalutazione!C60</f>
        <v>Il mancato rispetto degli obiettivi viene riconosciuto tempestivamente con un esame attento degli eventi ossia  con una procedura di controlling per tutta l'azienda?</v>
      </c>
      <c r="C60" s="38">
        <f>IF(ISBLANK(Autovalutazione!D60),0,1)</f>
        <v>0</v>
      </c>
      <c r="D60" s="293" t="str">
        <f>IF(AND(Autovalutazione!D60="",Autovalutazione!E60=""),"*","")</f>
        <v>*</v>
      </c>
      <c r="E60" s="39" t="str">
        <f>IF(ISBLANK(Autovalutazione!F60),"",Autovalutazione!F60)</f>
        <v/>
      </c>
      <c r="F60" s="235"/>
      <c r="G60" s="235"/>
      <c r="H60" s="235"/>
      <c r="I60" s="235"/>
      <c r="J60" s="235"/>
      <c r="K60" s="235"/>
      <c r="L60" s="229"/>
      <c r="M60" s="37">
        <v>1</v>
      </c>
      <c r="N60" s="27"/>
      <c r="O60" s="28">
        <f t="shared" si="8"/>
        <v>0</v>
      </c>
      <c r="P60" s="43">
        <f t="shared" si="9"/>
        <v>0</v>
      </c>
      <c r="Q60" s="36"/>
      <c r="R60" s="27"/>
    </row>
    <row r="61" spans="1:18" x14ac:dyDescent="0.3">
      <c r="A61" s="3" t="str">
        <f>Autovalutazione!A61</f>
        <v>1.5.5.</v>
      </c>
      <c r="B61" s="6" t="str">
        <f>Autovalutazione!C61</f>
        <v>per singole unità organizzative? (ad es. divisioni, settori)</v>
      </c>
      <c r="C61" s="38">
        <f>IF(ISBLANK(Autovalutazione!D61),0,1)</f>
        <v>0</v>
      </c>
      <c r="D61" s="293" t="str">
        <f>IF(AND(Autovalutazione!D61="",Autovalutazione!E61=""),"*","")</f>
        <v>*</v>
      </c>
      <c r="E61" s="39" t="str">
        <f>IF(ISBLANK(Autovalutazione!F61),"",Autovalutazione!F61)</f>
        <v/>
      </c>
      <c r="F61" s="235"/>
      <c r="G61" s="235"/>
      <c r="H61" s="235"/>
      <c r="I61" s="235"/>
      <c r="J61" s="235"/>
      <c r="K61" s="235"/>
      <c r="L61" s="229"/>
      <c r="M61" s="37">
        <v>1</v>
      </c>
      <c r="N61" s="27"/>
      <c r="O61" s="28">
        <f t="shared" si="8"/>
        <v>0</v>
      </c>
      <c r="P61" s="43">
        <f t="shared" si="9"/>
        <v>0</v>
      </c>
      <c r="Q61" s="36"/>
      <c r="R61" s="27"/>
    </row>
    <row r="62" spans="1:18" ht="39.6" x14ac:dyDescent="0.3">
      <c r="A62" s="3" t="str">
        <f>Autovalutazione!A62</f>
        <v>1.5.6.</v>
      </c>
      <c r="B62" s="6" t="str">
        <f>Autovalutazione!C62</f>
        <v>In caso di mancato raggiungimento degli obiettivi si traggono le giuste conseguenze e si applicano le necessarie misure correttive? Se sì, quali conseguenze?</v>
      </c>
      <c r="C62" s="38">
        <f>IF(ISBLANK(Autovalutazione!D62),0,1)</f>
        <v>0</v>
      </c>
      <c r="D62" s="293" t="str">
        <f>IF(AND(Autovalutazione!D62="",Autovalutazione!E62=""),"*","")</f>
        <v>*</v>
      </c>
      <c r="E62" s="39" t="str">
        <f>IF(ISBLANK(Autovalutazione!F62),"",Autovalutazione!F62)</f>
        <v/>
      </c>
      <c r="F62" s="235"/>
      <c r="G62" s="235"/>
      <c r="H62" s="235"/>
      <c r="I62" s="235"/>
      <c r="J62" s="235"/>
      <c r="K62" s="235"/>
      <c r="L62" s="229"/>
      <c r="M62" s="37">
        <v>3</v>
      </c>
      <c r="N62" s="27"/>
      <c r="O62" s="28">
        <f t="shared" si="8"/>
        <v>0</v>
      </c>
      <c r="P62" s="43">
        <f t="shared" si="9"/>
        <v>0</v>
      </c>
      <c r="Q62" s="36"/>
      <c r="R62" s="27"/>
    </row>
    <row r="63" spans="1:18" ht="39.6" x14ac:dyDescent="0.3">
      <c r="A63" s="3" t="str">
        <f>Autovalutazione!A63</f>
        <v>1.5.7.</v>
      </c>
      <c r="B63" s="6" t="str">
        <f>Autovalutazione!C63</f>
        <v>Avete una strategia per raggiungere gli obiettivi di sicurezza prefissi? (ad es. misure a medio termine, futuri trend, requisiti e aspettative di parti interessate) Se sì, quale?</v>
      </c>
      <c r="C63" s="38">
        <f>IF(ISBLANK(Autovalutazione!D63),0,1)</f>
        <v>0</v>
      </c>
      <c r="D63" s="293" t="str">
        <f>IF(AND(Autovalutazione!D63="",Autovalutazione!E63=""),"*","")</f>
        <v>*</v>
      </c>
      <c r="E63" s="39" t="str">
        <f>IF(ISBLANK(Autovalutazione!F63),"",Autovalutazione!F63)</f>
        <v/>
      </c>
      <c r="F63" s="235"/>
      <c r="G63" s="235"/>
      <c r="H63" s="235"/>
      <c r="I63" s="235"/>
      <c r="J63" s="235"/>
      <c r="K63" s="235"/>
      <c r="L63" s="229"/>
      <c r="M63" s="37">
        <v>2</v>
      </c>
      <c r="N63" s="27"/>
      <c r="O63" s="28">
        <f t="shared" si="8"/>
        <v>0</v>
      </c>
      <c r="P63" s="43">
        <f t="shared" si="9"/>
        <v>0</v>
      </c>
      <c r="Q63" s="36"/>
      <c r="R63" s="58"/>
    </row>
    <row r="64" spans="1:18" x14ac:dyDescent="0.3">
      <c r="A64" s="7" t="str">
        <f>Autovalutazione!A65</f>
        <v>2.</v>
      </c>
      <c r="B64" s="7" t="str">
        <f>Autovalutazione!B65</f>
        <v>Organizzazione</v>
      </c>
      <c r="C64" s="30">
        <f>O64/N64</f>
        <v>0</v>
      </c>
      <c r="D64" s="18"/>
      <c r="E64" s="18"/>
      <c r="F64" s="18"/>
      <c r="G64" s="18"/>
      <c r="H64" s="18"/>
      <c r="I64" s="18"/>
      <c r="J64" s="18"/>
      <c r="K64" s="18"/>
      <c r="L64" s="231">
        <f>P64/N64</f>
        <v>0</v>
      </c>
      <c r="M64" s="5"/>
      <c r="N64" s="5">
        <f>SUM(M65,M106,M127)</f>
        <v>7</v>
      </c>
      <c r="O64" s="48">
        <f>SUM(Q65,Q106,Q127)</f>
        <v>0</v>
      </c>
      <c r="P64" s="48">
        <f>SUM(R65,R106,R127)</f>
        <v>0</v>
      </c>
      <c r="Q64" s="35"/>
      <c r="R64" s="35"/>
    </row>
    <row r="65" spans="1:18" x14ac:dyDescent="0.3">
      <c r="A65" s="19" t="str">
        <f>Autovalutazione!A67</f>
        <v>2.1.</v>
      </c>
      <c r="B65" s="20" t="str">
        <f>Autovalutazione!B67</f>
        <v>Organizzazione aziendale</v>
      </c>
      <c r="C65" s="21">
        <f>O65/N65</f>
        <v>0</v>
      </c>
      <c r="D65" s="23" t="str">
        <f>IF(ISBLANK(Autovalutazione!E67),"",Autovalutazione!E67)</f>
        <v/>
      </c>
      <c r="E65" s="23"/>
      <c r="F65" s="232"/>
      <c r="G65" s="232"/>
      <c r="H65" s="232"/>
      <c r="I65" s="232"/>
      <c r="J65" s="232"/>
      <c r="K65" s="232"/>
      <c r="L65" s="50">
        <f>P65/N65</f>
        <v>0</v>
      </c>
      <c r="M65" s="23">
        <v>3</v>
      </c>
      <c r="N65" s="22">
        <f>SUM(M66,M73,M91,M103)</f>
        <v>7</v>
      </c>
      <c r="O65" s="24">
        <f>SUM(Q66,Q73,Q91,Q103)</f>
        <v>0</v>
      </c>
      <c r="P65" s="24">
        <f>SUM(R66,R73,R91,R103)</f>
        <v>0</v>
      </c>
      <c r="Q65" s="52">
        <f>O65/$N65*$M65</f>
        <v>0</v>
      </c>
      <c r="R65" s="52">
        <f>P65/$N65*$M65</f>
        <v>0</v>
      </c>
    </row>
    <row r="66" spans="1:18" x14ac:dyDescent="0.3">
      <c r="A66" s="23" t="str">
        <f>Autovalutazione!A68</f>
        <v>2.1.1</v>
      </c>
      <c r="B66" s="23" t="str">
        <f>Autovalutazione!C68</f>
        <v>Organisationsform</v>
      </c>
      <c r="C66" s="21">
        <f>O66/N66</f>
        <v>0</v>
      </c>
      <c r="D66" s="23" t="str">
        <f>IF(ISBLANK(Autovalutazione!E68),"",Autovalutazione!E68)</f>
        <v/>
      </c>
      <c r="E66" s="23"/>
      <c r="F66" s="232"/>
      <c r="G66" s="232"/>
      <c r="H66" s="232"/>
      <c r="I66" s="232"/>
      <c r="J66" s="232"/>
      <c r="K66" s="232"/>
      <c r="L66" s="50">
        <f>P66/N66</f>
        <v>0</v>
      </c>
      <c r="M66" s="23">
        <v>1</v>
      </c>
      <c r="N66" s="41">
        <f>MAX(M67:M72)</f>
        <v>1</v>
      </c>
      <c r="O66" s="55">
        <f>MAX(O67:O72)</f>
        <v>0</v>
      </c>
      <c r="P66" s="55">
        <f>MAX(P67:P72)</f>
        <v>0</v>
      </c>
      <c r="Q66" s="52">
        <f>O66/N66*M66</f>
        <v>0</v>
      </c>
      <c r="R66" s="52">
        <f>P66/N66*$M66</f>
        <v>0</v>
      </c>
    </row>
    <row r="67" spans="1:18" ht="38.25" customHeight="1" x14ac:dyDescent="0.3">
      <c r="A67" s="3" t="str">
        <f>Autovalutazione!A69</f>
        <v>2.1.1.1.a</v>
      </c>
      <c r="B67" s="6" t="str">
        <f>Autovalutazione!C69</f>
        <v>Che tipo di organizzazione presenta la vostra azienda:
Struttura in base alla linea?</v>
      </c>
      <c r="C67" s="38">
        <f>IF(ISBLANK(Autovalutazione!D69),0,1)</f>
        <v>0</v>
      </c>
      <c r="D67" s="293" t="str">
        <f>IF(AND(Autovalutazione!D69="",Autovalutazione!E69=""),"*","")</f>
        <v>*</v>
      </c>
      <c r="E67" s="39" t="str">
        <f>IF(ISBLANK(Autovalutazione!F69),"",Autovalutazione!F69)</f>
        <v/>
      </c>
      <c r="F67" s="235"/>
      <c r="G67" s="235"/>
      <c r="H67" s="235"/>
      <c r="I67" s="235"/>
      <c r="J67" s="235"/>
      <c r="K67" s="235"/>
      <c r="L67" s="229"/>
      <c r="M67" s="37">
        <v>1</v>
      </c>
      <c r="N67" s="27"/>
      <c r="O67" s="28">
        <f t="shared" ref="O67:O72" si="10">C67*M67</f>
        <v>0</v>
      </c>
      <c r="P67" s="43">
        <f t="shared" ref="P67:P71" si="11">L67*M67</f>
        <v>0</v>
      </c>
      <c r="Q67" s="36"/>
      <c r="R67" s="27"/>
    </row>
    <row r="68" spans="1:18" x14ac:dyDescent="0.3">
      <c r="A68" s="3" t="str">
        <f>Autovalutazione!A70</f>
        <v>2.1.1.2.b</v>
      </c>
      <c r="B68" s="6" t="str">
        <f>Autovalutazione!C70</f>
        <v>Struttura linea-staff?</v>
      </c>
      <c r="C68" s="38">
        <f>IF(ISBLANK(Autovalutazione!D70),0,1)</f>
        <v>0</v>
      </c>
      <c r="D68" s="293" t="str">
        <f>IF(AND(Autovalutazione!D70="",Autovalutazione!E70=""),"*","")</f>
        <v>*</v>
      </c>
      <c r="E68" s="39" t="str">
        <f>IF(ISBLANK(Autovalutazione!F70),"",Autovalutazione!F70)</f>
        <v/>
      </c>
      <c r="F68" s="235"/>
      <c r="G68" s="235"/>
      <c r="H68" s="235"/>
      <c r="I68" s="235"/>
      <c r="J68" s="235"/>
      <c r="K68" s="235"/>
      <c r="L68" s="229"/>
      <c r="M68" s="37">
        <v>1</v>
      </c>
      <c r="N68" s="27"/>
      <c r="O68" s="28">
        <f t="shared" si="10"/>
        <v>0</v>
      </c>
      <c r="P68" s="43">
        <f t="shared" si="11"/>
        <v>0</v>
      </c>
      <c r="Q68" s="36"/>
      <c r="R68" s="27"/>
    </row>
    <row r="69" spans="1:18" x14ac:dyDescent="0.3">
      <c r="A69" s="3" t="str">
        <f>Autovalutazione!A71</f>
        <v>2.1.1.2.c</v>
      </c>
      <c r="B69" s="6" t="str">
        <f>Autovalutazione!C71</f>
        <v>Struttura funzionale?</v>
      </c>
      <c r="C69" s="38">
        <f>IF(ISBLANK(Autovalutazione!D71),0,1)</f>
        <v>0</v>
      </c>
      <c r="D69" s="293" t="str">
        <f>IF(AND(Autovalutazione!D71="",Autovalutazione!E71=""),"*","")</f>
        <v>*</v>
      </c>
      <c r="E69" s="39" t="str">
        <f>IF(ISBLANK(Autovalutazione!F71),"",Autovalutazione!F71)</f>
        <v/>
      </c>
      <c r="F69" s="235"/>
      <c r="G69" s="235"/>
      <c r="H69" s="235"/>
      <c r="I69" s="235"/>
      <c r="J69" s="235"/>
      <c r="K69" s="235"/>
      <c r="L69" s="229"/>
      <c r="M69" s="37">
        <v>1</v>
      </c>
      <c r="N69" s="27"/>
      <c r="O69" s="28">
        <f t="shared" si="10"/>
        <v>0</v>
      </c>
      <c r="P69" s="43">
        <f t="shared" si="11"/>
        <v>0</v>
      </c>
      <c r="Q69" s="36"/>
      <c r="R69" s="27"/>
    </row>
    <row r="70" spans="1:18" x14ac:dyDescent="0.3">
      <c r="A70" s="3" t="str">
        <f>Autovalutazione!A72</f>
        <v>2.1.1.2.d</v>
      </c>
      <c r="B70" s="6" t="str">
        <f>Autovalutazione!C72</f>
        <v>Struttura a matrice?</v>
      </c>
      <c r="C70" s="38">
        <f>IF(ISBLANK(Autovalutazione!D72),0,1)</f>
        <v>0</v>
      </c>
      <c r="D70" s="293" t="str">
        <f>IF(AND(Autovalutazione!D72="",Autovalutazione!E72=""),"*","")</f>
        <v>*</v>
      </c>
      <c r="E70" s="39" t="str">
        <f>IF(ISBLANK(Autovalutazione!F72),"",Autovalutazione!F72)</f>
        <v/>
      </c>
      <c r="F70" s="235"/>
      <c r="G70" s="235"/>
      <c r="H70" s="235"/>
      <c r="I70" s="235"/>
      <c r="J70" s="235"/>
      <c r="K70" s="235"/>
      <c r="L70" s="229"/>
      <c r="M70" s="37">
        <v>1</v>
      </c>
      <c r="N70" s="27"/>
      <c r="O70" s="28">
        <f t="shared" si="10"/>
        <v>0</v>
      </c>
      <c r="P70" s="43">
        <f t="shared" si="11"/>
        <v>0</v>
      </c>
      <c r="Q70" s="36"/>
      <c r="R70" s="27"/>
    </row>
    <row r="71" spans="1:18" x14ac:dyDescent="0.3">
      <c r="A71" s="3" t="str">
        <f>Autovalutazione!A73</f>
        <v>2.1.1.2.e</v>
      </c>
      <c r="B71" s="6" t="str">
        <f>Autovalutazione!C73</f>
        <v>Struttura per progetto?</v>
      </c>
      <c r="C71" s="38">
        <f>IF(ISBLANK(Autovalutazione!D73),0,1)</f>
        <v>0</v>
      </c>
      <c r="D71" s="293" t="str">
        <f>IF(AND(Autovalutazione!D73="",Autovalutazione!E73=""),"*","")</f>
        <v>*</v>
      </c>
      <c r="E71" s="39" t="str">
        <f>IF(ISBLANK(Autovalutazione!F73),"",Autovalutazione!F73)</f>
        <v/>
      </c>
      <c r="F71" s="237"/>
      <c r="G71" s="237"/>
      <c r="H71" s="237"/>
      <c r="I71" s="237"/>
      <c r="J71" s="237"/>
      <c r="K71" s="237"/>
      <c r="L71" s="229"/>
      <c r="M71" s="37">
        <v>1</v>
      </c>
      <c r="N71" s="27"/>
      <c r="O71" s="28">
        <f t="shared" si="10"/>
        <v>0</v>
      </c>
      <c r="P71" s="43">
        <f t="shared" si="11"/>
        <v>0</v>
      </c>
      <c r="Q71" s="36"/>
      <c r="R71" s="27"/>
    </row>
    <row r="72" spans="1:18" x14ac:dyDescent="0.3">
      <c r="A72" s="3" t="str">
        <f>Autovalutazione!A74</f>
        <v>2.1.1.2.f</v>
      </c>
      <c r="B72" s="6" t="str">
        <f>Autovalutazione!C74</f>
        <v>Altro? Specificare</v>
      </c>
      <c r="C72" s="38">
        <f>IF(ISBLANK(Autovalutazione!D74),0,1)</f>
        <v>0</v>
      </c>
      <c r="D72" s="293" t="str">
        <f>IF(AND(Autovalutazione!D74="",Autovalutazione!E74=""),"*","")</f>
        <v>*</v>
      </c>
      <c r="E72" s="39" t="str">
        <f>IF(ISBLANK(Autovalutazione!F74),"",Autovalutazione!F74)</f>
        <v/>
      </c>
      <c r="F72" s="237"/>
      <c r="G72" s="237"/>
      <c r="H72" s="237"/>
      <c r="I72" s="237"/>
      <c r="J72" s="237"/>
      <c r="K72" s="237"/>
      <c r="L72" s="229"/>
      <c r="M72" s="37">
        <v>1</v>
      </c>
      <c r="N72" s="27"/>
      <c r="O72" s="28">
        <f t="shared" si="10"/>
        <v>0</v>
      </c>
      <c r="P72" s="43">
        <f>L72*M72</f>
        <v>0</v>
      </c>
      <c r="Q72" s="36"/>
      <c r="R72" s="36"/>
    </row>
    <row r="73" spans="1:18" x14ac:dyDescent="0.3">
      <c r="A73" s="23" t="str">
        <f>Autovalutazione!A75</f>
        <v>2.1.2.</v>
      </c>
      <c r="B73" s="23" t="str">
        <f>Autovalutazione!C75</f>
        <v xml:space="preserve"> Compiti, competenze, responsabilità</v>
      </c>
      <c r="C73" s="21">
        <f>O73/N73</f>
        <v>0</v>
      </c>
      <c r="D73" s="23" t="str">
        <f>IF(ISBLANK(Autovalutazione!E75),"",Autovalutazione!E75)</f>
        <v/>
      </c>
      <c r="E73" s="23" t="str">
        <f>IF(ISBLANK(Autovalutazione!F75),"",Autovalutazione!F75)</f>
        <v/>
      </c>
      <c r="F73" s="232"/>
      <c r="G73" s="232"/>
      <c r="H73" s="232"/>
      <c r="I73" s="232"/>
      <c r="J73" s="232"/>
      <c r="K73" s="232"/>
      <c r="L73" s="50">
        <f>P73/N73</f>
        <v>0</v>
      </c>
      <c r="M73" s="23">
        <v>3</v>
      </c>
      <c r="N73" s="23">
        <f>SUM(M74:M90)</f>
        <v>21</v>
      </c>
      <c r="O73" s="56">
        <f>SUM(O74:O90)</f>
        <v>0</v>
      </c>
      <c r="P73" s="56">
        <f>SUM(P74:P90)</f>
        <v>0</v>
      </c>
      <c r="Q73" s="52">
        <f>O73/$N73*$M73</f>
        <v>0</v>
      </c>
      <c r="R73" s="52">
        <f>P73/$N73*$M73</f>
        <v>0</v>
      </c>
    </row>
    <row r="74" spans="1:18" ht="26.4" x14ac:dyDescent="0.3">
      <c r="A74" s="3" t="str">
        <f>Autovalutazione!A76</f>
        <v>2.1.2.1.</v>
      </c>
      <c r="B74" s="6" t="str">
        <f>Autovalutazione!C76</f>
        <v>Sono state messe per iscritto le competenze e le responsabilità in materia di sicurezza e tutela della salute?</v>
      </c>
      <c r="C74" s="38">
        <f>IF(ISBLANK(Autovalutazione!D76),0,1)</f>
        <v>0</v>
      </c>
      <c r="D74" s="293" t="str">
        <f>IF(AND(Autovalutazione!D76="",Autovalutazione!E76=""),"*","")</f>
        <v>*</v>
      </c>
      <c r="E74" s="39" t="str">
        <f>IF(ISBLANK(Autovalutazione!F76),"",Autovalutazione!F76)</f>
        <v/>
      </c>
      <c r="F74" s="237"/>
      <c r="G74" s="237"/>
      <c r="H74" s="237"/>
      <c r="I74" s="237"/>
      <c r="J74" s="237"/>
      <c r="K74" s="237"/>
      <c r="L74" s="229"/>
      <c r="M74" s="37">
        <v>4</v>
      </c>
      <c r="N74" s="27"/>
      <c r="O74" s="28">
        <f t="shared" ref="O74:O90" si="12">C74*M74</f>
        <v>0</v>
      </c>
      <c r="P74" s="43">
        <f t="shared" ref="P74:P90" si="13">L74*M74</f>
        <v>0</v>
      </c>
      <c r="Q74" s="36"/>
      <c r="R74" s="27"/>
    </row>
    <row r="75" spans="1:18" ht="39.6" x14ac:dyDescent="0.3">
      <c r="A75" s="3" t="str">
        <f>Autovalutazione!A77</f>
        <v>2.1.2.2.a</v>
      </c>
      <c r="B75" s="6" t="str">
        <f>Autovalutazione!C77</f>
        <v>L'azienda dispone dei seguenti documenti organizzativi come;
Descrizioni dei posti di lavoro?</v>
      </c>
      <c r="C75" s="38">
        <f>IF(ISBLANK(Autovalutazione!D77),0,1)</f>
        <v>0</v>
      </c>
      <c r="D75" s="293" t="str">
        <f>IF(AND(Autovalutazione!D77="",Autovalutazione!E77=""),"*","")</f>
        <v>*</v>
      </c>
      <c r="E75" s="39" t="str">
        <f>IF(ISBLANK(Autovalutazione!F77),"",Autovalutazione!F77)</f>
        <v/>
      </c>
      <c r="F75" s="237"/>
      <c r="G75" s="237"/>
      <c r="H75" s="237"/>
      <c r="I75" s="237"/>
      <c r="J75" s="237"/>
      <c r="K75" s="237"/>
      <c r="L75" s="229"/>
      <c r="M75" s="37">
        <v>2</v>
      </c>
      <c r="N75" s="27"/>
      <c r="O75" s="28">
        <f t="shared" si="12"/>
        <v>0</v>
      </c>
      <c r="P75" s="43">
        <f t="shared" si="13"/>
        <v>0</v>
      </c>
      <c r="Q75" s="36"/>
      <c r="R75" s="27"/>
    </row>
    <row r="76" spans="1:18" x14ac:dyDescent="0.3">
      <c r="A76" s="3" t="str">
        <f>Autovalutazione!A78</f>
        <v>2.1.2.2.b</v>
      </c>
      <c r="B76" s="6" t="str">
        <f>Autovalutazione!C78</f>
        <v>Mansionari?</v>
      </c>
      <c r="C76" s="38">
        <f>IF(ISBLANK(Autovalutazione!D78),0,1)</f>
        <v>0</v>
      </c>
      <c r="D76" s="293" t="str">
        <f>IF(AND(Autovalutazione!D78="",Autovalutazione!E78=""),"*","")</f>
        <v>*</v>
      </c>
      <c r="E76" s="39" t="str">
        <f>IF(ISBLANK(Autovalutazione!F78),"",Autovalutazione!F78)</f>
        <v/>
      </c>
      <c r="F76" s="237"/>
      <c r="G76" s="237"/>
      <c r="H76" s="237"/>
      <c r="I76" s="237"/>
      <c r="J76" s="237"/>
      <c r="K76" s="237"/>
      <c r="L76" s="229"/>
      <c r="M76" s="37">
        <v>1</v>
      </c>
      <c r="N76" s="27"/>
      <c r="O76" s="28">
        <f t="shared" si="12"/>
        <v>0</v>
      </c>
      <c r="P76" s="43">
        <f t="shared" si="13"/>
        <v>0</v>
      </c>
      <c r="Q76" s="36"/>
      <c r="R76" s="27"/>
    </row>
    <row r="77" spans="1:18" x14ac:dyDescent="0.3">
      <c r="A77" s="3" t="str">
        <f>Autovalutazione!A79</f>
        <v>2.1.2.2.c</v>
      </c>
      <c r="B77" s="6" t="str">
        <f>Autovalutazione!C79</f>
        <v>Diagrammi delle funzioni?</v>
      </c>
      <c r="C77" s="38">
        <f>IF(ISBLANK(Autovalutazione!D79),0,1)</f>
        <v>0</v>
      </c>
      <c r="D77" s="293" t="str">
        <f>IF(AND(Autovalutazione!D79="",Autovalutazione!E79=""),"*","")</f>
        <v>*</v>
      </c>
      <c r="E77" s="39" t="str">
        <f>IF(ISBLANK(Autovalutazione!F79),"",Autovalutazione!F79)</f>
        <v/>
      </c>
      <c r="F77" s="237"/>
      <c r="G77" s="237"/>
      <c r="H77" s="237"/>
      <c r="I77" s="237"/>
      <c r="J77" s="237"/>
      <c r="K77" s="237"/>
      <c r="L77" s="229"/>
      <c r="M77" s="37">
        <v>0</v>
      </c>
      <c r="N77" s="27"/>
      <c r="O77" s="28">
        <f t="shared" si="12"/>
        <v>0</v>
      </c>
      <c r="P77" s="43">
        <f t="shared" si="13"/>
        <v>0</v>
      </c>
      <c r="Q77" s="36"/>
      <c r="R77" s="27"/>
    </row>
    <row r="78" spans="1:18" x14ac:dyDescent="0.3">
      <c r="A78" s="3" t="str">
        <f>Autovalutazione!A80</f>
        <v>2.1.2.2.d</v>
      </c>
      <c r="B78" s="6" t="str">
        <f>Autovalutazione!C80</f>
        <v>Regolamenti?</v>
      </c>
      <c r="C78" s="38">
        <f>IF(ISBLANK(Autovalutazione!D80),0,1)</f>
        <v>0</v>
      </c>
      <c r="D78" s="293" t="str">
        <f>IF(AND(Autovalutazione!D80="",Autovalutazione!E80=""),"*","")</f>
        <v>*</v>
      </c>
      <c r="E78" s="39" t="str">
        <f>IF(ISBLANK(Autovalutazione!F80),"",Autovalutazione!F80)</f>
        <v/>
      </c>
      <c r="F78" s="237"/>
      <c r="G78" s="237"/>
      <c r="H78" s="237"/>
      <c r="I78" s="237"/>
      <c r="J78" s="237"/>
      <c r="K78" s="237"/>
      <c r="L78" s="229"/>
      <c r="M78" s="37">
        <v>2</v>
      </c>
      <c r="N78" s="27"/>
      <c r="O78" s="28">
        <f t="shared" si="12"/>
        <v>0</v>
      </c>
      <c r="P78" s="43">
        <f t="shared" si="13"/>
        <v>0</v>
      </c>
      <c r="Q78" s="36"/>
      <c r="R78" s="27"/>
    </row>
    <row r="79" spans="1:18" x14ac:dyDescent="0.3">
      <c r="A79" s="3" t="str">
        <f>Autovalutazione!A81</f>
        <v>2.1.2.2.e</v>
      </c>
      <c r="B79" s="6" t="str">
        <f>Autovalutazione!C81</f>
        <v>Contratti individuali di lavoro?</v>
      </c>
      <c r="C79" s="38">
        <f>IF(ISBLANK(Autovalutazione!D81),0,1)</f>
        <v>0</v>
      </c>
      <c r="D79" s="293" t="str">
        <f>IF(AND(Autovalutazione!D81="",Autovalutazione!E81=""),"*","")</f>
        <v>*</v>
      </c>
      <c r="E79" s="39" t="str">
        <f>IF(ISBLANK(Autovalutazione!F81),"",Autovalutazione!F81)</f>
        <v/>
      </c>
      <c r="F79" s="237"/>
      <c r="G79" s="237"/>
      <c r="H79" s="237"/>
      <c r="I79" s="237"/>
      <c r="J79" s="237"/>
      <c r="K79" s="237"/>
      <c r="L79" s="229"/>
      <c r="M79" s="37">
        <v>2</v>
      </c>
      <c r="N79" s="27"/>
      <c r="O79" s="28">
        <f t="shared" si="12"/>
        <v>0</v>
      </c>
      <c r="P79" s="43">
        <f t="shared" si="13"/>
        <v>0</v>
      </c>
      <c r="Q79" s="36"/>
      <c r="R79" s="27"/>
    </row>
    <row r="80" spans="1:18" x14ac:dyDescent="0.3">
      <c r="A80" s="3" t="str">
        <f>Autovalutazione!A82</f>
        <v>2.1.2.2.f</v>
      </c>
      <c r="B80" s="6" t="str">
        <f>Autovalutazione!C82</f>
        <v>Contratti collettivi?</v>
      </c>
      <c r="C80" s="38">
        <f>IF(ISBLANK(Autovalutazione!D82),0,1)</f>
        <v>0</v>
      </c>
      <c r="D80" s="293" t="str">
        <f>IF(AND(Autovalutazione!D82="",Autovalutazione!E82=""),"*","")</f>
        <v>*</v>
      </c>
      <c r="E80" s="39" t="str">
        <f>IF(ISBLANK(Autovalutazione!F82),"",Autovalutazione!F82)</f>
        <v/>
      </c>
      <c r="F80" s="237"/>
      <c r="G80" s="237"/>
      <c r="H80" s="237"/>
      <c r="I80" s="237"/>
      <c r="J80" s="237"/>
      <c r="K80" s="237"/>
      <c r="L80" s="229"/>
      <c r="M80" s="37">
        <v>0</v>
      </c>
      <c r="N80" s="27"/>
      <c r="O80" s="28">
        <f t="shared" si="12"/>
        <v>0</v>
      </c>
      <c r="P80" s="43">
        <f t="shared" si="13"/>
        <v>0</v>
      </c>
      <c r="Q80" s="36"/>
      <c r="R80" s="27"/>
    </row>
    <row r="81" spans="1:18" x14ac:dyDescent="0.3">
      <c r="A81" s="3" t="str">
        <f>Autovalutazione!A83</f>
        <v>2.1.2.2.g</v>
      </c>
      <c r="B81" s="6" t="str">
        <f>Autovalutazione!C83</f>
        <v>Contratti d'opera?</v>
      </c>
      <c r="C81" s="38">
        <f>IF(ISBLANK(Autovalutazione!D83),0,1)</f>
        <v>0</v>
      </c>
      <c r="D81" s="293" t="str">
        <f>IF(AND(Autovalutazione!D83="",Autovalutazione!E83=""),"*","")</f>
        <v>*</v>
      </c>
      <c r="E81" s="39" t="str">
        <f>IF(ISBLANK(Autovalutazione!F83),"",Autovalutazione!F83)</f>
        <v/>
      </c>
      <c r="F81" s="237"/>
      <c r="G81" s="237"/>
      <c r="H81" s="237"/>
      <c r="I81" s="237"/>
      <c r="J81" s="237"/>
      <c r="K81" s="237"/>
      <c r="L81" s="229"/>
      <c r="M81" s="37">
        <v>1</v>
      </c>
      <c r="N81" s="27"/>
      <c r="O81" s="28">
        <f t="shared" si="12"/>
        <v>0</v>
      </c>
      <c r="P81" s="43">
        <f t="shared" si="13"/>
        <v>0</v>
      </c>
      <c r="Q81" s="36"/>
      <c r="R81" s="27"/>
    </row>
    <row r="82" spans="1:18" x14ac:dyDescent="0.3">
      <c r="A82" s="3" t="str">
        <f>Autovalutazione!A84</f>
        <v>2.1.2.2.h</v>
      </c>
      <c r="B82" s="6" t="str">
        <f>Autovalutazione!C84</f>
        <v>Altro? Specificare</v>
      </c>
      <c r="C82" s="38">
        <f>IF(ISBLANK(Autovalutazione!D84),0,1)</f>
        <v>0</v>
      </c>
      <c r="D82" s="293" t="str">
        <f>IF(AND(Autovalutazione!D84="",Autovalutazione!E84=""),"*","")</f>
        <v>*</v>
      </c>
      <c r="E82" s="39" t="str">
        <f>IF(ISBLANK(Autovalutazione!F84),"",Autovalutazione!F84)</f>
        <v/>
      </c>
      <c r="F82" s="237"/>
      <c r="G82" s="237"/>
      <c r="H82" s="237"/>
      <c r="I82" s="237"/>
      <c r="J82" s="237"/>
      <c r="K82" s="237"/>
      <c r="L82" s="229"/>
      <c r="M82" s="37">
        <v>0</v>
      </c>
      <c r="N82" s="27"/>
      <c r="O82" s="28">
        <f t="shared" si="12"/>
        <v>0</v>
      </c>
      <c r="P82" s="43">
        <f t="shared" si="13"/>
        <v>0</v>
      </c>
      <c r="Q82" s="36"/>
      <c r="R82" s="27"/>
    </row>
    <row r="83" spans="1:18" ht="52.8" x14ac:dyDescent="0.3">
      <c r="A83" s="3" t="str">
        <f>Autovalutazione!A85</f>
        <v>2.1.2.3.a</v>
      </c>
      <c r="B83" s="6" t="str">
        <f>Autovalutazione!C85</f>
        <v>I compiti, le competenze e le responsabilità (diritti e doveri) in materia di sicurezza e salute sono parte integrante dei seguenti documenti?
Descrizioni dei posti di lavoro?</v>
      </c>
      <c r="C83" s="38">
        <f>IF(ISBLANK(Autovalutazione!D85),0,1)</f>
        <v>0</v>
      </c>
      <c r="D83" s="293" t="str">
        <f>IF(AND(Autovalutazione!D85="",Autovalutazione!E85=""),"*","")</f>
        <v>*</v>
      </c>
      <c r="E83" s="39" t="str">
        <f>IF(ISBLANK(Autovalutazione!F85),"",Autovalutazione!F85)</f>
        <v/>
      </c>
      <c r="F83" s="237"/>
      <c r="G83" s="237"/>
      <c r="H83" s="237"/>
      <c r="I83" s="237"/>
      <c r="J83" s="237"/>
      <c r="K83" s="237"/>
      <c r="L83" s="229"/>
      <c r="M83" s="37">
        <v>5</v>
      </c>
      <c r="N83" s="27"/>
      <c r="O83" s="28">
        <f t="shared" si="12"/>
        <v>0</v>
      </c>
      <c r="P83" s="43">
        <f t="shared" si="13"/>
        <v>0</v>
      </c>
      <c r="Q83" s="36"/>
      <c r="R83" s="27"/>
    </row>
    <row r="84" spans="1:18" x14ac:dyDescent="0.3">
      <c r="A84" s="3" t="str">
        <f>Autovalutazione!A86</f>
        <v>2.1.2.3.b</v>
      </c>
      <c r="B84" s="6" t="str">
        <f>Autovalutazione!C86</f>
        <v>Mansionari?</v>
      </c>
      <c r="C84" s="38">
        <f>IF(ISBLANK(Autovalutazione!D86),0,1)</f>
        <v>0</v>
      </c>
      <c r="D84" s="293" t="str">
        <f>IF(AND(Autovalutazione!D86="",Autovalutazione!E86=""),"*","")</f>
        <v>*</v>
      </c>
      <c r="E84" s="39" t="str">
        <f>IF(ISBLANK(Autovalutazione!F86),"",Autovalutazione!F86)</f>
        <v/>
      </c>
      <c r="F84" s="237"/>
      <c r="G84" s="237"/>
      <c r="H84" s="237"/>
      <c r="I84" s="237"/>
      <c r="J84" s="237"/>
      <c r="K84" s="237"/>
      <c r="L84" s="229"/>
      <c r="M84" s="37">
        <v>1</v>
      </c>
      <c r="N84" s="27"/>
      <c r="O84" s="28">
        <f t="shared" si="12"/>
        <v>0</v>
      </c>
      <c r="P84" s="43">
        <f t="shared" si="13"/>
        <v>0</v>
      </c>
      <c r="Q84" s="36"/>
      <c r="R84" s="27"/>
    </row>
    <row r="85" spans="1:18" x14ac:dyDescent="0.3">
      <c r="A85" s="3" t="str">
        <f>Autovalutazione!A87</f>
        <v>2.1.2.3.c</v>
      </c>
      <c r="B85" s="6" t="str">
        <f>Autovalutazione!C87</f>
        <v>Diagrammi delle funzioni?</v>
      </c>
      <c r="C85" s="38">
        <f>IF(ISBLANK(Autovalutazione!D87),0,1)</f>
        <v>0</v>
      </c>
      <c r="D85" s="293" t="str">
        <f>IF(AND(Autovalutazione!D87="",Autovalutazione!E87=""),"*","")</f>
        <v>*</v>
      </c>
      <c r="E85" s="39" t="str">
        <f>IF(ISBLANK(Autovalutazione!F87),"",Autovalutazione!F87)</f>
        <v/>
      </c>
      <c r="F85" s="237"/>
      <c r="G85" s="237"/>
      <c r="H85" s="237"/>
      <c r="I85" s="237"/>
      <c r="J85" s="237"/>
      <c r="K85" s="237"/>
      <c r="L85" s="229"/>
      <c r="M85" s="37">
        <v>0</v>
      </c>
      <c r="N85" s="27"/>
      <c r="O85" s="28">
        <f t="shared" si="12"/>
        <v>0</v>
      </c>
      <c r="P85" s="43">
        <f t="shared" si="13"/>
        <v>0</v>
      </c>
      <c r="Q85" s="36"/>
      <c r="R85" s="36"/>
    </row>
    <row r="86" spans="1:18" x14ac:dyDescent="0.3">
      <c r="A86" s="3" t="str">
        <f>Autovalutazione!A88</f>
        <v>2.1.2.3.d</v>
      </c>
      <c r="B86" s="6" t="str">
        <f>Autovalutazione!C88</f>
        <v>Regolamenti?</v>
      </c>
      <c r="C86" s="38">
        <f>IF(ISBLANK(Autovalutazione!D88),0,1)</f>
        <v>0</v>
      </c>
      <c r="D86" s="293" t="str">
        <f>IF(AND(Autovalutazione!D88="",Autovalutazione!E88=""),"*","")</f>
        <v>*</v>
      </c>
      <c r="E86" s="39" t="str">
        <f>IF(ISBLANK(Autovalutazione!F88),"",Autovalutazione!F88)</f>
        <v/>
      </c>
      <c r="F86" s="235"/>
      <c r="G86" s="235"/>
      <c r="H86" s="235"/>
      <c r="I86" s="235"/>
      <c r="J86" s="235"/>
      <c r="K86" s="235"/>
      <c r="L86" s="229"/>
      <c r="M86" s="37">
        <v>2</v>
      </c>
      <c r="N86" s="27"/>
      <c r="O86" s="28">
        <f t="shared" si="12"/>
        <v>0</v>
      </c>
      <c r="P86" s="43">
        <f t="shared" si="13"/>
        <v>0</v>
      </c>
      <c r="Q86" s="36"/>
      <c r="R86" s="27"/>
    </row>
    <row r="87" spans="1:18" x14ac:dyDescent="0.3">
      <c r="A87" s="3" t="str">
        <f>Autovalutazione!A89</f>
        <v>2.1.2.3.e</v>
      </c>
      <c r="B87" s="6" t="str">
        <f>Autovalutazione!C89</f>
        <v>Contratti individuali di lavoro?</v>
      </c>
      <c r="C87" s="38">
        <f>IF(ISBLANK(Autovalutazione!D89),0,1)</f>
        <v>0</v>
      </c>
      <c r="D87" s="293" t="str">
        <f>IF(AND(Autovalutazione!D89="",Autovalutazione!E89=""),"*","")</f>
        <v>*</v>
      </c>
      <c r="E87" s="39" t="str">
        <f>IF(ISBLANK(Autovalutazione!F89),"",Autovalutazione!F89)</f>
        <v/>
      </c>
      <c r="F87" s="237"/>
      <c r="G87" s="237"/>
      <c r="H87" s="237"/>
      <c r="I87" s="237"/>
      <c r="J87" s="237"/>
      <c r="K87" s="237"/>
      <c r="L87" s="229"/>
      <c r="M87" s="37">
        <v>0</v>
      </c>
      <c r="N87" s="27"/>
      <c r="O87" s="28">
        <f t="shared" si="12"/>
        <v>0</v>
      </c>
      <c r="P87" s="43">
        <f t="shared" si="13"/>
        <v>0</v>
      </c>
      <c r="Q87" s="36"/>
      <c r="R87" s="27"/>
    </row>
    <row r="88" spans="1:18" x14ac:dyDescent="0.3">
      <c r="A88" s="3" t="str">
        <f>Autovalutazione!A90</f>
        <v>2.1.2.3.f</v>
      </c>
      <c r="B88" s="6" t="str">
        <f>Autovalutazione!C90</f>
        <v>Contratti collettivi?</v>
      </c>
      <c r="C88" s="38">
        <f>IF(ISBLANK(Autovalutazione!D90),0,1)</f>
        <v>0</v>
      </c>
      <c r="D88" s="293" t="str">
        <f>IF(AND(Autovalutazione!D90="",Autovalutazione!E90=""),"*","")</f>
        <v>*</v>
      </c>
      <c r="E88" s="39" t="str">
        <f>IF(ISBLANK(Autovalutazione!F90),"",Autovalutazione!F90)</f>
        <v/>
      </c>
      <c r="F88" s="235"/>
      <c r="G88" s="235"/>
      <c r="H88" s="235"/>
      <c r="I88" s="235"/>
      <c r="J88" s="235"/>
      <c r="K88" s="235"/>
      <c r="L88" s="229"/>
      <c r="M88" s="37">
        <v>0</v>
      </c>
      <c r="N88" s="27"/>
      <c r="O88" s="28">
        <f t="shared" si="12"/>
        <v>0</v>
      </c>
      <c r="P88" s="43">
        <f t="shared" si="13"/>
        <v>0</v>
      </c>
      <c r="Q88" s="36"/>
      <c r="R88" s="27"/>
    </row>
    <row r="89" spans="1:18" x14ac:dyDescent="0.3">
      <c r="A89" s="3" t="str">
        <f>Autovalutazione!A91</f>
        <v>2.1.2.3.g</v>
      </c>
      <c r="B89" s="6" t="str">
        <f>Autovalutazione!C91</f>
        <v>Contratti d'opera?</v>
      </c>
      <c r="C89" s="38">
        <f>IF(ISBLANK(Autovalutazione!D91),0,1)</f>
        <v>0</v>
      </c>
      <c r="D89" s="293" t="str">
        <f>IF(AND(Autovalutazione!D91="",Autovalutazione!E91=""),"*","")</f>
        <v>*</v>
      </c>
      <c r="E89" s="39" t="str">
        <f>IF(ISBLANK(Autovalutazione!F91),"",Autovalutazione!F91)</f>
        <v/>
      </c>
      <c r="F89" s="235"/>
      <c r="G89" s="235"/>
      <c r="H89" s="235"/>
      <c r="I89" s="235"/>
      <c r="J89" s="235"/>
      <c r="K89" s="235"/>
      <c r="L89" s="229"/>
      <c r="M89" s="37">
        <v>1</v>
      </c>
      <c r="N89" s="27"/>
      <c r="O89" s="28">
        <f t="shared" si="12"/>
        <v>0</v>
      </c>
      <c r="P89" s="43">
        <f t="shared" si="13"/>
        <v>0</v>
      </c>
      <c r="Q89" s="36"/>
      <c r="R89" s="27"/>
    </row>
    <row r="90" spans="1:18" x14ac:dyDescent="0.3">
      <c r="A90" s="3" t="str">
        <f>Autovalutazione!A92</f>
        <v>2.1.2.3.h</v>
      </c>
      <c r="B90" s="6" t="str">
        <f>Autovalutazione!C92</f>
        <v>Altri documenti organizzativi?Specificare</v>
      </c>
      <c r="C90" s="38">
        <f>IF(ISBLANK(Autovalutazione!D92),0,1)</f>
        <v>0</v>
      </c>
      <c r="D90" s="293" t="str">
        <f>IF(AND(Autovalutazione!D92="",Autovalutazione!E92=""),"*","")</f>
        <v>*</v>
      </c>
      <c r="E90" s="39" t="str">
        <f>IF(ISBLANK(Autovalutazione!F92),"",Autovalutazione!F92)</f>
        <v/>
      </c>
      <c r="F90" s="235"/>
      <c r="G90" s="235"/>
      <c r="H90" s="235"/>
      <c r="I90" s="235"/>
      <c r="J90" s="235"/>
      <c r="K90" s="235"/>
      <c r="L90" s="229"/>
      <c r="M90" s="37">
        <v>0</v>
      </c>
      <c r="N90" s="27"/>
      <c r="O90" s="28">
        <f t="shared" si="12"/>
        <v>0</v>
      </c>
      <c r="P90" s="43">
        <f t="shared" si="13"/>
        <v>0</v>
      </c>
      <c r="Q90" s="36"/>
      <c r="R90" s="27"/>
    </row>
    <row r="91" spans="1:18" x14ac:dyDescent="0.3">
      <c r="A91" s="23" t="str">
        <f>Autovalutazione!A93</f>
        <v>2.1.3.</v>
      </c>
      <c r="B91" s="23" t="str">
        <f>Autovalutazione!C93</f>
        <v>Pianificazione e organizzazione del lavoro</v>
      </c>
      <c r="C91" s="21">
        <f>O91/N91</f>
        <v>0</v>
      </c>
      <c r="D91" s="23" t="str">
        <f>IF(ISBLANK(Autovalutazione!E93),"",Autovalutazione!E93)</f>
        <v/>
      </c>
      <c r="E91" s="23" t="str">
        <f>IF(ISBLANK(Autovalutazione!F93),"",Autovalutazione!F93)</f>
        <v/>
      </c>
      <c r="F91" s="232"/>
      <c r="G91" s="232"/>
      <c r="H91" s="232"/>
      <c r="I91" s="232"/>
      <c r="J91" s="232"/>
      <c r="K91" s="232"/>
      <c r="L91" s="50">
        <f>P91/N91</f>
        <v>0</v>
      </c>
      <c r="M91" s="23">
        <v>2</v>
      </c>
      <c r="N91" s="23">
        <f>SUM(M92:M102)</f>
        <v>17</v>
      </c>
      <c r="O91" s="56">
        <f>SUM(O92:O102)</f>
        <v>0</v>
      </c>
      <c r="P91" s="56">
        <f>SUM(P92:P102)</f>
        <v>0</v>
      </c>
      <c r="Q91" s="52">
        <f>O91/$N91*$M91</f>
        <v>0</v>
      </c>
      <c r="R91" s="52">
        <f>P91/$N91*$M91</f>
        <v>0</v>
      </c>
    </row>
    <row r="92" spans="1:18" ht="39.6" x14ac:dyDescent="0.3">
      <c r="A92" s="3" t="str">
        <f>Autovalutazione!A94</f>
        <v>2.1.3.1.a</v>
      </c>
      <c r="B92" s="6" t="str">
        <f>Autovalutazione!C94</f>
        <v>Chi svolge la pianificazione, il calcolo, l'organizzazione delle mansioni? Indicare tra i soggetti sotto indicati: 
superiori di linea?</v>
      </c>
      <c r="C92" s="38">
        <f>IF(ISBLANK(Autovalutazione!D94),0,1)</f>
        <v>0</v>
      </c>
      <c r="D92" s="293" t="str">
        <f>IF(AND(Autovalutazione!D94="",Autovalutazione!E94=""),"*","")</f>
        <v>*</v>
      </c>
      <c r="E92" s="39" t="str">
        <f>IF(ISBLANK(Autovalutazione!F94),"",Autovalutazione!F94)</f>
        <v/>
      </c>
      <c r="F92" s="235"/>
      <c r="G92" s="235"/>
      <c r="H92" s="235"/>
      <c r="I92" s="235"/>
      <c r="J92" s="235"/>
      <c r="K92" s="235"/>
      <c r="L92" s="229"/>
      <c r="M92" s="37">
        <v>3</v>
      </c>
      <c r="N92" s="27"/>
      <c r="O92" s="28">
        <f t="shared" ref="O92:O102" si="14">C92*M92</f>
        <v>0</v>
      </c>
      <c r="P92" s="43">
        <f t="shared" ref="P92:P102" si="15">L92*M92</f>
        <v>0</v>
      </c>
      <c r="Q92" s="36"/>
      <c r="R92" s="27"/>
    </row>
    <row r="93" spans="1:18" x14ac:dyDescent="0.3">
      <c r="A93" s="3" t="str">
        <f>Autovalutazione!A95</f>
        <v>2.1.3.1.b</v>
      </c>
      <c r="B93" s="6" t="str">
        <f>Autovalutazione!C95</f>
        <v>team di progetto?</v>
      </c>
      <c r="C93" s="38">
        <f>IF(ISBLANK(Autovalutazione!D95),0,1)</f>
        <v>0</v>
      </c>
      <c r="D93" s="293" t="str">
        <f>IF(AND(Autovalutazione!D95="",Autovalutazione!E95=""),"*","")</f>
        <v>*</v>
      </c>
      <c r="E93" s="39" t="str">
        <f>IF(ISBLANK(Autovalutazione!F95),"",Autovalutazione!F95)</f>
        <v/>
      </c>
      <c r="F93" s="235"/>
      <c r="G93" s="235"/>
      <c r="H93" s="235"/>
      <c r="I93" s="235"/>
      <c r="J93" s="235"/>
      <c r="K93" s="235"/>
      <c r="L93" s="229"/>
      <c r="M93" s="37">
        <v>0</v>
      </c>
      <c r="N93" s="27"/>
      <c r="O93" s="28">
        <f t="shared" si="14"/>
        <v>0</v>
      </c>
      <c r="P93" s="43">
        <f t="shared" si="15"/>
        <v>0</v>
      </c>
      <c r="Q93" s="36"/>
      <c r="R93" s="27"/>
    </row>
    <row r="94" spans="1:18" x14ac:dyDescent="0.3">
      <c r="A94" s="3" t="str">
        <f>Autovalutazione!A96</f>
        <v>2.1.3.1.c</v>
      </c>
      <c r="B94" s="6" t="str">
        <f>Autovalutazione!C96</f>
        <v>unità organizzativa creata ad hoc (preparazione dei lavori)</v>
      </c>
      <c r="C94" s="38">
        <f>IF(ISBLANK(Autovalutazione!D96),0,1)</f>
        <v>0</v>
      </c>
      <c r="D94" s="293" t="str">
        <f>IF(AND(Autovalutazione!D96="",Autovalutazione!E96=""),"*","")</f>
        <v>*</v>
      </c>
      <c r="E94" s="39" t="str">
        <f>IF(ISBLANK(Autovalutazione!F96),"",Autovalutazione!F96)</f>
        <v/>
      </c>
      <c r="F94" s="235"/>
      <c r="G94" s="235"/>
      <c r="H94" s="235"/>
      <c r="I94" s="235"/>
      <c r="J94" s="235"/>
      <c r="K94" s="235"/>
      <c r="L94" s="229"/>
      <c r="M94" s="37">
        <v>0</v>
      </c>
      <c r="N94" s="27"/>
      <c r="O94" s="28">
        <f t="shared" si="14"/>
        <v>0</v>
      </c>
      <c r="P94" s="43">
        <f t="shared" si="15"/>
        <v>0</v>
      </c>
      <c r="Q94" s="36"/>
      <c r="R94" s="27"/>
    </row>
    <row r="95" spans="1:18" x14ac:dyDescent="0.3">
      <c r="A95" s="3" t="str">
        <f>Autovalutazione!A97</f>
        <v>2.1.3.1.d</v>
      </c>
      <c r="B95" s="6" t="str">
        <f>Autovalutazione!C97</f>
        <v>Altri organi / persone? Se sì, quali organi / persone?</v>
      </c>
      <c r="C95" s="38">
        <f>IF(ISBLANK(Autovalutazione!D97),0,1)</f>
        <v>0</v>
      </c>
      <c r="D95" s="293" t="str">
        <f>IF(AND(Autovalutazione!D97="",Autovalutazione!E97=""),"*","")</f>
        <v>*</v>
      </c>
      <c r="E95" s="39" t="str">
        <f>IF(ISBLANK(Autovalutazione!F97),"",Autovalutazione!F97)</f>
        <v/>
      </c>
      <c r="F95" s="235"/>
      <c r="G95" s="235"/>
      <c r="H95" s="235"/>
      <c r="I95" s="235"/>
      <c r="J95" s="235"/>
      <c r="K95" s="235"/>
      <c r="L95" s="229"/>
      <c r="M95" s="37">
        <v>0</v>
      </c>
      <c r="N95" s="27"/>
      <c r="O95" s="28">
        <f t="shared" si="14"/>
        <v>0</v>
      </c>
      <c r="P95" s="43">
        <f t="shared" si="15"/>
        <v>0</v>
      </c>
      <c r="Q95" s="36"/>
      <c r="R95" s="27"/>
    </row>
    <row r="96" spans="1:18" ht="26.4" x14ac:dyDescent="0.3">
      <c r="A96" s="3" t="str">
        <f>Autovalutazione!A98</f>
        <v>2.1.3.2.</v>
      </c>
      <c r="B96" s="6" t="str">
        <f>Autovalutazione!C98</f>
        <v>Nella fase di pianificazione, organizzazione, preparazione si tiene conto degli aspetti di sicurezza e tutela della salute?</v>
      </c>
      <c r="C96" s="38">
        <f>IF(ISBLANK(Autovalutazione!D98),0,1)</f>
        <v>0</v>
      </c>
      <c r="D96" s="293" t="str">
        <f>IF(AND(Autovalutazione!D98="",Autovalutazione!E98=""),"*","")</f>
        <v>*</v>
      </c>
      <c r="E96" s="39" t="str">
        <f>IF(ISBLANK(Autovalutazione!F98),"",Autovalutazione!F98)</f>
        <v/>
      </c>
      <c r="F96" s="237"/>
      <c r="G96" s="237"/>
      <c r="H96" s="237"/>
      <c r="I96" s="237"/>
      <c r="J96" s="237"/>
      <c r="K96" s="237"/>
      <c r="L96" s="229"/>
      <c r="M96" s="37">
        <v>5</v>
      </c>
      <c r="N96" s="27"/>
      <c r="O96" s="28">
        <f t="shared" si="14"/>
        <v>0</v>
      </c>
      <c r="P96" s="43">
        <f t="shared" si="15"/>
        <v>0</v>
      </c>
      <c r="Q96" s="36"/>
      <c r="R96" s="27"/>
    </row>
    <row r="97" spans="1:18" ht="39.6" x14ac:dyDescent="0.3">
      <c r="A97" s="3" t="str">
        <f>Autovalutazione!A99</f>
        <v>2.1.3.3.</v>
      </c>
      <c r="B97" s="6" t="str">
        <f>Autovalutazione!C99</f>
        <v>Esiste una separazione netta tra la pianificazione, organizzazione e preparazione dei lavori e la loro esecuzione?</v>
      </c>
      <c r="C97" s="38">
        <f>IF(ISBLANK(Autovalutazione!D99),0,1)</f>
        <v>0</v>
      </c>
      <c r="D97" s="293" t="str">
        <f>IF(AND(Autovalutazione!D99="",Autovalutazione!E99=""),"*","")</f>
        <v>*</v>
      </c>
      <c r="E97" s="39" t="str">
        <f>IF(ISBLANK(Autovalutazione!F99),"",Autovalutazione!F99)</f>
        <v/>
      </c>
      <c r="F97" s="235"/>
      <c r="G97" s="235"/>
      <c r="H97" s="235"/>
      <c r="I97" s="235"/>
      <c r="J97" s="235"/>
      <c r="K97" s="235"/>
      <c r="L97" s="229"/>
      <c r="M97" s="37">
        <v>0</v>
      </c>
      <c r="N97" s="27"/>
      <c r="O97" s="28">
        <f t="shared" si="14"/>
        <v>0</v>
      </c>
      <c r="P97" s="43">
        <f t="shared" si="15"/>
        <v>0</v>
      </c>
      <c r="Q97" s="36"/>
      <c r="R97" s="27"/>
    </row>
    <row r="98" spans="1:18" ht="26.4" x14ac:dyDescent="0.3">
      <c r="A98" s="3" t="str">
        <f>Autovalutazione!A100</f>
        <v>2.1.3.4.</v>
      </c>
      <c r="B98" s="6" t="str">
        <f>Autovalutazione!C100</f>
        <v>Il livello di esecuzione è coinvolto nella fase di preparazione del lavoro?</v>
      </c>
      <c r="C98" s="38">
        <f>IF(ISBLANK(Autovalutazione!D100),0,1)</f>
        <v>0</v>
      </c>
      <c r="D98" s="293" t="str">
        <f>IF(AND(Autovalutazione!D100="",Autovalutazione!E100=""),"*","")</f>
        <v>*</v>
      </c>
      <c r="E98" s="39" t="str">
        <f>IF(ISBLANK(Autovalutazione!F100),"",Autovalutazione!F100)</f>
        <v/>
      </c>
      <c r="F98" s="235"/>
      <c r="G98" s="235"/>
      <c r="H98" s="235"/>
      <c r="I98" s="235"/>
      <c r="J98" s="235"/>
      <c r="K98" s="235"/>
      <c r="L98" s="229"/>
      <c r="M98" s="37">
        <v>0</v>
      </c>
      <c r="N98" s="27"/>
      <c r="O98" s="28">
        <f t="shared" si="14"/>
        <v>0</v>
      </c>
      <c r="P98" s="43">
        <f t="shared" si="15"/>
        <v>0</v>
      </c>
      <c r="Q98" s="36"/>
      <c r="R98" s="27"/>
    </row>
    <row r="99" spans="1:18" x14ac:dyDescent="0.3">
      <c r="A99" s="3" t="str">
        <f>Autovalutazione!A101</f>
        <v>2.1.3.5.</v>
      </c>
      <c r="B99" s="6" t="str">
        <f>Autovalutazione!C101</f>
        <v>Gli incarichi di lavoro vengono spiegati e discussi?</v>
      </c>
      <c r="C99" s="38">
        <f>IF(ISBLANK(Autovalutazione!D101),0,1)</f>
        <v>0</v>
      </c>
      <c r="D99" s="293" t="str">
        <f>IF(AND(Autovalutazione!D101="",Autovalutazione!E101=""),"*","")</f>
        <v>*</v>
      </c>
      <c r="E99" s="39" t="str">
        <f>IF(ISBLANK(Autovalutazione!F101),"",Autovalutazione!F101)</f>
        <v/>
      </c>
      <c r="F99" s="235"/>
      <c r="G99" s="235"/>
      <c r="H99" s="235"/>
      <c r="I99" s="235"/>
      <c r="J99" s="235"/>
      <c r="K99" s="235"/>
      <c r="L99" s="229"/>
      <c r="M99" s="37">
        <v>3</v>
      </c>
      <c r="N99" s="27"/>
      <c r="O99" s="28">
        <f t="shared" si="14"/>
        <v>0</v>
      </c>
      <c r="P99" s="43">
        <f t="shared" si="15"/>
        <v>0</v>
      </c>
      <c r="Q99" s="36"/>
      <c r="R99" s="27"/>
    </row>
    <row r="100" spans="1:18" ht="26.4" x14ac:dyDescent="0.3">
      <c r="A100" s="3" t="str">
        <f>Autovalutazione!A102</f>
        <v>2.1.3.6.</v>
      </c>
      <c r="B100" s="6" t="str">
        <f>Autovalutazione!C102</f>
        <v>La sicurezza e la tutela della salute sono parte integrante degli incarichi?</v>
      </c>
      <c r="C100" s="38">
        <f>IF(ISBLANK(Autovalutazione!D102),0,1)</f>
        <v>0</v>
      </c>
      <c r="D100" s="293" t="str">
        <f>IF(AND(Autovalutazione!D102="",Autovalutazione!E102=""),"*","")</f>
        <v>*</v>
      </c>
      <c r="E100" s="39" t="str">
        <f>IF(ISBLANK(Autovalutazione!F102),"",Autovalutazione!F102)</f>
        <v/>
      </c>
      <c r="F100" s="235"/>
      <c r="G100" s="235"/>
      <c r="H100" s="235"/>
      <c r="I100" s="235"/>
      <c r="J100" s="235"/>
      <c r="K100" s="235"/>
      <c r="L100" s="229"/>
      <c r="M100" s="37">
        <v>3</v>
      </c>
      <c r="N100" s="27"/>
      <c r="O100" s="28">
        <f t="shared" si="14"/>
        <v>0</v>
      </c>
      <c r="P100" s="43">
        <f t="shared" si="15"/>
        <v>0</v>
      </c>
      <c r="Q100" s="36"/>
      <c r="R100" s="27"/>
    </row>
    <row r="101" spans="1:18" x14ac:dyDescent="0.3">
      <c r="A101" s="3" t="str">
        <f>Autovalutazione!A103</f>
        <v>2.1.3.7.</v>
      </c>
      <c r="B101" s="6" t="str">
        <f>Autovalutazione!C103</f>
        <v>Gli incarichi vengono assegnati per iscritto e documentati?</v>
      </c>
      <c r="C101" s="38">
        <f>IF(ISBLANK(Autovalutazione!D103),0,1)</f>
        <v>0</v>
      </c>
      <c r="D101" s="293" t="str">
        <f>IF(AND(Autovalutazione!D103="",Autovalutazione!E103=""),"*","")</f>
        <v>*</v>
      </c>
      <c r="E101" s="39" t="str">
        <f>IF(ISBLANK(Autovalutazione!F103),"",Autovalutazione!F103)</f>
        <v/>
      </c>
      <c r="F101" s="235"/>
      <c r="G101" s="235"/>
      <c r="H101" s="235"/>
      <c r="I101" s="235"/>
      <c r="J101" s="235"/>
      <c r="K101" s="235"/>
      <c r="L101" s="229"/>
      <c r="M101" s="37">
        <v>2</v>
      </c>
      <c r="N101" s="27"/>
      <c r="O101" s="28">
        <f t="shared" si="14"/>
        <v>0</v>
      </c>
      <c r="P101" s="43">
        <f t="shared" si="15"/>
        <v>0</v>
      </c>
      <c r="Q101" s="36"/>
      <c r="R101" s="27"/>
    </row>
    <row r="102" spans="1:18" ht="26.4" x14ac:dyDescent="0.3">
      <c r="A102" s="3" t="str">
        <f>Autovalutazione!A104</f>
        <v>2.1.3.8.</v>
      </c>
      <c r="B102" s="6" t="str">
        <f>Autovalutazione!C104</f>
        <v>Le direttive di lavoro in forma scritta riportano indicazioni sulle misure di sicurezza e di tutela della salute?</v>
      </c>
      <c r="C102" s="38">
        <f>IF(ISBLANK(Autovalutazione!D104),0,1)</f>
        <v>0</v>
      </c>
      <c r="D102" s="293" t="str">
        <f>IF(AND(Autovalutazione!D104="",Autovalutazione!E104=""),"*","")</f>
        <v>*</v>
      </c>
      <c r="E102" s="39" t="str">
        <f>IF(ISBLANK(Autovalutazione!F104),"",Autovalutazione!F104)</f>
        <v/>
      </c>
      <c r="F102" s="235"/>
      <c r="G102" s="235"/>
      <c r="H102" s="235"/>
      <c r="I102" s="235"/>
      <c r="J102" s="235"/>
      <c r="K102" s="235"/>
      <c r="L102" s="229"/>
      <c r="M102" s="37">
        <v>1</v>
      </c>
      <c r="N102" s="27"/>
      <c r="O102" s="28">
        <f t="shared" si="14"/>
        <v>0</v>
      </c>
      <c r="P102" s="43">
        <f t="shared" si="15"/>
        <v>0</v>
      </c>
      <c r="Q102" s="36"/>
      <c r="R102" s="27"/>
    </row>
    <row r="103" spans="1:18" x14ac:dyDescent="0.3">
      <c r="A103" s="23" t="str">
        <f>Autovalutazione!A105</f>
        <v>2.1.4.</v>
      </c>
      <c r="B103" s="23" t="str">
        <f>Autovalutazione!C105</f>
        <v>Regolamento aziendale</v>
      </c>
      <c r="C103" s="21">
        <f>O103/N103</f>
        <v>0</v>
      </c>
      <c r="D103" s="23" t="str">
        <f>IF(ISBLANK(Autovalutazione!E105),"",Autovalutazione!E105)</f>
        <v/>
      </c>
      <c r="E103" s="23" t="str">
        <f>IF(ISBLANK(Autovalutazione!F105),"",Autovalutazione!F105)</f>
        <v/>
      </c>
      <c r="F103" s="232"/>
      <c r="G103" s="232"/>
      <c r="H103" s="232"/>
      <c r="I103" s="232"/>
      <c r="J103" s="232"/>
      <c r="K103" s="232"/>
      <c r="L103" s="50">
        <f>P103/N103</f>
        <v>0</v>
      </c>
      <c r="M103" s="23">
        <v>1</v>
      </c>
      <c r="N103" s="41">
        <f>MAX(M104:M105)</f>
        <v>1</v>
      </c>
      <c r="O103" s="55">
        <f>MAX(O104:O105)</f>
        <v>0</v>
      </c>
      <c r="P103" s="55">
        <f>MAX(P104:P105)</f>
        <v>0</v>
      </c>
      <c r="Q103" s="52">
        <f>O103/N103*M103</f>
        <v>0</v>
      </c>
      <c r="R103" s="52">
        <f>P103/N103*$M103</f>
        <v>0</v>
      </c>
    </row>
    <row r="104" spans="1:18" ht="26.4" x14ac:dyDescent="0.3">
      <c r="A104" s="3" t="str">
        <f>Autovalutazione!A106</f>
        <v>2.1.4.1.</v>
      </c>
      <c r="B104" s="6" t="str">
        <f>Autovalutazione!C106</f>
        <v>La vostra azienda ha un regolamento obbligatorio ai sensi della Legge sul lavoro?</v>
      </c>
      <c r="C104" s="38">
        <f>IF(ISBLANK(Autovalutazione!D106),0,1)</f>
        <v>0</v>
      </c>
      <c r="D104" s="293" t="str">
        <f>IF(AND(Autovalutazione!D106="",Autovalutazione!E106=""),"*","")</f>
        <v>*</v>
      </c>
      <c r="E104" s="39" t="str">
        <f>IF(ISBLANK(Autovalutazione!F106),"",Autovalutazione!F106)</f>
        <v/>
      </c>
      <c r="F104" s="235"/>
      <c r="G104" s="235"/>
      <c r="H104" s="235"/>
      <c r="I104" s="235"/>
      <c r="J104" s="235"/>
      <c r="K104" s="235"/>
      <c r="L104" s="229"/>
      <c r="M104" s="37">
        <v>1</v>
      </c>
      <c r="N104" s="27"/>
      <c r="O104" s="28">
        <f>C104*M104</f>
        <v>0</v>
      </c>
      <c r="P104" s="43">
        <f t="shared" ref="P104:P105" si="16">L104*M104</f>
        <v>0</v>
      </c>
      <c r="Q104" s="36"/>
      <c r="R104" s="27"/>
    </row>
    <row r="105" spans="1:18" ht="39.6" x14ac:dyDescent="0.3">
      <c r="A105" s="3" t="str">
        <f>Autovalutazione!A107</f>
        <v>2.1.4.2.</v>
      </c>
      <c r="B105" s="6" t="str">
        <f>Autovalutazione!C107</f>
        <v>La vostra azienda ha un regolamento facoltativo? In caso affermativo: Cosa recita il testo relativamente alla sicurezza e alla promozione della salute dei lavoratori?</v>
      </c>
      <c r="C105" s="38">
        <f>IF(ISBLANK(Autovalutazione!D107),0,1)</f>
        <v>0</v>
      </c>
      <c r="D105" s="293" t="str">
        <f>IF(AND(Autovalutazione!D107="",Autovalutazione!E107=""),"*","")</f>
        <v>*</v>
      </c>
      <c r="E105" s="39" t="str">
        <f>IF(ISBLANK(Autovalutazione!F107),"",Autovalutazione!F107)</f>
        <v/>
      </c>
      <c r="F105" s="237"/>
      <c r="G105" s="237"/>
      <c r="H105" s="237"/>
      <c r="I105" s="237"/>
      <c r="J105" s="237"/>
      <c r="K105" s="237"/>
      <c r="L105" s="229"/>
      <c r="M105" s="37">
        <v>1</v>
      </c>
      <c r="N105" s="27"/>
      <c r="O105" s="28">
        <f>C105*M105</f>
        <v>0</v>
      </c>
      <c r="P105" s="43">
        <f t="shared" si="16"/>
        <v>0</v>
      </c>
      <c r="Q105" s="36"/>
      <c r="R105" s="36"/>
    </row>
    <row r="106" spans="1:18" x14ac:dyDescent="0.3">
      <c r="A106" s="19" t="str">
        <f>Autovalutazione!A108</f>
        <v>2.2</v>
      </c>
      <c r="B106" s="20" t="str">
        <f>Autovalutazione!B108</f>
        <v>Organizzazione della sicurezza</v>
      </c>
      <c r="C106" s="21">
        <f>O106/N106</f>
        <v>0</v>
      </c>
      <c r="D106" s="23" t="str">
        <f>IF(ISBLANK(Autovalutazione!E108),"",Autovalutazione!E108)</f>
        <v/>
      </c>
      <c r="E106" s="23" t="str">
        <f>IF(ISBLANK(Autovalutazione!F108),"",Autovalutazione!F108)</f>
        <v/>
      </c>
      <c r="F106" s="232"/>
      <c r="G106" s="232"/>
      <c r="H106" s="232"/>
      <c r="I106" s="232"/>
      <c r="J106" s="232"/>
      <c r="K106" s="232"/>
      <c r="L106" s="50">
        <f>P106/N106</f>
        <v>0</v>
      </c>
      <c r="M106" s="23">
        <v>3</v>
      </c>
      <c r="N106" s="22">
        <f>SUM(M107,M119,M123)</f>
        <v>8</v>
      </c>
      <c r="O106" s="24">
        <f>SUM(Q107,Q119,Q123)</f>
        <v>0</v>
      </c>
      <c r="P106" s="24">
        <f>SUM(R107,R119,R123)</f>
        <v>0</v>
      </c>
      <c r="Q106" s="52">
        <f>O106/$N106*$M106</f>
        <v>0</v>
      </c>
      <c r="R106" s="52">
        <f>P106/$N106*$M106</f>
        <v>0</v>
      </c>
    </row>
    <row r="107" spans="1:18" x14ac:dyDescent="0.3">
      <c r="A107" s="23" t="str">
        <f>Autovalutazione!A109</f>
        <v>2.2.1.</v>
      </c>
      <c r="B107" s="23" t="str">
        <f>Autovalutazione!C109</f>
        <v>Struttura organizzativa</v>
      </c>
      <c r="C107" s="21">
        <f>O107/N107</f>
        <v>0</v>
      </c>
      <c r="D107" s="23" t="str">
        <f>IF(ISBLANK(Autovalutazione!E109),"",Autovalutazione!E109)</f>
        <v/>
      </c>
      <c r="E107" s="23" t="str">
        <f>IF(ISBLANK(Autovalutazione!F109),"",Autovalutazione!F109)</f>
        <v/>
      </c>
      <c r="F107" s="232"/>
      <c r="G107" s="232"/>
      <c r="H107" s="232"/>
      <c r="I107" s="232"/>
      <c r="J107" s="232"/>
      <c r="K107" s="232"/>
      <c r="L107" s="50">
        <f>P107/N107</f>
        <v>0</v>
      </c>
      <c r="M107" s="23">
        <v>2</v>
      </c>
      <c r="N107" s="41">
        <f>SUM(M108:M112,MAX(M113:M114),M115:M118)</f>
        <v>22</v>
      </c>
      <c r="O107" s="55">
        <f>SUM(O108:O112,MAX(O113:O114),O115:O118)</f>
        <v>0</v>
      </c>
      <c r="P107" s="55">
        <f>SUM(P108:P112,MAX(P113:P114),P115:P118)</f>
        <v>0</v>
      </c>
      <c r="Q107" s="52">
        <f>O107/N107*M107</f>
        <v>0</v>
      </c>
      <c r="R107" s="52">
        <f>P107/N107*$M107</f>
        <v>0</v>
      </c>
    </row>
    <row r="108" spans="1:18" ht="26.4" x14ac:dyDescent="0.3">
      <c r="A108" s="3" t="str">
        <f>Autovalutazione!A110</f>
        <v>2.2.1.1.</v>
      </c>
      <c r="B108" s="6" t="str">
        <f>Autovalutazione!C110</f>
        <v>Un membro della direzione è responsabile della sicurezza sul lavoro e della tutela della salute?</v>
      </c>
      <c r="C108" s="38">
        <f>IF(ISBLANK(Autovalutazione!D110),0,1)</f>
        <v>0</v>
      </c>
      <c r="D108" s="293" t="str">
        <f>IF(AND(Autovalutazione!D110="",Autovalutazione!E110=""),"*","")</f>
        <v>*</v>
      </c>
      <c r="E108" s="39" t="str">
        <f>IF(ISBLANK(Autovalutazione!F110),"",Autovalutazione!F110)</f>
        <v/>
      </c>
      <c r="F108" s="237"/>
      <c r="G108" s="237"/>
      <c r="H108" s="237"/>
      <c r="I108" s="237"/>
      <c r="J108" s="237"/>
      <c r="K108" s="237"/>
      <c r="L108" s="229"/>
      <c r="M108" s="37">
        <v>3</v>
      </c>
      <c r="N108" s="27"/>
      <c r="O108" s="28">
        <f t="shared" ref="O108:O118" si="17">C108*M108</f>
        <v>0</v>
      </c>
      <c r="P108" s="43">
        <f t="shared" ref="P108:P118" si="18">L108*M108</f>
        <v>0</v>
      </c>
      <c r="Q108" s="36"/>
      <c r="R108" s="27"/>
    </row>
    <row r="109" spans="1:18" ht="26.4" x14ac:dyDescent="0.3">
      <c r="A109" s="3" t="str">
        <f>Autovalutazione!A111</f>
        <v>2.2.1.2.</v>
      </c>
      <c r="B109" s="6" t="str">
        <f>Autovalutazione!C111</f>
        <v>La vostra azienda ha un'organizzazione della sicurezza che fa capo direttamente alla direzione?</v>
      </c>
      <c r="C109" s="38">
        <f>IF(ISBLANK(Autovalutazione!D111),0,1)</f>
        <v>0</v>
      </c>
      <c r="D109" s="293" t="str">
        <f>IF(AND(Autovalutazione!D111="",Autovalutazione!E111=""),"*","")</f>
        <v>*</v>
      </c>
      <c r="E109" s="39" t="str">
        <f>IF(ISBLANK(Autovalutazione!F111),"",Autovalutazione!F111)</f>
        <v/>
      </c>
      <c r="F109" s="237"/>
      <c r="G109" s="237"/>
      <c r="H109" s="237"/>
      <c r="I109" s="237"/>
      <c r="J109" s="237"/>
      <c r="K109" s="237"/>
      <c r="L109" s="229"/>
      <c r="M109" s="37">
        <v>3</v>
      </c>
      <c r="N109" s="27"/>
      <c r="O109" s="28">
        <f t="shared" si="17"/>
        <v>0</v>
      </c>
      <c r="P109" s="43">
        <f t="shared" si="18"/>
        <v>0</v>
      </c>
      <c r="Q109" s="36"/>
      <c r="R109" s="27"/>
    </row>
    <row r="110" spans="1:18" ht="26.4" x14ac:dyDescent="0.3">
      <c r="A110" s="3" t="str">
        <f>Autovalutazione!A112</f>
        <v>2.2.1.3.</v>
      </c>
      <c r="B110" s="6" t="str">
        <f>Autovalutazione!C112</f>
        <v>L'organizzazione della sicurezza è rappresentata nel diagramma aziendale?</v>
      </c>
      <c r="C110" s="38">
        <f>IF(ISBLANK(Autovalutazione!D112),0,1)</f>
        <v>0</v>
      </c>
      <c r="D110" s="293" t="str">
        <f>IF(AND(Autovalutazione!D112="",Autovalutazione!E112=""),"*","")</f>
        <v>*</v>
      </c>
      <c r="E110" s="39" t="str">
        <f>IF(ISBLANK(Autovalutazione!F112),"",Autovalutazione!F112)</f>
        <v/>
      </c>
      <c r="F110" s="237"/>
      <c r="G110" s="237"/>
      <c r="H110" s="237"/>
      <c r="I110" s="237"/>
      <c r="J110" s="237"/>
      <c r="K110" s="237"/>
      <c r="L110" s="229"/>
      <c r="M110" s="37">
        <v>2</v>
      </c>
      <c r="N110" s="27"/>
      <c r="O110" s="28">
        <f t="shared" si="17"/>
        <v>0</v>
      </c>
      <c r="P110" s="43">
        <f t="shared" si="18"/>
        <v>0</v>
      </c>
      <c r="Q110" s="36"/>
      <c r="R110" s="27"/>
    </row>
    <row r="111" spans="1:18" ht="26.4" x14ac:dyDescent="0.3">
      <c r="A111" s="3" t="str">
        <f>Autovalutazione!A113</f>
        <v>2.2.1.4.a</v>
      </c>
      <c r="B111" s="6" t="str">
        <f>Autovalutazione!C113</f>
        <v>L'azienda si rivolge ad esperti esterni:
Medici del lavoro?</v>
      </c>
      <c r="C111" s="38">
        <f>IF(ISBLANK(Autovalutazione!D113),0,1)</f>
        <v>0</v>
      </c>
      <c r="D111" s="293" t="str">
        <f>IF(AND(Autovalutazione!D113="",Autovalutazione!E113=""),"*","")</f>
        <v>*</v>
      </c>
      <c r="E111" s="39" t="str">
        <f>IF(ISBLANK(Autovalutazione!F113),"",Autovalutazione!F113)</f>
        <v/>
      </c>
      <c r="F111" s="235"/>
      <c r="G111" s="235"/>
      <c r="H111" s="235"/>
      <c r="I111" s="235"/>
      <c r="J111" s="235"/>
      <c r="K111" s="235"/>
      <c r="L111" s="229"/>
      <c r="M111" s="37">
        <v>0</v>
      </c>
      <c r="N111" s="27"/>
      <c r="O111" s="28">
        <f t="shared" si="17"/>
        <v>0</v>
      </c>
      <c r="P111" s="43">
        <f t="shared" si="18"/>
        <v>0</v>
      </c>
      <c r="Q111" s="36"/>
      <c r="R111" s="27"/>
    </row>
    <row r="112" spans="1:18" x14ac:dyDescent="0.3">
      <c r="A112" s="3" t="str">
        <f>Autovalutazione!A114</f>
        <v>2.2.1.4.b</v>
      </c>
      <c r="B112" s="6" t="str">
        <f>Autovalutazione!C114</f>
        <v>Igienisti del lavoro?</v>
      </c>
      <c r="C112" s="38">
        <f>IF(ISBLANK(Autovalutazione!D114),0,1)</f>
        <v>0</v>
      </c>
      <c r="D112" s="293" t="str">
        <f>IF(AND(Autovalutazione!D114="",Autovalutazione!E114=""),"*","")</f>
        <v>*</v>
      </c>
      <c r="E112" s="39" t="str">
        <f>IF(ISBLANK(Autovalutazione!F114),"",Autovalutazione!F114)</f>
        <v/>
      </c>
      <c r="F112" s="237"/>
      <c r="G112" s="237"/>
      <c r="H112" s="237"/>
      <c r="I112" s="237"/>
      <c r="J112" s="237"/>
      <c r="K112" s="237"/>
      <c r="L112" s="229"/>
      <c r="M112" s="37">
        <v>0</v>
      </c>
      <c r="N112" s="27"/>
      <c r="O112" s="28">
        <f t="shared" si="17"/>
        <v>0</v>
      </c>
      <c r="P112" s="43">
        <f t="shared" si="18"/>
        <v>0</v>
      </c>
      <c r="Q112" s="36"/>
      <c r="R112" s="27"/>
    </row>
    <row r="113" spans="1:18" x14ac:dyDescent="0.3">
      <c r="A113" s="3" t="str">
        <f>Autovalutazione!A115</f>
        <v>2.2.1.4.c</v>
      </c>
      <c r="B113" s="6" t="str">
        <f>Autovalutazione!C115</f>
        <v>Ingegneri di sicurezza?</v>
      </c>
      <c r="C113" s="38">
        <f>IF(ISBLANK(Autovalutazione!D115),0,1)</f>
        <v>0</v>
      </c>
      <c r="D113" s="293" t="str">
        <f>IF(AND(Autovalutazione!D115="",Autovalutazione!E115=""),"*","")</f>
        <v>*</v>
      </c>
      <c r="E113" s="39" t="str">
        <f>IF(ISBLANK(Autovalutazione!F115),"",Autovalutazione!F115)</f>
        <v/>
      </c>
      <c r="F113" s="237"/>
      <c r="G113" s="237"/>
      <c r="H113" s="237"/>
      <c r="I113" s="237"/>
      <c r="J113" s="237"/>
      <c r="K113" s="237"/>
      <c r="L113" s="229"/>
      <c r="M113" s="37">
        <v>2</v>
      </c>
      <c r="N113" s="27"/>
      <c r="O113" s="28">
        <f t="shared" si="17"/>
        <v>0</v>
      </c>
      <c r="P113" s="43">
        <f t="shared" si="18"/>
        <v>0</v>
      </c>
      <c r="Q113" s="36"/>
      <c r="R113" s="27"/>
    </row>
    <row r="114" spans="1:18" x14ac:dyDescent="0.3">
      <c r="A114" s="3" t="str">
        <f>Autovalutazione!A116</f>
        <v>2.2.1.4.d</v>
      </c>
      <c r="B114" s="6" t="str">
        <f>Autovalutazione!C116</f>
        <v>Esperti nell'ambito della sicurezza?</v>
      </c>
      <c r="C114" s="38">
        <f>IF(ISBLANK(Autovalutazione!D116),0,1)</f>
        <v>0</v>
      </c>
      <c r="D114" s="293" t="str">
        <f>IF(AND(Autovalutazione!D116="",Autovalutazione!E116=""),"*","")</f>
        <v>*</v>
      </c>
      <c r="E114" s="39" t="str">
        <f>IF(ISBLANK(Autovalutazione!F116),"",Autovalutazione!F116)</f>
        <v/>
      </c>
      <c r="F114" s="237"/>
      <c r="G114" s="237"/>
      <c r="H114" s="237"/>
      <c r="I114" s="237"/>
      <c r="J114" s="237"/>
      <c r="K114" s="237"/>
      <c r="L114" s="229"/>
      <c r="M114" s="37">
        <v>2</v>
      </c>
      <c r="N114" s="27"/>
      <c r="O114" s="28">
        <f t="shared" si="17"/>
        <v>0</v>
      </c>
      <c r="P114" s="43">
        <f t="shared" si="18"/>
        <v>0</v>
      </c>
      <c r="Q114" s="36"/>
      <c r="R114" s="27"/>
    </row>
    <row r="115" spans="1:18" x14ac:dyDescent="0.3">
      <c r="A115" s="3" t="str">
        <f>Autovalutazione!A117</f>
        <v>2.2.1.4.e</v>
      </c>
      <c r="B115" s="6" t="str">
        <f>Autovalutazione!C117</f>
        <v>Altri esperti? Se sì, quali?</v>
      </c>
      <c r="C115" s="38">
        <f>IF(ISBLANK(Autovalutazione!D117),0,1)</f>
        <v>0</v>
      </c>
      <c r="D115" s="293" t="str">
        <f>IF(AND(Autovalutazione!D117="",Autovalutazione!E117=""),"*","")</f>
        <v>*</v>
      </c>
      <c r="E115" s="39" t="str">
        <f>IF(ISBLANK(Autovalutazione!F117),"",Autovalutazione!F117)</f>
        <v/>
      </c>
      <c r="F115" s="235"/>
      <c r="G115" s="235"/>
      <c r="H115" s="235"/>
      <c r="I115" s="235"/>
      <c r="J115" s="235"/>
      <c r="K115" s="235"/>
      <c r="L115" s="229"/>
      <c r="M115" s="37">
        <v>0</v>
      </c>
      <c r="N115" s="27"/>
      <c r="O115" s="28">
        <f t="shared" si="17"/>
        <v>0</v>
      </c>
      <c r="P115" s="43">
        <f t="shared" si="18"/>
        <v>0</v>
      </c>
      <c r="Q115" s="36"/>
      <c r="R115" s="27"/>
    </row>
    <row r="116" spans="1:18" ht="26.4" x14ac:dyDescent="0.3">
      <c r="A116" s="3" t="str">
        <f>Autovalutazione!A118</f>
        <v>2.2.1.5.</v>
      </c>
      <c r="B116" s="6" t="str">
        <f>Autovalutazione!C118</f>
        <v>I compiti, i doveri e i diritti dei singoli componenti l'organizzazione della sicurezza vengono messi per iscritto?</v>
      </c>
      <c r="C116" s="38">
        <f>IF(ISBLANK(Autovalutazione!D118),0,1)</f>
        <v>0</v>
      </c>
      <c r="D116" s="293" t="str">
        <f>IF(AND(Autovalutazione!D118="",Autovalutazione!E118=""),"*","")</f>
        <v>*</v>
      </c>
      <c r="E116" s="39" t="str">
        <f>IF(ISBLANK(Autovalutazione!F118),"",Autovalutazione!F118)</f>
        <v/>
      </c>
      <c r="F116" s="235"/>
      <c r="G116" s="235"/>
      <c r="H116" s="235"/>
      <c r="I116" s="235"/>
      <c r="J116" s="235"/>
      <c r="K116" s="235"/>
      <c r="L116" s="229"/>
      <c r="M116" s="37">
        <v>4</v>
      </c>
      <c r="N116" s="27"/>
      <c r="O116" s="28">
        <f t="shared" si="17"/>
        <v>0</v>
      </c>
      <c r="P116" s="43">
        <f t="shared" si="18"/>
        <v>0</v>
      </c>
      <c r="Q116" s="36"/>
      <c r="R116" s="27"/>
    </row>
    <row r="117" spans="1:18" ht="39.6" x14ac:dyDescent="0.3">
      <c r="A117" s="3" t="str">
        <f>Autovalutazione!A119</f>
        <v>2.2.1.6.</v>
      </c>
      <c r="B117" s="6" t="str">
        <f>Autovalutazione!C119</f>
        <v>L'addetto alla sicurezza è responsabile della rapportistica in materia di sicurezza e tutela della salute indirizzata alla direzione?</v>
      </c>
      <c r="C117" s="38">
        <f>IF(ISBLANK(Autovalutazione!D119),0,1)</f>
        <v>0</v>
      </c>
      <c r="D117" s="293" t="str">
        <f>IF(AND(Autovalutazione!D119="",Autovalutazione!E119=""),"*","")</f>
        <v>*</v>
      </c>
      <c r="E117" s="39" t="str">
        <f>IF(ISBLANK(Autovalutazione!F119),"",Autovalutazione!F119)</f>
        <v/>
      </c>
      <c r="F117" s="235"/>
      <c r="G117" s="235"/>
      <c r="H117" s="235"/>
      <c r="I117" s="235"/>
      <c r="J117" s="235"/>
      <c r="K117" s="235"/>
      <c r="L117" s="229"/>
      <c r="M117" s="37">
        <v>3</v>
      </c>
      <c r="N117" s="27"/>
      <c r="O117" s="28">
        <f t="shared" si="17"/>
        <v>0</v>
      </c>
      <c r="P117" s="43">
        <f t="shared" si="18"/>
        <v>0</v>
      </c>
      <c r="Q117" s="36"/>
      <c r="R117" s="27"/>
    </row>
    <row r="118" spans="1:18" ht="26.4" x14ac:dyDescent="0.3">
      <c r="A118" s="3" t="str">
        <f>Autovalutazione!A120</f>
        <v>2.2.1.7.</v>
      </c>
      <c r="B118" s="6" t="str">
        <f>Autovalutazione!C120</f>
        <v>I responsabili di linea sostengono concretamente l'organizzazione della sicurezza?</v>
      </c>
      <c r="C118" s="38">
        <f>IF(ISBLANK(Autovalutazione!D120),0,1)</f>
        <v>0</v>
      </c>
      <c r="D118" s="293" t="str">
        <f>IF(AND(Autovalutazione!D120="",Autovalutazione!E120=""),"*","")</f>
        <v>*</v>
      </c>
      <c r="E118" s="39" t="str">
        <f>IF(ISBLANK(Autovalutazione!F120),"",Autovalutazione!F120)</f>
        <v/>
      </c>
      <c r="F118" s="235"/>
      <c r="G118" s="235"/>
      <c r="H118" s="235"/>
      <c r="I118" s="235"/>
      <c r="J118" s="235"/>
      <c r="K118" s="235"/>
      <c r="L118" s="229"/>
      <c r="M118" s="37">
        <v>5</v>
      </c>
      <c r="N118" s="27"/>
      <c r="O118" s="28">
        <f t="shared" si="17"/>
        <v>0</v>
      </c>
      <c r="P118" s="43">
        <f t="shared" si="18"/>
        <v>0</v>
      </c>
      <c r="Q118" s="36"/>
      <c r="R118" s="27"/>
    </row>
    <row r="119" spans="1:18" x14ac:dyDescent="0.3">
      <c r="A119" s="23" t="str">
        <f>Autovalutazione!A121</f>
        <v>2.2.2.</v>
      </c>
      <c r="B119" s="23" t="str">
        <f>Autovalutazione!C121</f>
        <v>Piano di sicurezza</v>
      </c>
      <c r="C119" s="21">
        <f>O119/N119</f>
        <v>0</v>
      </c>
      <c r="D119" s="23" t="str">
        <f>IF(ISBLANK(Autovalutazione!E121),"",Autovalutazione!E121)</f>
        <v/>
      </c>
      <c r="E119" s="23" t="str">
        <f>IF(ISBLANK(Autovalutazione!F121),"",Autovalutazione!F121)</f>
        <v/>
      </c>
      <c r="F119" s="232"/>
      <c r="G119" s="232"/>
      <c r="H119" s="232"/>
      <c r="I119" s="232"/>
      <c r="J119" s="232"/>
      <c r="K119" s="232"/>
      <c r="L119" s="50">
        <f>P119/N119</f>
        <v>0</v>
      </c>
      <c r="M119" s="23">
        <v>3</v>
      </c>
      <c r="N119" s="56">
        <f>SUM(M120:M122)</f>
        <v>5</v>
      </c>
      <c r="O119" s="56">
        <f>SUM(O120:O122)</f>
        <v>0</v>
      </c>
      <c r="P119" s="56">
        <f>SUM(P120:P122)</f>
        <v>0</v>
      </c>
      <c r="Q119" s="52">
        <f>O119/$N119*$M119</f>
        <v>0</v>
      </c>
      <c r="R119" s="52">
        <f>P119/$N119*$M119</f>
        <v>0</v>
      </c>
    </row>
    <row r="120" spans="1:18" ht="26.4" x14ac:dyDescent="0.3">
      <c r="A120" s="3" t="str">
        <f>Autovalutazione!A122</f>
        <v>2.2.2.1.</v>
      </c>
      <c r="B120" s="6" t="str">
        <f>Autovalutazione!C122</f>
        <v>La vostra azienda ha un piano di sicurezza?
Se sì, da quando è in vigore il piano di sicurezza?</v>
      </c>
      <c r="C120" s="38">
        <f>IF(ISBLANK(Autovalutazione!D122),0,1)</f>
        <v>0</v>
      </c>
      <c r="D120" s="293" t="str">
        <f>IF(AND(Autovalutazione!D122="",Autovalutazione!E122=""),"*","")</f>
        <v>*</v>
      </c>
      <c r="E120" s="39" t="str">
        <f>IF(ISBLANK(Autovalutazione!F122),"",Autovalutazione!F122)</f>
        <v/>
      </c>
      <c r="F120" s="237"/>
      <c r="G120" s="237"/>
      <c r="H120" s="237"/>
      <c r="I120" s="237"/>
      <c r="J120" s="237"/>
      <c r="K120" s="237"/>
      <c r="L120" s="229"/>
      <c r="M120" s="37">
        <v>3</v>
      </c>
      <c r="N120" s="27"/>
      <c r="O120" s="28">
        <f>C120*M120</f>
        <v>0</v>
      </c>
      <c r="P120" s="43">
        <f t="shared" ref="P120:P122" si="19">L120*M120</f>
        <v>0</v>
      </c>
      <c r="Q120" s="36"/>
      <c r="R120" s="27"/>
    </row>
    <row r="121" spans="1:18" ht="26.4" x14ac:dyDescent="0.3">
      <c r="A121" s="3" t="str">
        <f>Autovalutazione!A123</f>
        <v>2.2.2.2.</v>
      </c>
      <c r="B121" s="6" t="str">
        <f>Autovalutazione!C123</f>
        <v>Il campo di applicazione del piano di sicurezza è stabilito chiaramente e documentato?</v>
      </c>
      <c r="C121" s="38">
        <f>IF(ISBLANK(Autovalutazione!D123),0,1)</f>
        <v>0</v>
      </c>
      <c r="D121" s="293" t="str">
        <f>IF(AND(Autovalutazione!D123="",Autovalutazione!E123=""),"*","")</f>
        <v>*</v>
      </c>
      <c r="E121" s="39" t="str">
        <f>IF(ISBLANK(Autovalutazione!F123),"",Autovalutazione!F123)</f>
        <v/>
      </c>
      <c r="F121" s="237"/>
      <c r="G121" s="237"/>
      <c r="H121" s="237"/>
      <c r="I121" s="237"/>
      <c r="J121" s="237"/>
      <c r="K121" s="237"/>
      <c r="L121" s="229"/>
      <c r="M121" s="37">
        <v>1</v>
      </c>
      <c r="N121" s="27"/>
      <c r="O121" s="28">
        <f>C121*M121</f>
        <v>0</v>
      </c>
      <c r="P121" s="43">
        <f t="shared" si="19"/>
        <v>0</v>
      </c>
      <c r="Q121" s="36"/>
      <c r="R121" s="36"/>
    </row>
    <row r="122" spans="1:18" ht="26.4" x14ac:dyDescent="0.3">
      <c r="A122" s="3" t="str">
        <f>Autovalutazione!A124</f>
        <v>2.2.2.3.</v>
      </c>
      <c r="B122" s="6" t="str">
        <f>Autovalutazione!C124</f>
        <v>La struttura dei documenti per il piano di sicurezza è stata stabilita ed è chiaro come accedere ai documenti allegati?</v>
      </c>
      <c r="C122" s="38">
        <f>IF(ISBLANK(Autovalutazione!D124),0,1)</f>
        <v>0</v>
      </c>
      <c r="D122" s="293" t="str">
        <f>IF(AND(Autovalutazione!D124="",Autovalutazione!E124=""),"*","")</f>
        <v>*</v>
      </c>
      <c r="E122" s="39" t="str">
        <f>IF(ISBLANK(Autovalutazione!F124),"",Autovalutazione!F124)</f>
        <v/>
      </c>
      <c r="F122" s="237"/>
      <c r="G122" s="237"/>
      <c r="H122" s="237"/>
      <c r="I122" s="237"/>
      <c r="J122" s="237"/>
      <c r="K122" s="237"/>
      <c r="L122" s="229"/>
      <c r="M122" s="37">
        <v>1</v>
      </c>
      <c r="N122" s="27"/>
      <c r="O122" s="28">
        <f>C122*M122</f>
        <v>0</v>
      </c>
      <c r="P122" s="43">
        <f t="shared" si="19"/>
        <v>0</v>
      </c>
      <c r="Q122" s="36"/>
      <c r="R122" s="36"/>
    </row>
    <row r="123" spans="1:18" x14ac:dyDescent="0.3">
      <c r="A123" s="23" t="str">
        <f>Autovalutazione!A125</f>
        <v>2.2.3.</v>
      </c>
      <c r="B123" s="23" t="str">
        <f>Autovalutazione!C125</f>
        <v>Formazione in materia di sicurezza</v>
      </c>
      <c r="C123" s="21">
        <f>O123/N123</f>
        <v>0</v>
      </c>
      <c r="D123" s="23" t="str">
        <f>IF(ISBLANK(Autovalutazione!E125),"",Autovalutazione!E125)</f>
        <v/>
      </c>
      <c r="E123" s="23" t="str">
        <f>IF(ISBLANK(Autovalutazione!F125),"",Autovalutazione!F125)</f>
        <v/>
      </c>
      <c r="F123" s="232"/>
      <c r="G123" s="232"/>
      <c r="H123" s="232"/>
      <c r="I123" s="232"/>
      <c r="J123" s="232"/>
      <c r="K123" s="232"/>
      <c r="L123" s="50">
        <f>P123/N123</f>
        <v>0</v>
      </c>
      <c r="M123" s="23">
        <v>3</v>
      </c>
      <c r="N123" s="23">
        <f>SUM(M124:M126)</f>
        <v>6</v>
      </c>
      <c r="O123" s="56">
        <f>SUM(O124:O126)</f>
        <v>0</v>
      </c>
      <c r="P123" s="56">
        <f>SUM(P124:P126)</f>
        <v>0</v>
      </c>
      <c r="Q123" s="52">
        <f>O123/$N123*$M123</f>
        <v>0</v>
      </c>
      <c r="R123" s="52">
        <f>P123/$N123*$M123</f>
        <v>0</v>
      </c>
    </row>
    <row r="124" spans="1:18" ht="52.8" x14ac:dyDescent="0.3">
      <c r="A124" s="3" t="str">
        <f>Autovalutazione!A126</f>
        <v>2.2.3.1.</v>
      </c>
      <c r="B124" s="6" t="str">
        <f>Autovalutazione!C126</f>
        <v>Dipendenti della vostra azienda hanno acquisito una determinata formazione per diventare assistenti alla sicurezza, esperti nell'ambito della sicurezza o ingegneri di sicurezza?</v>
      </c>
      <c r="C124" s="38">
        <f>IF(ISBLANK(Autovalutazione!D126),0,1)</f>
        <v>0</v>
      </c>
      <c r="D124" s="293" t="str">
        <f>IF(AND(Autovalutazione!D126="",Autovalutazione!E126=""),"*","")</f>
        <v>*</v>
      </c>
      <c r="E124" s="39" t="str">
        <f>IF(ISBLANK(Autovalutazione!F126),"",Autovalutazione!F126)</f>
        <v/>
      </c>
      <c r="F124" s="33"/>
      <c r="G124" s="33"/>
      <c r="H124" s="33"/>
      <c r="I124" s="33"/>
      <c r="J124" s="33"/>
      <c r="K124" s="33"/>
      <c r="L124" s="229"/>
      <c r="M124" s="37">
        <v>4</v>
      </c>
      <c r="N124" s="27"/>
      <c r="O124" s="28">
        <f>C124*M124</f>
        <v>0</v>
      </c>
      <c r="P124" s="43">
        <f t="shared" ref="P124:P126" si="20">L124*M124</f>
        <v>0</v>
      </c>
      <c r="Q124" s="36"/>
      <c r="R124" s="27"/>
    </row>
    <row r="125" spans="1:18" ht="26.4" x14ac:dyDescent="0.3">
      <c r="A125" s="3" t="str">
        <f>Autovalutazione!A127</f>
        <v>2.2.3.2.</v>
      </c>
      <c r="B125" s="6" t="str">
        <f>Autovalutazione!C127</f>
        <v>Dipendenti della vostra azienda hanno frequentato i corsi Suva in materia di sicurezza e salute? Se sì, quali?</v>
      </c>
      <c r="C125" s="38">
        <f>IF(ISBLANK(Autovalutazione!D127),0,1)</f>
        <v>0</v>
      </c>
      <c r="D125" s="293" t="str">
        <f>IF(AND(Autovalutazione!D127="",Autovalutazione!E127=""),"*","")</f>
        <v>*</v>
      </c>
      <c r="E125" s="39" t="str">
        <f>IF(ISBLANK(Autovalutazione!F127),"",Autovalutazione!F127)</f>
        <v/>
      </c>
      <c r="F125" s="33"/>
      <c r="G125" s="33"/>
      <c r="H125" s="33"/>
      <c r="I125" s="33"/>
      <c r="J125" s="33"/>
      <c r="K125" s="33"/>
      <c r="L125" s="229"/>
      <c r="M125" s="37">
        <v>1</v>
      </c>
      <c r="N125" s="27"/>
      <c r="O125" s="28">
        <f>C125*M125</f>
        <v>0</v>
      </c>
      <c r="P125" s="43">
        <f t="shared" si="20"/>
        <v>0</v>
      </c>
      <c r="Q125" s="36"/>
      <c r="R125" s="27"/>
    </row>
    <row r="126" spans="1:18" ht="26.4" x14ac:dyDescent="0.3">
      <c r="A126" s="3" t="str">
        <f>Autovalutazione!A128</f>
        <v>2.2.3.3.</v>
      </c>
      <c r="B126" s="6" t="str">
        <f>Autovalutazione!C128</f>
        <v>Dipendenti della vostra azienda hanno seguito dei corsi sulla sicurezza organizzati da altri enti? Se sì, quale formazione?</v>
      </c>
      <c r="C126" s="38">
        <f>IF(ISBLANK(Autovalutazione!D128),0,1)</f>
        <v>0</v>
      </c>
      <c r="D126" s="293" t="str">
        <f>IF(AND(Autovalutazione!D128="",Autovalutazione!E128=""),"*","")</f>
        <v>*</v>
      </c>
      <c r="E126" s="39" t="str">
        <f>IF(ISBLANK(Autovalutazione!F128),"",Autovalutazione!F128)</f>
        <v/>
      </c>
      <c r="F126" s="33"/>
      <c r="G126" s="33"/>
      <c r="H126" s="33"/>
      <c r="I126" s="33"/>
      <c r="J126" s="33"/>
      <c r="K126" s="33"/>
      <c r="L126" s="229"/>
      <c r="M126" s="37">
        <v>1</v>
      </c>
      <c r="N126" s="27"/>
      <c r="O126" s="28">
        <f>C126*M126</f>
        <v>0</v>
      </c>
      <c r="P126" s="43">
        <f t="shared" si="20"/>
        <v>0</v>
      </c>
      <c r="Q126" s="36"/>
      <c r="R126" s="27"/>
    </row>
    <row r="127" spans="1:18" x14ac:dyDescent="0.3">
      <c r="A127" s="19" t="str">
        <f>Autovalutazione!A129</f>
        <v>2.3.</v>
      </c>
      <c r="B127" s="20" t="str">
        <f>Autovalutazione!B129</f>
        <v xml:space="preserve">Fondamenti </v>
      </c>
      <c r="C127" s="21">
        <f>O127/N127</f>
        <v>0</v>
      </c>
      <c r="D127" s="23" t="str">
        <f>IF(ISBLANK(Autovalutazione!E129),"",Autovalutazione!E129)</f>
        <v/>
      </c>
      <c r="E127" s="23" t="str">
        <f>IF(ISBLANK(Autovalutazione!F129),"",Autovalutazione!F129)</f>
        <v/>
      </c>
      <c r="F127" s="232"/>
      <c r="G127" s="232"/>
      <c r="H127" s="232"/>
      <c r="I127" s="232"/>
      <c r="J127" s="232"/>
      <c r="K127" s="232"/>
      <c r="L127" s="50">
        <f>P127/N127</f>
        <v>0</v>
      </c>
      <c r="M127" s="22">
        <v>1</v>
      </c>
      <c r="N127" s="22">
        <f>SUM(M128,M133,M139)</f>
        <v>5</v>
      </c>
      <c r="O127" s="24">
        <f>SUM(Q128,Q133,Q139)</f>
        <v>0</v>
      </c>
      <c r="P127" s="24">
        <f>SUM(R128,R133,R139)</f>
        <v>0</v>
      </c>
      <c r="Q127" s="52">
        <f t="shared" ref="Q127:Q128" si="21">O127/$N127*$M127</f>
        <v>0</v>
      </c>
      <c r="R127" s="52">
        <f t="shared" ref="R127:R128" si="22">P127/$N127*$M127</f>
        <v>0</v>
      </c>
    </row>
    <row r="128" spans="1:18" x14ac:dyDescent="0.3">
      <c r="A128" s="23" t="str">
        <f>Autovalutazione!A130</f>
        <v>2.3.1.</v>
      </c>
      <c r="B128" s="23" t="str">
        <f>Autovalutazione!C130</f>
        <v>Basi giuridiche</v>
      </c>
      <c r="C128" s="21">
        <f>O128/N128</f>
        <v>0</v>
      </c>
      <c r="D128" s="23" t="str">
        <f>IF(ISBLANK(Autovalutazione!E130),"",Autovalutazione!E130)</f>
        <v/>
      </c>
      <c r="E128" s="23" t="str">
        <f>IF(ISBLANK(Autovalutazione!F130),"",Autovalutazione!F130)</f>
        <v/>
      </c>
      <c r="F128" s="232"/>
      <c r="G128" s="232"/>
      <c r="H128" s="232"/>
      <c r="I128" s="232"/>
      <c r="J128" s="232"/>
      <c r="K128" s="232"/>
      <c r="L128" s="50">
        <f>P128/N128</f>
        <v>0</v>
      </c>
      <c r="M128" s="23">
        <v>2</v>
      </c>
      <c r="N128" s="23">
        <f>SUM(M129:M132)</f>
        <v>11</v>
      </c>
      <c r="O128" s="56">
        <f>SUM(O129:O132)</f>
        <v>0</v>
      </c>
      <c r="P128" s="56">
        <f>SUM(P129:P132)</f>
        <v>0</v>
      </c>
      <c r="Q128" s="52">
        <f t="shared" si="21"/>
        <v>0</v>
      </c>
      <c r="R128" s="52">
        <f t="shared" si="22"/>
        <v>0</v>
      </c>
    </row>
    <row r="129" spans="1:18" ht="26.4" x14ac:dyDescent="0.3">
      <c r="A129" s="3" t="str">
        <f>Autovalutazione!A131</f>
        <v>2.3.1.1.</v>
      </c>
      <c r="B129" s="6" t="str">
        <f>Autovalutazione!C131</f>
        <v>Sono presenti le basi giuridiche in materia di sicurezza sul lavoro e tutela della salute?</v>
      </c>
      <c r="C129" s="38">
        <f>IF(ISBLANK(Autovalutazione!D131),0,1)</f>
        <v>0</v>
      </c>
      <c r="D129" s="293" t="str">
        <f>IF(AND(Autovalutazione!D131="",Autovalutazione!E131=""),"*","")</f>
        <v>*</v>
      </c>
      <c r="E129" s="39" t="str">
        <f>IF(ISBLANK(Autovalutazione!F131),"",Autovalutazione!F131)</f>
        <v/>
      </c>
      <c r="F129" s="237"/>
      <c r="G129" s="237"/>
      <c r="H129" s="237"/>
      <c r="I129" s="237"/>
      <c r="J129" s="237"/>
      <c r="K129" s="237"/>
      <c r="L129" s="229"/>
      <c r="M129" s="37">
        <v>3</v>
      </c>
      <c r="N129" s="27"/>
      <c r="O129" s="28">
        <f>C129*M129</f>
        <v>0</v>
      </c>
      <c r="P129" s="43">
        <f t="shared" ref="P129:P132" si="23">L129*M129</f>
        <v>0</v>
      </c>
      <c r="Q129" s="36"/>
      <c r="R129" s="27"/>
    </row>
    <row r="130" spans="1:18" ht="26.4" x14ac:dyDescent="0.3">
      <c r="A130" s="3" t="str">
        <f>Autovalutazione!A132</f>
        <v>2.3.1.2.</v>
      </c>
      <c r="B130" s="6" t="str">
        <f>Autovalutazione!C132</f>
        <v>I dipendenti dell'azienda conoscono compiti, diritti e doveri stabiliti per legge?</v>
      </c>
      <c r="C130" s="38">
        <f>IF(ISBLANK(Autovalutazione!D132),0,1)</f>
        <v>0</v>
      </c>
      <c r="D130" s="293" t="str">
        <f>IF(AND(Autovalutazione!D132="",Autovalutazione!E132=""),"*","")</f>
        <v>*</v>
      </c>
      <c r="E130" s="39" t="str">
        <f>IF(ISBLANK(Autovalutazione!F132),"",Autovalutazione!F132)</f>
        <v/>
      </c>
      <c r="F130" s="237"/>
      <c r="G130" s="237"/>
      <c r="H130" s="237"/>
      <c r="I130" s="237"/>
      <c r="J130" s="237"/>
      <c r="K130" s="237"/>
      <c r="L130" s="229"/>
      <c r="M130" s="37">
        <v>3</v>
      </c>
      <c r="N130" s="27"/>
      <c r="O130" s="28">
        <f>C130*M130</f>
        <v>0</v>
      </c>
      <c r="P130" s="43">
        <f t="shared" si="23"/>
        <v>0</v>
      </c>
      <c r="Q130" s="36"/>
      <c r="R130" s="27"/>
    </row>
    <row r="131" spans="1:18" x14ac:dyDescent="0.3">
      <c r="A131" s="3" t="str">
        <f>Autovalutazione!A133</f>
        <v>2.3.1.3.</v>
      </c>
      <c r="B131" s="6" t="str">
        <f>Autovalutazione!C133</f>
        <v>L'azienda adempie alle disposizioni di legge?</v>
      </c>
      <c r="C131" s="38">
        <f>IF(ISBLANK(Autovalutazione!D133),0,1)</f>
        <v>0</v>
      </c>
      <c r="D131" s="293" t="str">
        <f>IF(AND(Autovalutazione!D133="",Autovalutazione!E133=""),"*","")</f>
        <v>*</v>
      </c>
      <c r="E131" s="39" t="str">
        <f>IF(ISBLANK(Autovalutazione!F133),"",Autovalutazione!F133)</f>
        <v/>
      </c>
      <c r="F131" s="237"/>
      <c r="G131" s="237"/>
      <c r="H131" s="237"/>
      <c r="I131" s="237"/>
      <c r="J131" s="237"/>
      <c r="K131" s="237"/>
      <c r="L131" s="229"/>
      <c r="M131" s="37">
        <v>3</v>
      </c>
      <c r="N131" s="27"/>
      <c r="O131" s="28">
        <f>C131*M131</f>
        <v>0</v>
      </c>
      <c r="P131" s="43">
        <f t="shared" si="23"/>
        <v>0</v>
      </c>
      <c r="Q131" s="36"/>
      <c r="R131" s="27"/>
    </row>
    <row r="132" spans="1:18" ht="39.6" x14ac:dyDescent="0.3">
      <c r="A132" s="3" t="str">
        <f>Autovalutazione!A134</f>
        <v>2.3.1.4.</v>
      </c>
      <c r="B132" s="6" t="str">
        <f>Autovalutazione!C134</f>
        <v>I testi di legge vengono aggiornati e messi a disposizione con una procedura stabilita per convenzione? Se sì, chi se ne occupa?</v>
      </c>
      <c r="C132" s="38">
        <f>IF(ISBLANK(Autovalutazione!D134),0,1)</f>
        <v>0</v>
      </c>
      <c r="D132" s="293" t="str">
        <f>IF(AND(Autovalutazione!D134="",Autovalutazione!E134=""),"*","")</f>
        <v>*</v>
      </c>
      <c r="E132" s="39" t="str">
        <f>IF(ISBLANK(Autovalutazione!F134),"",Autovalutazione!F134)</f>
        <v/>
      </c>
      <c r="F132" s="235"/>
      <c r="G132" s="235"/>
      <c r="H132" s="235"/>
      <c r="I132" s="235"/>
      <c r="J132" s="235"/>
      <c r="K132" s="235"/>
      <c r="L132" s="229"/>
      <c r="M132" s="37">
        <v>2</v>
      </c>
      <c r="N132" s="27"/>
      <c r="O132" s="28">
        <f>C132*M132</f>
        <v>0</v>
      </c>
      <c r="P132" s="43">
        <f t="shared" si="23"/>
        <v>0</v>
      </c>
      <c r="Q132" s="36"/>
      <c r="R132" s="27"/>
    </row>
    <row r="133" spans="1:18" x14ac:dyDescent="0.3">
      <c r="A133" s="23" t="str">
        <f>Autovalutazione!A135</f>
        <v>2.3.2.</v>
      </c>
      <c r="B133" s="23" t="str">
        <f>Autovalutazione!C135</f>
        <v>Direttive e norme</v>
      </c>
      <c r="C133" s="21">
        <f>O133/N133</f>
        <v>0</v>
      </c>
      <c r="D133" s="293" t="str">
        <f>IF(AND(Autovalutazione!D135="",Autovalutazione!E135=""),"*","")</f>
        <v>*</v>
      </c>
      <c r="E133" s="23" t="str">
        <f>IF(ISBLANK(Autovalutazione!F135),"",Autovalutazione!F135)</f>
        <v/>
      </c>
      <c r="F133" s="232"/>
      <c r="G133" s="232"/>
      <c r="H133" s="232"/>
      <c r="I133" s="232"/>
      <c r="J133" s="232"/>
      <c r="K133" s="232"/>
      <c r="L133" s="50">
        <f>P133/N133</f>
        <v>0</v>
      </c>
      <c r="M133" s="23">
        <v>2</v>
      </c>
      <c r="N133" s="23">
        <f>SUM(M134:M138)</f>
        <v>14</v>
      </c>
      <c r="O133" s="56">
        <f>SUM(O134:O138)</f>
        <v>0</v>
      </c>
      <c r="P133" s="56">
        <f>SUM(P134:P138)</f>
        <v>0</v>
      </c>
      <c r="Q133" s="52">
        <f>O133/$N133*$M133</f>
        <v>0</v>
      </c>
      <c r="R133" s="52">
        <f>P133/$N133*$M133</f>
        <v>0</v>
      </c>
    </row>
    <row r="134" spans="1:18" ht="26.4" x14ac:dyDescent="0.3">
      <c r="A134" s="3" t="str">
        <f>Autovalutazione!A136</f>
        <v>2.3.2.1.</v>
      </c>
      <c r="B134" s="6" t="str">
        <f>Autovalutazione!C136</f>
        <v>In azienda sono presenti le direttive e le norme rilevanti per la sicurezza e la tutela della salute?</v>
      </c>
      <c r="C134" s="38">
        <f>IF(ISBLANK(Autovalutazione!D136),0,1)</f>
        <v>0</v>
      </c>
      <c r="D134" s="293" t="str">
        <f>IF(AND(Autovalutazione!D136="",Autovalutazione!E136=""),"*","")</f>
        <v>*</v>
      </c>
      <c r="E134" s="39" t="str">
        <f>IF(ISBLANK(Autovalutazione!F136),"",Autovalutazione!F136)</f>
        <v/>
      </c>
      <c r="F134" s="235"/>
      <c r="G134" s="235"/>
      <c r="H134" s="235"/>
      <c r="I134" s="235"/>
      <c r="J134" s="235"/>
      <c r="K134" s="235"/>
      <c r="L134" s="229"/>
      <c r="M134" s="37">
        <v>3</v>
      </c>
      <c r="N134" s="27"/>
      <c r="O134" s="28">
        <f>M134*C134</f>
        <v>0</v>
      </c>
      <c r="P134" s="43">
        <f t="shared" ref="P134:P138" si="24">L134*M134</f>
        <v>0</v>
      </c>
      <c r="Q134" s="36"/>
      <c r="R134" s="27"/>
    </row>
    <row r="135" spans="1:18" ht="26.4" x14ac:dyDescent="0.3">
      <c r="A135" s="3" t="str">
        <f>Autovalutazione!A137</f>
        <v>2.3.2.2.</v>
      </c>
      <c r="B135" s="6" t="str">
        <f>Autovalutazione!C137</f>
        <v>I diretti interessati sono in possesso di queste direttive e norme oppure possono accedervi in qualsiasi momento?</v>
      </c>
      <c r="C135" s="38">
        <f>IF(ISBLANK(Autovalutazione!D137),0,1)</f>
        <v>0</v>
      </c>
      <c r="D135" s="293" t="str">
        <f>IF(AND(Autovalutazione!D137="",Autovalutazione!E137=""),"*","")</f>
        <v>*</v>
      </c>
      <c r="E135" s="39" t="str">
        <f>IF(ISBLANK(Autovalutazione!F137),"",Autovalutazione!F137)</f>
        <v/>
      </c>
      <c r="F135" s="237"/>
      <c r="G135" s="237"/>
      <c r="H135" s="237"/>
      <c r="I135" s="237"/>
      <c r="J135" s="237"/>
      <c r="K135" s="237"/>
      <c r="L135" s="229"/>
      <c r="M135" s="37">
        <v>3</v>
      </c>
      <c r="N135" s="27"/>
      <c r="O135" s="28">
        <f>M135*C135</f>
        <v>0</v>
      </c>
      <c r="P135" s="43">
        <f t="shared" si="24"/>
        <v>0</v>
      </c>
      <c r="Q135" s="36"/>
      <c r="R135" s="36"/>
    </row>
    <row r="136" spans="1:18" ht="26.4" x14ac:dyDescent="0.3">
      <c r="A136" s="3" t="str">
        <f>Autovalutazione!A138</f>
        <v>2.3.2.3.</v>
      </c>
      <c r="B136" s="6" t="str">
        <f>Autovalutazione!C138</f>
        <v>I diretti interessati conoscono i loro compiti, i loro diritti e doveri stabiliti dalle direttive e dalle norme?</v>
      </c>
      <c r="C136" s="38">
        <f>IF(ISBLANK(Autovalutazione!D138),0,1)</f>
        <v>0</v>
      </c>
      <c r="D136" s="293" t="str">
        <f>IF(AND(Autovalutazione!D138="",Autovalutazione!E138=""),"*","")</f>
        <v>*</v>
      </c>
      <c r="E136" s="39" t="str">
        <f>IF(ISBLANK(Autovalutazione!F138),"",Autovalutazione!F138)</f>
        <v/>
      </c>
      <c r="F136" s="235"/>
      <c r="G136" s="235"/>
      <c r="H136" s="235"/>
      <c r="I136" s="235"/>
      <c r="J136" s="235"/>
      <c r="K136" s="235"/>
      <c r="L136" s="229"/>
      <c r="M136" s="37">
        <v>3</v>
      </c>
      <c r="N136" s="27"/>
      <c r="O136" s="28">
        <f>M136*C136</f>
        <v>0</v>
      </c>
      <c r="P136" s="43">
        <f t="shared" si="24"/>
        <v>0</v>
      </c>
      <c r="Q136" s="36"/>
      <c r="R136" s="27"/>
    </row>
    <row r="137" spans="1:18" x14ac:dyDescent="0.3">
      <c r="A137" s="3" t="str">
        <f>Autovalutazione!A139</f>
        <v>2.3.2.4.</v>
      </c>
      <c r="B137" s="6" t="str">
        <f>Autovalutazione!C139</f>
        <v>L'azienda adempie alle direttive e alle norme?</v>
      </c>
      <c r="C137" s="38">
        <f>IF(ISBLANK(Autovalutazione!D139),0,1)</f>
        <v>0</v>
      </c>
      <c r="D137" s="293" t="str">
        <f>IF(AND(Autovalutazione!D139="",Autovalutazione!E139=""),"*","")</f>
        <v>*</v>
      </c>
      <c r="E137" s="39" t="str">
        <f>IF(ISBLANK(Autovalutazione!F139),"",Autovalutazione!F139)</f>
        <v/>
      </c>
      <c r="F137" s="235"/>
      <c r="G137" s="235"/>
      <c r="H137" s="235"/>
      <c r="I137" s="235"/>
      <c r="J137" s="235"/>
      <c r="K137" s="235"/>
      <c r="L137" s="229"/>
      <c r="M137" s="37">
        <v>3</v>
      </c>
      <c r="N137" s="27"/>
      <c r="O137" s="28">
        <f>M137*C137</f>
        <v>0</v>
      </c>
      <c r="P137" s="43">
        <f t="shared" si="24"/>
        <v>0</v>
      </c>
      <c r="Q137" s="36"/>
      <c r="R137" s="27"/>
    </row>
    <row r="138" spans="1:18" ht="54.75" customHeight="1" x14ac:dyDescent="0.3">
      <c r="A138" s="3" t="str">
        <f>Autovalutazione!A140</f>
        <v>2.3.2.5.</v>
      </c>
      <c r="B138" s="6" t="str">
        <f>Autovalutazione!C140</f>
        <v>Le direttive e le norme vengono aggiornate e messe a disposizione con una procedura stabilita per convenzione? Se sì, chi se ne occupa?</v>
      </c>
      <c r="C138" s="38">
        <f>IF(ISBLANK(Autovalutazione!D140),0,1)</f>
        <v>0</v>
      </c>
      <c r="D138" s="293" t="str">
        <f>IF(AND(Autovalutazione!D140="",Autovalutazione!E140=""),"*","")</f>
        <v>*</v>
      </c>
      <c r="E138" s="39" t="str">
        <f>IF(ISBLANK(Autovalutazione!F140),"",Autovalutazione!F140)</f>
        <v/>
      </c>
      <c r="F138" s="235"/>
      <c r="G138" s="235"/>
      <c r="H138" s="235"/>
      <c r="I138" s="235"/>
      <c r="J138" s="235"/>
      <c r="K138" s="235"/>
      <c r="L138" s="229"/>
      <c r="M138" s="37">
        <v>2</v>
      </c>
      <c r="N138" s="27"/>
      <c r="O138" s="28">
        <f>M138*C138</f>
        <v>0</v>
      </c>
      <c r="P138" s="43">
        <f t="shared" si="24"/>
        <v>0</v>
      </c>
      <c r="Q138" s="36"/>
      <c r="R138" s="27"/>
    </row>
    <row r="139" spans="1:18" x14ac:dyDescent="0.3">
      <c r="A139" s="23" t="str">
        <f>Autovalutazione!A141</f>
        <v>2.3.3.</v>
      </c>
      <c r="B139" s="23" t="str">
        <f>Autovalutazione!C141</f>
        <v>Documentazione in materia di S &amp; S</v>
      </c>
      <c r="C139" s="21">
        <f>O139/N139</f>
        <v>0</v>
      </c>
      <c r="D139" s="23" t="str">
        <f>IF(ISBLANK(Autovalutazione!E141),"",Autovalutazione!E141)</f>
        <v/>
      </c>
      <c r="E139" s="23" t="str">
        <f>IF(ISBLANK(Autovalutazione!F141),"",Autovalutazione!F141)</f>
        <v/>
      </c>
      <c r="F139" s="232"/>
      <c r="G139" s="232"/>
      <c r="H139" s="232"/>
      <c r="I139" s="232"/>
      <c r="J139" s="232"/>
      <c r="K139" s="232"/>
      <c r="L139" s="50">
        <f>P139/N139</f>
        <v>0</v>
      </c>
      <c r="M139" s="23">
        <v>1</v>
      </c>
      <c r="N139" s="23">
        <f>SUM(M140:M143)</f>
        <v>9</v>
      </c>
      <c r="O139" s="56">
        <f>SUM(O140:O143)</f>
        <v>0</v>
      </c>
      <c r="P139" s="56">
        <f>SUM(P140:P143)</f>
        <v>0</v>
      </c>
      <c r="Q139" s="52">
        <f>O139/$N139*$M139</f>
        <v>0</v>
      </c>
      <c r="R139" s="52">
        <f>P139/$N139*$M139</f>
        <v>0</v>
      </c>
    </row>
    <row r="140" spans="1:18" ht="26.4" x14ac:dyDescent="0.3">
      <c r="A140" s="3" t="str">
        <f>Autovalutazione!A142</f>
        <v>2.3.3.1.</v>
      </c>
      <c r="B140" s="6" t="str">
        <f>Autovalutazione!C142</f>
        <v>L'azienda ha centralizzato tutti i documenti inerenti la sicurezza e la tutela della salute?</v>
      </c>
      <c r="C140" s="38">
        <f>IF(ISBLANK(Autovalutazione!D142),0,1)</f>
        <v>0</v>
      </c>
      <c r="D140" s="293" t="str">
        <f>IF(AND(Autovalutazione!D142="",Autovalutazione!E142=""),"*","")</f>
        <v>*</v>
      </c>
      <c r="E140" s="39" t="str">
        <f>IF(ISBLANK(Autovalutazione!F142),"",Autovalutazione!F142)</f>
        <v/>
      </c>
      <c r="F140" s="237"/>
      <c r="G140" s="237"/>
      <c r="H140" s="237"/>
      <c r="I140" s="237"/>
      <c r="J140" s="237"/>
      <c r="K140" s="237"/>
      <c r="L140" s="229"/>
      <c r="M140" s="37">
        <v>3</v>
      </c>
      <c r="N140" s="27"/>
      <c r="O140" s="28">
        <f>C140*M140</f>
        <v>0</v>
      </c>
      <c r="P140" s="43">
        <f t="shared" ref="P140:P143" si="25">L140*M140</f>
        <v>0</v>
      </c>
      <c r="Q140" s="36"/>
      <c r="R140" s="36"/>
    </row>
    <row r="141" spans="1:18" ht="26.4" x14ac:dyDescent="0.3">
      <c r="A141" s="3" t="str">
        <f>Autovalutazione!A143</f>
        <v>2.3.3.2.</v>
      </c>
      <c r="B141" s="6" t="str">
        <f>Autovalutazione!C143</f>
        <v>I dipendenti ricevono una copia personale dei documenti importanti?</v>
      </c>
      <c r="C141" s="38">
        <f>IF(ISBLANK(Autovalutazione!D143),0,1)</f>
        <v>0</v>
      </c>
      <c r="D141" s="293" t="str">
        <f>IF(AND(Autovalutazione!D143="",Autovalutazione!E143=""),"*","")</f>
        <v>*</v>
      </c>
      <c r="E141" s="39" t="str">
        <f>IF(ISBLANK(Autovalutazione!F143),"",Autovalutazione!F143)</f>
        <v/>
      </c>
      <c r="F141" s="235"/>
      <c r="G141" s="235"/>
      <c r="H141" s="235"/>
      <c r="I141" s="235"/>
      <c r="J141" s="235"/>
      <c r="K141" s="235"/>
      <c r="L141" s="229"/>
      <c r="M141" s="37">
        <v>1</v>
      </c>
      <c r="N141" s="27"/>
      <c r="O141" s="28">
        <f>C141*M141</f>
        <v>0</v>
      </c>
      <c r="P141" s="43">
        <f t="shared" si="25"/>
        <v>0</v>
      </c>
      <c r="Q141" s="36"/>
      <c r="R141" s="27"/>
    </row>
    <row r="142" spans="1:18" ht="26.4" x14ac:dyDescent="0.3">
      <c r="A142" s="3" t="str">
        <f>Autovalutazione!A144</f>
        <v>2.3.3.3.</v>
      </c>
      <c r="B142" s="6" t="str">
        <f>Autovalutazione!C144</f>
        <v>La documentazione relativa alla sicurezza e alla tutela della salute è facilmente accessibile (biblioteca o spazio similare)?</v>
      </c>
      <c r="C142" s="38">
        <f>IF(ISBLANK(Autovalutazione!D144),0,1)</f>
        <v>0</v>
      </c>
      <c r="D142" s="293" t="str">
        <f>IF(AND(Autovalutazione!D144="",Autovalutazione!E144=""),"*","")</f>
        <v>*</v>
      </c>
      <c r="E142" s="39" t="str">
        <f>IF(ISBLANK(Autovalutazione!F144),"",Autovalutazione!F144)</f>
        <v/>
      </c>
      <c r="F142" s="235"/>
      <c r="G142" s="235"/>
      <c r="H142" s="235"/>
      <c r="I142" s="235"/>
      <c r="J142" s="235"/>
      <c r="K142" s="235"/>
      <c r="L142" s="229"/>
      <c r="M142" s="37">
        <v>3</v>
      </c>
      <c r="N142" s="27"/>
      <c r="O142" s="28">
        <f>C142*M142</f>
        <v>0</v>
      </c>
      <c r="P142" s="43">
        <f t="shared" si="25"/>
        <v>0</v>
      </c>
      <c r="Q142" s="36"/>
      <c r="R142" s="27"/>
    </row>
    <row r="143" spans="1:18" ht="52.8" x14ac:dyDescent="0.3">
      <c r="A143" s="3" t="str">
        <f>Autovalutazione!A145</f>
        <v>2.3.3.4.</v>
      </c>
      <c r="B143" s="6" t="str">
        <f>Autovalutazione!C145</f>
        <v>I documenti relativi alla sicurezza e alla tutela della salute vengono aggiornati e messi a disposizione con una procedura stabilita per convenzione? Se sì, chi se ne occupa?</v>
      </c>
      <c r="C143" s="38">
        <f>IF(ISBLANK(Autovalutazione!D145),0,1)</f>
        <v>0</v>
      </c>
      <c r="D143" s="293" t="str">
        <f>IF(AND(Autovalutazione!D145="",Autovalutazione!E145=""),"*","")</f>
        <v>*</v>
      </c>
      <c r="E143" s="39" t="str">
        <f>IF(ISBLANK(Autovalutazione!F145),"",Autovalutazione!F145)</f>
        <v/>
      </c>
      <c r="F143" s="235"/>
      <c r="G143" s="235"/>
      <c r="H143" s="235"/>
      <c r="I143" s="235"/>
      <c r="J143" s="235"/>
      <c r="K143" s="235"/>
      <c r="L143" s="229"/>
      <c r="M143" s="37">
        <v>2</v>
      </c>
      <c r="N143" s="37"/>
      <c r="O143" s="28">
        <f>C143*M143</f>
        <v>0</v>
      </c>
      <c r="P143" s="43">
        <f t="shared" si="25"/>
        <v>0</v>
      </c>
      <c r="Q143" s="36"/>
      <c r="R143" s="27"/>
    </row>
    <row r="144" spans="1:18" x14ac:dyDescent="0.3">
      <c r="A144" s="7" t="str">
        <f>Autovalutazione!A147</f>
        <v>3.</v>
      </c>
      <c r="B144" s="7" t="str">
        <f>Autovalutazione!B147</f>
        <v>Qualificazione, formazione, comunicazione</v>
      </c>
      <c r="C144" s="30">
        <f>O144/N144</f>
        <v>0</v>
      </c>
      <c r="D144" s="18"/>
      <c r="E144" s="18"/>
      <c r="F144" s="18"/>
      <c r="G144" s="18"/>
      <c r="H144" s="18"/>
      <c r="I144" s="18"/>
      <c r="J144" s="18"/>
      <c r="K144" s="18"/>
      <c r="L144" s="231">
        <f>P144/N144</f>
        <v>0</v>
      </c>
      <c r="M144" s="5"/>
      <c r="N144" s="5">
        <f>SUM(M145,M152,M164,M170,M175,M182,M189,M193,M223,M227)</f>
        <v>13</v>
      </c>
      <c r="O144" s="48">
        <f>SUM(Q145:Q239)</f>
        <v>0</v>
      </c>
      <c r="P144" s="48">
        <f>SUM(R145:R239)</f>
        <v>0</v>
      </c>
      <c r="Q144" s="35"/>
      <c r="R144" s="35"/>
    </row>
    <row r="145" spans="1:18" x14ac:dyDescent="0.3">
      <c r="A145" s="19" t="str">
        <f>Autovalutazione!A149</f>
        <v>3.1.</v>
      </c>
      <c r="B145" s="20" t="str">
        <f>Autovalutazione!B149</f>
        <v>Criteri di selezione, contrattualistica</v>
      </c>
      <c r="C145" s="21">
        <f>O145/N145</f>
        <v>0</v>
      </c>
      <c r="D145" s="23"/>
      <c r="E145" s="23"/>
      <c r="F145" s="232"/>
      <c r="G145" s="232"/>
      <c r="H145" s="232"/>
      <c r="I145" s="232"/>
      <c r="J145" s="232"/>
      <c r="K145" s="232"/>
      <c r="L145" s="50">
        <f>P145/N145</f>
        <v>0</v>
      </c>
      <c r="M145" s="22">
        <v>2</v>
      </c>
      <c r="N145" s="23">
        <f>SUM(M146:M151)</f>
        <v>15</v>
      </c>
      <c r="O145" s="56">
        <f>SUM(O146:O151)</f>
        <v>0</v>
      </c>
      <c r="P145" s="56">
        <f>SUM(P146:P151)</f>
        <v>0</v>
      </c>
      <c r="Q145" s="52">
        <f>O145/$N145*$M145</f>
        <v>0</v>
      </c>
      <c r="R145" s="52">
        <f>P145/$N145*$M145</f>
        <v>0</v>
      </c>
    </row>
    <row r="146" spans="1:18" ht="26.4" x14ac:dyDescent="0.3">
      <c r="A146" s="3" t="str">
        <f>Autovalutazione!A150</f>
        <v>3.1.1.</v>
      </c>
      <c r="B146" s="6" t="str">
        <f>Autovalutazione!C150</f>
        <v>L'azienda ha stabilito criteri specifici per la selezione del personale?</v>
      </c>
      <c r="C146" s="38">
        <f>IF(ISBLANK(Autovalutazione!D150),0,1)</f>
        <v>0</v>
      </c>
      <c r="D146" s="293" t="str">
        <f>IF(AND(Autovalutazione!D150="",Autovalutazione!E150=""),"*","")</f>
        <v>*</v>
      </c>
      <c r="E146" s="39" t="str">
        <f>IF(ISBLANK(Autovalutazione!F150),"",Autovalutazione!F150)</f>
        <v/>
      </c>
      <c r="F146" s="235"/>
      <c r="G146" s="235"/>
      <c r="H146" s="235"/>
      <c r="I146" s="235"/>
      <c r="J146" s="235"/>
      <c r="K146" s="235"/>
      <c r="L146" s="229"/>
      <c r="M146" s="37">
        <v>3</v>
      </c>
      <c r="N146" s="27"/>
      <c r="O146" s="28">
        <f t="shared" ref="O146:O151" si="26">C146*M146</f>
        <v>0</v>
      </c>
      <c r="P146" s="28">
        <f>L146*M146</f>
        <v>0</v>
      </c>
      <c r="Q146" s="36"/>
      <c r="R146" s="27"/>
    </row>
    <row r="147" spans="1:18" ht="26.4" x14ac:dyDescent="0.3">
      <c r="A147" s="3" t="str">
        <f>Autovalutazione!A151</f>
        <v>3.1.2.</v>
      </c>
      <c r="B147" s="6" t="str">
        <f>Autovalutazione!C151</f>
        <v>Nella selezione del personale si tiene conto di aspetti come la sicurezza e la salute?</v>
      </c>
      <c r="C147" s="38">
        <f>IF(ISBLANK(Autovalutazione!D151),0,1)</f>
        <v>0</v>
      </c>
      <c r="D147" s="293" t="str">
        <f>IF(AND(Autovalutazione!D151="",Autovalutazione!E151=""),"*","")</f>
        <v>*</v>
      </c>
      <c r="E147" s="39" t="str">
        <f>IF(ISBLANK(Autovalutazione!F151),"",Autovalutazione!F151)</f>
        <v/>
      </c>
      <c r="F147" s="235"/>
      <c r="G147" s="235"/>
      <c r="H147" s="235"/>
      <c r="I147" s="235"/>
      <c r="J147" s="235"/>
      <c r="K147" s="235"/>
      <c r="L147" s="229"/>
      <c r="M147" s="37">
        <v>3</v>
      </c>
      <c r="N147" s="27"/>
      <c r="O147" s="28">
        <f t="shared" si="26"/>
        <v>0</v>
      </c>
      <c r="P147" s="28">
        <f>L147*M147</f>
        <v>0</v>
      </c>
      <c r="Q147" s="36"/>
      <c r="R147" s="27"/>
    </row>
    <row r="148" spans="1:18" ht="26.4" x14ac:dyDescent="0.3">
      <c r="A148" s="3" t="str">
        <f>Autovalutazione!A152</f>
        <v>3.1.3.</v>
      </c>
      <c r="B148" s="6" t="str">
        <f>Autovalutazione!C152</f>
        <v>Nella selezione del personale si svolgono particolari test di idoneità? Se sì, per quali attività o situazioni di stress?</v>
      </c>
      <c r="C148" s="38">
        <f>IF(ISBLANK(Autovalutazione!D152),0,1)</f>
        <v>0</v>
      </c>
      <c r="D148" s="293" t="str">
        <f>IF(AND(Autovalutazione!D152="",Autovalutazione!E152=""),"*","")</f>
        <v>*</v>
      </c>
      <c r="E148" s="39" t="str">
        <f>IF(ISBLANK(Autovalutazione!F152),"",Autovalutazione!F152)</f>
        <v/>
      </c>
      <c r="F148" s="235"/>
      <c r="G148" s="235"/>
      <c r="H148" s="235"/>
      <c r="I148" s="235"/>
      <c r="J148" s="235"/>
      <c r="K148" s="235"/>
      <c r="L148" s="229"/>
      <c r="M148" s="37">
        <v>1</v>
      </c>
      <c r="N148" s="27"/>
      <c r="O148" s="28">
        <f t="shared" si="26"/>
        <v>0</v>
      </c>
      <c r="P148" s="28">
        <f t="shared" ref="P148:P151" si="27">L148*M148</f>
        <v>0</v>
      </c>
      <c r="Q148" s="36"/>
      <c r="R148" s="27"/>
    </row>
    <row r="149" spans="1:18" ht="26.4" x14ac:dyDescent="0.3">
      <c r="A149" s="3" t="str">
        <f>Autovalutazione!A153</f>
        <v>3.1.4.</v>
      </c>
      <c r="B149" s="6" t="str">
        <f>Autovalutazione!C153</f>
        <v>Si verifica se il candidato capisce la lingua parlata in azienda e questo aspetto è determinante ai fini della selezione?</v>
      </c>
      <c r="C149" s="38">
        <f>IF(ISBLANK(Autovalutazione!D153),0,1)</f>
        <v>0</v>
      </c>
      <c r="D149" s="293" t="str">
        <f>IF(AND(Autovalutazione!D153="",Autovalutazione!E153=""),"*","")</f>
        <v>*</v>
      </c>
      <c r="E149" s="39" t="str">
        <f>IF(ISBLANK(Autovalutazione!F153),"",Autovalutazione!F153)</f>
        <v/>
      </c>
      <c r="F149" s="235"/>
      <c r="G149" s="235"/>
      <c r="H149" s="235"/>
      <c r="I149" s="235"/>
      <c r="J149" s="235"/>
      <c r="K149" s="235"/>
      <c r="L149" s="229"/>
      <c r="M149" s="37">
        <v>2</v>
      </c>
      <c r="N149" s="27"/>
      <c r="O149" s="28">
        <f t="shared" si="26"/>
        <v>0</v>
      </c>
      <c r="P149" s="28">
        <f t="shared" si="27"/>
        <v>0</v>
      </c>
      <c r="Q149" s="36"/>
      <c r="R149" s="27"/>
    </row>
    <row r="150" spans="1:18" ht="26.4" x14ac:dyDescent="0.3">
      <c r="A150" s="3" t="str">
        <f>Autovalutazione!A154</f>
        <v>3.1.5.</v>
      </c>
      <c r="B150" s="6" t="str">
        <f>Autovalutazione!C154</f>
        <v>Avere un comportamento sicuro è oggetto del contratto di lavoro per i dipendenti con un posto fisso?</v>
      </c>
      <c r="C150" s="38">
        <f>IF(ISBLANK(Autovalutazione!D154),0,1)</f>
        <v>0</v>
      </c>
      <c r="D150" s="293" t="str">
        <f>IF(AND(Autovalutazione!D154="",Autovalutazione!E154=""),"*","")</f>
        <v>*</v>
      </c>
      <c r="E150" s="39" t="str">
        <f>IF(ISBLANK(Autovalutazione!F154),"",Autovalutazione!F154)</f>
        <v/>
      </c>
      <c r="F150" s="237"/>
      <c r="G150" s="237"/>
      <c r="H150" s="237"/>
      <c r="I150" s="237"/>
      <c r="J150" s="237"/>
      <c r="K150" s="237"/>
      <c r="L150" s="229"/>
      <c r="M150" s="37">
        <v>3</v>
      </c>
      <c r="N150" s="27"/>
      <c r="O150" s="28">
        <f t="shared" si="26"/>
        <v>0</v>
      </c>
      <c r="P150" s="28">
        <f t="shared" si="27"/>
        <v>0</v>
      </c>
      <c r="Q150" s="36"/>
      <c r="R150" s="36"/>
    </row>
    <row r="151" spans="1:18" ht="39.6" x14ac:dyDescent="0.3">
      <c r="A151" s="3" t="str">
        <f>Autovalutazione!A155</f>
        <v>3.1.6.</v>
      </c>
      <c r="B151" s="6" t="str">
        <f>Autovalutazione!C155</f>
        <v>Avere un comportamento sicuro è oggetto dei contratti di lavoro con i lavoratori part-time, con gli stagionali o gli ausiliari?</v>
      </c>
      <c r="C151" s="38">
        <f>IF(ISBLANK(Autovalutazione!D155),0,1)</f>
        <v>0</v>
      </c>
      <c r="D151" s="293" t="str">
        <f>IF(AND(Autovalutazione!D155="",Autovalutazione!E155=""),"*","")</f>
        <v>*</v>
      </c>
      <c r="E151" s="39" t="str">
        <f>IF(ISBLANK(Autovalutazione!F155),"",Autovalutazione!F155)</f>
        <v/>
      </c>
      <c r="F151" s="235"/>
      <c r="G151" s="235"/>
      <c r="H151" s="235"/>
      <c r="I151" s="235"/>
      <c r="J151" s="235"/>
      <c r="K151" s="235"/>
      <c r="L151" s="229"/>
      <c r="M151" s="37">
        <v>3</v>
      </c>
      <c r="N151" s="27"/>
      <c r="O151" s="28">
        <f t="shared" si="26"/>
        <v>0</v>
      </c>
      <c r="P151" s="28">
        <f t="shared" si="27"/>
        <v>0</v>
      </c>
      <c r="Q151" s="36"/>
      <c r="R151" s="27"/>
    </row>
    <row r="152" spans="1:18" x14ac:dyDescent="0.3">
      <c r="A152" s="19" t="str">
        <f>Autovalutazione!A156</f>
        <v>3.2.</v>
      </c>
      <c r="B152" s="20" t="str">
        <f>Autovalutazione!B156</f>
        <v>Neo-assunti</v>
      </c>
      <c r="C152" s="21">
        <f>O152/N152</f>
        <v>0</v>
      </c>
      <c r="D152" s="23" t="str">
        <f>IF(ISBLANK(Autovalutazione!E156),"",Autovalutazione!E156)</f>
        <v/>
      </c>
      <c r="E152" s="23" t="str">
        <f>IF(ISBLANK(Autovalutazione!F156),"",Autovalutazione!F156)</f>
        <v/>
      </c>
      <c r="F152" s="232"/>
      <c r="G152" s="232"/>
      <c r="H152" s="232"/>
      <c r="I152" s="232"/>
      <c r="J152" s="232"/>
      <c r="K152" s="232"/>
      <c r="L152" s="50">
        <f>P152/N152</f>
        <v>0</v>
      </c>
      <c r="M152" s="22">
        <v>2</v>
      </c>
      <c r="N152" s="22">
        <f>SUM(M153:M163)</f>
        <v>25</v>
      </c>
      <c r="O152" s="24">
        <f>SUM(O153:O163)</f>
        <v>0</v>
      </c>
      <c r="P152" s="24">
        <f>SUM(P153:P163)</f>
        <v>0</v>
      </c>
      <c r="Q152" s="52">
        <f>O152/$N152*$M152</f>
        <v>0</v>
      </c>
      <c r="R152" s="52">
        <f>P152/$N152*$M152</f>
        <v>0</v>
      </c>
    </row>
    <row r="153" spans="1:18" ht="39.6" x14ac:dyDescent="0.3">
      <c r="A153" s="3" t="str">
        <f>Autovalutazione!A157</f>
        <v>3.2.1.a</v>
      </c>
      <c r="B153" s="6" t="str">
        <f>Autovalutazione!C157</f>
        <v>L'azienda dispone di un programma di introduzione standardizzato per: 
i dipendenti neo-assunti?</v>
      </c>
      <c r="C153" s="38">
        <f>IF(ISBLANK(Autovalutazione!D157),0,1)</f>
        <v>0</v>
      </c>
      <c r="D153" s="293" t="str">
        <f>IF(AND(Autovalutazione!D157="",Autovalutazione!E157=""),"*","")</f>
        <v>*</v>
      </c>
      <c r="E153" s="39" t="str">
        <f>IF(ISBLANK(Autovalutazione!F157),"",Autovalutazione!F157)</f>
        <v/>
      </c>
      <c r="F153" s="235"/>
      <c r="G153" s="235"/>
      <c r="H153" s="235"/>
      <c r="I153" s="235"/>
      <c r="J153" s="235"/>
      <c r="K153" s="235"/>
      <c r="L153" s="229"/>
      <c r="M153" s="37">
        <v>3</v>
      </c>
      <c r="N153" s="27"/>
      <c r="O153" s="28">
        <f t="shared" ref="O153:O163" si="28">M153*C153</f>
        <v>0</v>
      </c>
      <c r="P153" s="43">
        <f t="shared" ref="P153:P163" si="29">L153*M153</f>
        <v>0</v>
      </c>
      <c r="Q153" s="36"/>
      <c r="R153" s="27"/>
    </row>
    <row r="154" spans="1:18" x14ac:dyDescent="0.3">
      <c r="A154" s="3" t="str">
        <f>Autovalutazione!A158</f>
        <v>3.2.1.b</v>
      </c>
      <c r="B154" s="6" t="str">
        <f>Autovalutazione!C158</f>
        <v>i dipendenti interinali?</v>
      </c>
      <c r="C154" s="38">
        <f>IF(ISBLANK(Autovalutazione!D158),0,1)</f>
        <v>0</v>
      </c>
      <c r="D154" s="293" t="str">
        <f>IF(AND(Autovalutazione!D158="",Autovalutazione!E158=""),"*","")</f>
        <v>*</v>
      </c>
      <c r="E154" s="39" t="str">
        <f>IF(ISBLANK(Autovalutazione!F158),"",Autovalutazione!F158)</f>
        <v/>
      </c>
      <c r="F154" s="235"/>
      <c r="G154" s="235"/>
      <c r="H154" s="235"/>
      <c r="I154" s="235"/>
      <c r="J154" s="235"/>
      <c r="K154" s="235"/>
      <c r="L154" s="229"/>
      <c r="M154" s="37">
        <v>3</v>
      </c>
      <c r="N154" s="27"/>
      <c r="O154" s="28">
        <f t="shared" si="28"/>
        <v>0</v>
      </c>
      <c r="P154" s="43">
        <f>L154*M154</f>
        <v>0</v>
      </c>
      <c r="Q154" s="36"/>
      <c r="R154" s="27"/>
    </row>
    <row r="155" spans="1:18" x14ac:dyDescent="0.3">
      <c r="A155" s="3" t="str">
        <f>Autovalutazione!A159</f>
        <v>3.2.1.c</v>
      </c>
      <c r="B155" s="6" t="str">
        <f>Autovalutazione!C159</f>
        <v>i dipendenti trasferiti?</v>
      </c>
      <c r="C155" s="38">
        <f>IF(ISBLANK(Autovalutazione!D159),0,1)</f>
        <v>0</v>
      </c>
      <c r="D155" s="293" t="str">
        <f>IF(AND(Autovalutazione!D159="",Autovalutazione!E159=""),"*","")</f>
        <v>*</v>
      </c>
      <c r="E155" s="39" t="str">
        <f>IF(ISBLANK(Autovalutazione!F159),"",Autovalutazione!F159)</f>
        <v/>
      </c>
      <c r="F155" s="237"/>
      <c r="G155" s="237"/>
      <c r="H155" s="237"/>
      <c r="I155" s="237"/>
      <c r="J155" s="237"/>
      <c r="K155" s="237"/>
      <c r="L155" s="229"/>
      <c r="M155" s="37">
        <v>1</v>
      </c>
      <c r="N155" s="27"/>
      <c r="O155" s="28">
        <f t="shared" si="28"/>
        <v>0</v>
      </c>
      <c r="P155" s="43">
        <f t="shared" si="29"/>
        <v>0</v>
      </c>
      <c r="Q155" s="36"/>
      <c r="R155" s="27"/>
    </row>
    <row r="156" spans="1:18" ht="26.4" x14ac:dyDescent="0.3">
      <c r="A156" s="3" t="str">
        <f>Autovalutazione!A160</f>
        <v>3.2.2.</v>
      </c>
      <c r="B156" s="6" t="str">
        <f>Autovalutazione!C160</f>
        <v>Per documentare l'introduzione si usano liste di controllo o parole chiave?</v>
      </c>
      <c r="C156" s="38">
        <f>IF(ISBLANK(Autovalutazione!D160),0,1)</f>
        <v>0</v>
      </c>
      <c r="D156" s="293" t="str">
        <f>IF(AND(Autovalutazione!D160="",Autovalutazione!E160=""),"*","")</f>
        <v>*</v>
      </c>
      <c r="E156" s="39" t="str">
        <f>IF(ISBLANK(Autovalutazione!F160),"",Autovalutazione!F160)</f>
        <v/>
      </c>
      <c r="F156" s="237"/>
      <c r="G156" s="237"/>
      <c r="H156" s="237"/>
      <c r="I156" s="237"/>
      <c r="J156" s="237"/>
      <c r="K156" s="237"/>
      <c r="L156" s="229"/>
      <c r="M156" s="37">
        <v>2</v>
      </c>
      <c r="N156" s="27"/>
      <c r="O156" s="28">
        <f t="shared" si="28"/>
        <v>0</v>
      </c>
      <c r="P156" s="43">
        <f t="shared" si="29"/>
        <v>0</v>
      </c>
      <c r="Q156" s="36"/>
      <c r="R156" s="36"/>
    </row>
    <row r="157" spans="1:18" ht="39.6" x14ac:dyDescent="0.3">
      <c r="A157" s="3" t="str">
        <f>Autovalutazione!A161</f>
        <v>3.2.3.a</v>
      </c>
      <c r="B157" s="6" t="str">
        <f>Autovalutazione!C161</f>
        <v>La sicurezza e la tutela della salute sono parte integrante dell'introduzione per:
i dipendenti neo-assunti?</v>
      </c>
      <c r="C157" s="38">
        <f>IF(ISBLANK(Autovalutazione!D161),0,1)</f>
        <v>0</v>
      </c>
      <c r="D157" s="293" t="str">
        <f>IF(AND(Autovalutazione!D161="",Autovalutazione!E161=""),"*","")</f>
        <v>*</v>
      </c>
      <c r="E157" s="39" t="str">
        <f>IF(ISBLANK(Autovalutazione!F161),"",Autovalutazione!F161)</f>
        <v/>
      </c>
      <c r="F157" s="235"/>
      <c r="G157" s="235"/>
      <c r="H157" s="235"/>
      <c r="I157" s="235"/>
      <c r="J157" s="235"/>
      <c r="K157" s="235"/>
      <c r="L157" s="229"/>
      <c r="M157" s="37">
        <v>3</v>
      </c>
      <c r="N157" s="27"/>
      <c r="O157" s="28">
        <f t="shared" si="28"/>
        <v>0</v>
      </c>
      <c r="P157" s="43">
        <f t="shared" si="29"/>
        <v>0</v>
      </c>
      <c r="Q157" s="36"/>
      <c r="R157" s="27"/>
    </row>
    <row r="158" spans="1:18" x14ac:dyDescent="0.3">
      <c r="A158" s="3" t="str">
        <f>Autovalutazione!A162</f>
        <v>3.2.3.b</v>
      </c>
      <c r="B158" s="6" t="str">
        <f>Autovalutazione!C162</f>
        <v>i dipendenti interinali?</v>
      </c>
      <c r="C158" s="38">
        <f>IF(ISBLANK(Autovalutazione!D162),0,1)</f>
        <v>0</v>
      </c>
      <c r="D158" s="293" t="str">
        <f>IF(AND(Autovalutazione!D162="",Autovalutazione!E162=""),"*","")</f>
        <v>*</v>
      </c>
      <c r="E158" s="39" t="str">
        <f>IF(ISBLANK(Autovalutazione!F162),"",Autovalutazione!F162)</f>
        <v/>
      </c>
      <c r="F158" s="235"/>
      <c r="G158" s="235"/>
      <c r="H158" s="235"/>
      <c r="I158" s="235"/>
      <c r="J158" s="235"/>
      <c r="K158" s="235"/>
      <c r="L158" s="229"/>
      <c r="M158" s="37">
        <v>3</v>
      </c>
      <c r="N158" s="27"/>
      <c r="O158" s="28">
        <f t="shared" si="28"/>
        <v>0</v>
      </c>
      <c r="P158" s="43">
        <f t="shared" si="29"/>
        <v>0</v>
      </c>
      <c r="Q158" s="36"/>
      <c r="R158" s="27"/>
    </row>
    <row r="159" spans="1:18" x14ac:dyDescent="0.3">
      <c r="A159" s="3" t="str">
        <f>Autovalutazione!A163</f>
        <v>3.2.3.c</v>
      </c>
      <c r="B159" s="6" t="str">
        <f>Autovalutazione!C163</f>
        <v>i dipendenti trasferiti?</v>
      </c>
      <c r="C159" s="38">
        <f>IF(ISBLANK(Autovalutazione!D163),0,1)</f>
        <v>0</v>
      </c>
      <c r="D159" s="293" t="str">
        <f>IF(AND(Autovalutazione!D163="",Autovalutazione!E163=""),"*","")</f>
        <v>*</v>
      </c>
      <c r="E159" s="39" t="str">
        <f>IF(ISBLANK(Autovalutazione!F163),"",Autovalutazione!F163)</f>
        <v/>
      </c>
      <c r="F159" s="235"/>
      <c r="G159" s="235"/>
      <c r="H159" s="235"/>
      <c r="I159" s="235"/>
      <c r="J159" s="235"/>
      <c r="K159" s="235"/>
      <c r="L159" s="229"/>
      <c r="M159" s="37">
        <v>1</v>
      </c>
      <c r="N159" s="27"/>
      <c r="O159" s="28">
        <f t="shared" si="28"/>
        <v>0</v>
      </c>
      <c r="P159" s="43">
        <f t="shared" si="29"/>
        <v>0</v>
      </c>
      <c r="Q159" s="36"/>
      <c r="R159" s="27"/>
    </row>
    <row r="160" spans="1:18" ht="39.6" x14ac:dyDescent="0.3">
      <c r="A160" s="3" t="str">
        <f>Autovalutazione!A164</f>
        <v>3.2.4. a</v>
      </c>
      <c r="B160" s="6" t="str">
        <f>Autovalutazione!C164</f>
        <v>Documentazione in materia di sicurezza e tutela della salute sono messi a disposizione:
dei dipendenti neo-assunti?</v>
      </c>
      <c r="C160" s="38">
        <f>IF(ISBLANK(Autovalutazione!D164),0,1)</f>
        <v>0</v>
      </c>
      <c r="D160" s="293" t="str">
        <f>IF(AND(Autovalutazione!D164="",Autovalutazione!E164=""),"*","")</f>
        <v>*</v>
      </c>
      <c r="E160" s="39" t="str">
        <f>IF(ISBLANK(Autovalutazione!F164),"",Autovalutazione!F164)</f>
        <v/>
      </c>
      <c r="F160" s="235"/>
      <c r="G160" s="235"/>
      <c r="H160" s="235"/>
      <c r="I160" s="235"/>
      <c r="J160" s="235"/>
      <c r="K160" s="235"/>
      <c r="L160" s="229"/>
      <c r="M160" s="37">
        <v>2</v>
      </c>
      <c r="N160" s="27"/>
      <c r="O160" s="28">
        <f t="shared" si="28"/>
        <v>0</v>
      </c>
      <c r="P160" s="43">
        <f t="shared" si="29"/>
        <v>0</v>
      </c>
      <c r="Q160" s="36"/>
      <c r="R160" s="27"/>
    </row>
    <row r="161" spans="1:18" x14ac:dyDescent="0.3">
      <c r="A161" s="3" t="str">
        <f>Autovalutazione!A165</f>
        <v>3.2.4.b</v>
      </c>
      <c r="B161" s="6" t="str">
        <f>Autovalutazione!C165</f>
        <v>dei dipendenti interinali?</v>
      </c>
      <c r="C161" s="38">
        <f>IF(ISBLANK(Autovalutazione!D165),0,1)</f>
        <v>0</v>
      </c>
      <c r="D161" s="293" t="str">
        <f>IF(AND(Autovalutazione!D165="",Autovalutazione!E165=""),"*","")</f>
        <v>*</v>
      </c>
      <c r="E161" s="39" t="str">
        <f>IF(ISBLANK(Autovalutazione!F165),"",Autovalutazione!F165)</f>
        <v/>
      </c>
      <c r="F161" s="235"/>
      <c r="G161" s="235"/>
      <c r="H161" s="235"/>
      <c r="I161" s="235"/>
      <c r="J161" s="235"/>
      <c r="K161" s="235"/>
      <c r="L161" s="229"/>
      <c r="M161" s="37">
        <v>2</v>
      </c>
      <c r="N161" s="27"/>
      <c r="O161" s="28">
        <f t="shared" si="28"/>
        <v>0</v>
      </c>
      <c r="P161" s="43">
        <f t="shared" si="29"/>
        <v>0</v>
      </c>
      <c r="Q161" s="36"/>
      <c r="R161" s="27"/>
    </row>
    <row r="162" spans="1:18" x14ac:dyDescent="0.3">
      <c r="A162" s="3" t="str">
        <f>Autovalutazione!A166</f>
        <v>3.2.4.c</v>
      </c>
      <c r="B162" s="6" t="str">
        <f>Autovalutazione!C166</f>
        <v>dei dipendenti trasferiti?</v>
      </c>
      <c r="C162" s="38">
        <f>IF(ISBLANK(Autovalutazione!D166),0,1)</f>
        <v>0</v>
      </c>
      <c r="D162" s="293" t="str">
        <f>IF(AND(Autovalutazione!D166="",Autovalutazione!E166=""),"*","")</f>
        <v>*</v>
      </c>
      <c r="E162" s="39" t="str">
        <f>IF(ISBLANK(Autovalutazione!F166),"",Autovalutazione!F166)</f>
        <v/>
      </c>
      <c r="F162" s="235"/>
      <c r="G162" s="235"/>
      <c r="H162" s="235"/>
      <c r="I162" s="235"/>
      <c r="J162" s="235"/>
      <c r="K162" s="235"/>
      <c r="L162" s="229"/>
      <c r="M162" s="37">
        <v>1</v>
      </c>
      <c r="N162" s="27"/>
      <c r="O162" s="28">
        <f t="shared" si="28"/>
        <v>0</v>
      </c>
      <c r="P162" s="43">
        <f t="shared" si="29"/>
        <v>0</v>
      </c>
      <c r="Q162" s="36"/>
      <c r="R162" s="27"/>
    </row>
    <row r="163" spans="1:18" ht="39.6" x14ac:dyDescent="0.3">
      <c r="A163" s="3" t="str">
        <f>Autovalutazione!A167</f>
        <v>3.2.5.</v>
      </c>
      <c r="B163" s="6" t="str">
        <f>Autovalutazione!C167</f>
        <v>Durante il periodo di prova il fatto di mostrare un comportamento conforme alla sicurezza è uno dei criteri di valutazione?</v>
      </c>
      <c r="C163" s="38">
        <f>IF(ISBLANK(Autovalutazione!D167),0,1)</f>
        <v>0</v>
      </c>
      <c r="D163" s="293" t="str">
        <f>IF(AND(Autovalutazione!D167="",Autovalutazione!E167=""),"*","")</f>
        <v>*</v>
      </c>
      <c r="E163" s="39" t="str">
        <f>IF(ISBLANK(Autovalutazione!F167),"",Autovalutazione!F167)</f>
        <v/>
      </c>
      <c r="F163" s="237"/>
      <c r="G163" s="237"/>
      <c r="H163" s="237"/>
      <c r="I163" s="237"/>
      <c r="J163" s="237"/>
      <c r="K163" s="237"/>
      <c r="L163" s="229"/>
      <c r="M163" s="37">
        <v>4</v>
      </c>
      <c r="N163" s="27"/>
      <c r="O163" s="28">
        <f t="shared" si="28"/>
        <v>0</v>
      </c>
      <c r="P163" s="43">
        <f t="shared" si="29"/>
        <v>0</v>
      </c>
      <c r="Q163" s="36"/>
      <c r="R163" s="36"/>
    </row>
    <row r="164" spans="1:18" x14ac:dyDescent="0.3">
      <c r="A164" s="19" t="str">
        <f>Autovalutazione!A168</f>
        <v>3.3.</v>
      </c>
      <c r="B164" s="20" t="str">
        <f>Autovalutazione!B168</f>
        <v>Bisogni formativi, misure di promozione</v>
      </c>
      <c r="C164" s="21">
        <f>O164/N164</f>
        <v>0</v>
      </c>
      <c r="D164" s="23" t="str">
        <f>IF(ISBLANK(Autovalutazione!E168),"",Autovalutazione!E168)</f>
        <v/>
      </c>
      <c r="E164" s="23" t="str">
        <f>IF(ISBLANK(Autovalutazione!F168),"",Autovalutazione!F168)</f>
        <v/>
      </c>
      <c r="F164" s="232"/>
      <c r="G164" s="232"/>
      <c r="H164" s="232"/>
      <c r="I164" s="232"/>
      <c r="J164" s="232"/>
      <c r="K164" s="232"/>
      <c r="L164" s="50">
        <f>P164/N164</f>
        <v>0</v>
      </c>
      <c r="M164" s="22">
        <v>1</v>
      </c>
      <c r="N164" s="24">
        <f>SUM(M165:M169)</f>
        <v>13</v>
      </c>
      <c r="O164" s="24">
        <f>SUM(O165:O169)</f>
        <v>0</v>
      </c>
      <c r="P164" s="24">
        <f>SUM(P165:P169)</f>
        <v>0</v>
      </c>
      <c r="Q164" s="52">
        <f>O164/$N164*$M164</f>
        <v>0</v>
      </c>
      <c r="R164" s="52">
        <f>P164/$N164*$M164</f>
        <v>0</v>
      </c>
    </row>
    <row r="165" spans="1:18" ht="26.4" x14ac:dyDescent="0.3">
      <c r="A165" s="3" t="str">
        <f>Autovalutazione!A169</f>
        <v>3.3.1.</v>
      </c>
      <c r="B165" s="6" t="str">
        <f>Autovalutazione!C169</f>
        <v>Si verificano periodicamente e sistematicamente i profili richiesti e le prestazioni dei lavoratori?</v>
      </c>
      <c r="C165" s="38">
        <f>IF(ISBLANK(Autovalutazione!D169),0,1)</f>
        <v>0</v>
      </c>
      <c r="D165" s="293" t="str">
        <f>IF(AND(Autovalutazione!D169="",Autovalutazione!E169=""),"*","")</f>
        <v>*</v>
      </c>
      <c r="E165" s="39" t="str">
        <f>IF(ISBLANK(Autovalutazione!F169),"",Autovalutazione!F169)</f>
        <v/>
      </c>
      <c r="F165" s="235"/>
      <c r="G165" s="235"/>
      <c r="H165" s="235"/>
      <c r="I165" s="235"/>
      <c r="J165" s="235"/>
      <c r="K165" s="235"/>
      <c r="L165" s="229"/>
      <c r="M165" s="37">
        <v>3</v>
      </c>
      <c r="N165" s="27"/>
      <c r="O165" s="28">
        <f>M165*C165</f>
        <v>0</v>
      </c>
      <c r="P165" s="43">
        <f t="shared" ref="P165:P169" si="30">L165*M165</f>
        <v>0</v>
      </c>
      <c r="Q165" s="36"/>
      <c r="R165" s="27"/>
    </row>
    <row r="166" spans="1:18" ht="39.6" x14ac:dyDescent="0.3">
      <c r="A166" s="3" t="str">
        <f>Autovalutazione!A170</f>
        <v>3.3.2.</v>
      </c>
      <c r="B166" s="6" t="str">
        <f>Autovalutazione!C170</f>
        <v>Si tiene conto della sicurezza e della tutela della salute nell'identificare le lacune a livello di qualifica e di bisogni formativi?</v>
      </c>
      <c r="C166" s="38">
        <f>IF(ISBLANK(Autovalutazione!D170),0,1)</f>
        <v>0</v>
      </c>
      <c r="D166" s="293" t="str">
        <f>IF(AND(Autovalutazione!D170="",Autovalutazione!E170=""),"*","")</f>
        <v>*</v>
      </c>
      <c r="E166" s="39" t="str">
        <f>IF(ISBLANK(Autovalutazione!F170),"",Autovalutazione!F170)</f>
        <v/>
      </c>
      <c r="F166" s="235"/>
      <c r="G166" s="235"/>
      <c r="H166" s="235"/>
      <c r="I166" s="235"/>
      <c r="J166" s="235"/>
      <c r="K166" s="235"/>
      <c r="L166" s="229"/>
      <c r="M166" s="37">
        <v>3</v>
      </c>
      <c r="N166" s="27"/>
      <c r="O166" s="28">
        <f>M166*C166</f>
        <v>0</v>
      </c>
      <c r="P166" s="43">
        <f t="shared" si="30"/>
        <v>0</v>
      </c>
      <c r="Q166" s="36"/>
      <c r="R166" s="27"/>
    </row>
    <row r="167" spans="1:18" x14ac:dyDescent="0.3">
      <c r="A167" s="3" t="str">
        <f>Autovalutazione!A171</f>
        <v>3.3.3.</v>
      </c>
      <c r="B167" s="6" t="str">
        <f>Autovalutazione!C171</f>
        <v>L'azienda ha un piano per la promozione del personale?</v>
      </c>
      <c r="C167" s="38">
        <f>IF(ISBLANK(Autovalutazione!D171),0,1)</f>
        <v>0</v>
      </c>
      <c r="D167" s="293" t="str">
        <f>IF(AND(Autovalutazione!D171="",Autovalutazione!E171=""),"*","")</f>
        <v>*</v>
      </c>
      <c r="E167" s="39" t="str">
        <f>IF(ISBLANK(Autovalutazione!F171),"",Autovalutazione!F171)</f>
        <v/>
      </c>
      <c r="F167" s="235"/>
      <c r="G167" s="235"/>
      <c r="H167" s="235"/>
      <c r="I167" s="235"/>
      <c r="J167" s="235"/>
      <c r="K167" s="235"/>
      <c r="L167" s="229"/>
      <c r="M167" s="37">
        <v>1</v>
      </c>
      <c r="N167" s="27"/>
      <c r="O167" s="28">
        <f>M167*C167</f>
        <v>0</v>
      </c>
      <c r="P167" s="43">
        <f t="shared" si="30"/>
        <v>0</v>
      </c>
      <c r="Q167" s="36"/>
      <c r="R167" s="27"/>
    </row>
    <row r="168" spans="1:18" ht="79.2" x14ac:dyDescent="0.3">
      <c r="A168" s="3" t="str">
        <f>Autovalutazione!A172</f>
        <v>3.3.4.</v>
      </c>
      <c r="B168" s="6" t="str">
        <f>Autovalutazione!C172</f>
        <v>Se sì, la sicurezza e la promozione della salute* sono aspetti chiave di questo piano?
*Il concetto di „promozione della salute“ è più ampio di „tutela della salute“. La promozione della salute comprende ogni aspetto individuale e sociale che contribuisce a tutelare la salute.</v>
      </c>
      <c r="C168" s="38">
        <f>IF(ISBLANK(Autovalutazione!D172),0,1)</f>
        <v>0</v>
      </c>
      <c r="D168" s="293" t="str">
        <f>IF(AND(Autovalutazione!D172="",Autovalutazione!E172=""),"*","")</f>
        <v>*</v>
      </c>
      <c r="E168" s="39" t="str">
        <f>IF(ISBLANK(Autovalutazione!F172),"",Autovalutazione!F172)</f>
        <v/>
      </c>
      <c r="F168" s="235"/>
      <c r="G168" s="235"/>
      <c r="H168" s="235"/>
      <c r="I168" s="235"/>
      <c r="J168" s="235"/>
      <c r="K168" s="235"/>
      <c r="L168" s="229"/>
      <c r="M168" s="37">
        <v>2</v>
      </c>
      <c r="N168" s="27"/>
      <c r="O168" s="28">
        <f>M168*C168</f>
        <v>0</v>
      </c>
      <c r="P168" s="43">
        <f t="shared" si="30"/>
        <v>0</v>
      </c>
      <c r="Q168" s="36"/>
      <c r="R168" s="27"/>
    </row>
    <row r="169" spans="1:18" ht="39.6" x14ac:dyDescent="0.3">
      <c r="A169" s="3" t="str">
        <f>Autovalutazione!A173</f>
        <v>3.3.5.</v>
      </c>
      <c r="B169" s="6" t="str">
        <f>Autovalutazione!C173</f>
        <v>Si svolge un controllo specifico per ogni dipendente sulla formazione, sulle attività di aggiornamento e su altre misure di promozione del personale?</v>
      </c>
      <c r="C169" s="38">
        <f>IF(ISBLANK(Autovalutazione!D173),0,1)</f>
        <v>0</v>
      </c>
      <c r="D169" s="293" t="str">
        <f>IF(AND(Autovalutazione!D173="",Autovalutazione!E173=""),"*","")</f>
        <v>*</v>
      </c>
      <c r="E169" s="39" t="str">
        <f>IF(ISBLANK(Autovalutazione!F173),"",Autovalutazione!F173)</f>
        <v/>
      </c>
      <c r="F169" s="237"/>
      <c r="G169" s="237"/>
      <c r="H169" s="237"/>
      <c r="I169" s="237"/>
      <c r="J169" s="237"/>
      <c r="K169" s="237"/>
      <c r="L169" s="229"/>
      <c r="M169" s="37">
        <v>4</v>
      </c>
      <c r="N169" s="27"/>
      <c r="O169" s="28">
        <f>M169*C169</f>
        <v>0</v>
      </c>
      <c r="P169" s="43">
        <f t="shared" si="30"/>
        <v>0</v>
      </c>
      <c r="Q169" s="36"/>
      <c r="R169" s="27"/>
    </row>
    <row r="170" spans="1:18" x14ac:dyDescent="0.3">
      <c r="A170" s="19" t="str">
        <f>Autovalutazione!A174</f>
        <v>3.4.</v>
      </c>
      <c r="B170" s="20" t="str">
        <f>Autovalutazione!B174</f>
        <v>Addestramento del personale</v>
      </c>
      <c r="C170" s="21">
        <f>O170/N170</f>
        <v>0</v>
      </c>
      <c r="D170" s="23" t="str">
        <f>IF(ISBLANK(Autovalutazione!E174),"",Autovalutazione!E174)</f>
        <v/>
      </c>
      <c r="E170" s="23" t="str">
        <f>IF(ISBLANK(Autovalutazione!F174),"",Autovalutazione!F174)</f>
        <v/>
      </c>
      <c r="F170" s="232"/>
      <c r="G170" s="232"/>
      <c r="H170" s="232"/>
      <c r="I170" s="232"/>
      <c r="J170" s="232"/>
      <c r="K170" s="232"/>
      <c r="L170" s="50">
        <f>P170/N170</f>
        <v>0</v>
      </c>
      <c r="M170" s="23">
        <v>1</v>
      </c>
      <c r="N170" s="22">
        <f>SUM(M171:M174)</f>
        <v>5</v>
      </c>
      <c r="O170" s="24">
        <f>SUM(O171:O174)</f>
        <v>0</v>
      </c>
      <c r="P170" s="24">
        <f>SUM(P171:P174)</f>
        <v>0</v>
      </c>
      <c r="Q170" s="52">
        <f>O170/$N170*$M170</f>
        <v>0</v>
      </c>
      <c r="R170" s="52">
        <f>P170/$N170*$M170</f>
        <v>0</v>
      </c>
    </row>
    <row r="171" spans="1:18" ht="26.4" x14ac:dyDescent="0.3">
      <c r="A171" s="3" t="str">
        <f>Autovalutazione!A175</f>
        <v>3.4.1.</v>
      </c>
      <c r="B171" s="6" t="str">
        <f>Autovalutazione!C175</f>
        <v>L'azienda offre al personale programmi e corsi di addestramento?</v>
      </c>
      <c r="C171" s="38">
        <f>IF(ISBLANK(Autovalutazione!D175),0,1)</f>
        <v>0</v>
      </c>
      <c r="D171" s="293" t="str">
        <f>IF(AND(Autovalutazione!D175="",Autovalutazione!E175=""),"*","")</f>
        <v>*</v>
      </c>
      <c r="E171" s="39" t="str">
        <f>IF(ISBLANK(Autovalutazione!F175),"",Autovalutazione!F175)</f>
        <v/>
      </c>
      <c r="F171" s="235"/>
      <c r="G171" s="235"/>
      <c r="H171" s="235"/>
      <c r="I171" s="235"/>
      <c r="J171" s="235"/>
      <c r="K171" s="235"/>
      <c r="L171" s="229"/>
      <c r="M171" s="37">
        <v>0</v>
      </c>
      <c r="N171" s="27"/>
      <c r="O171" s="28">
        <f>C171*M171</f>
        <v>0</v>
      </c>
      <c r="P171" s="43">
        <f t="shared" ref="P171:P174" si="31">L171*M171</f>
        <v>0</v>
      </c>
      <c r="Q171" s="36"/>
      <c r="R171" s="27"/>
    </row>
    <row r="172" spans="1:18" ht="26.4" x14ac:dyDescent="0.3">
      <c r="A172" s="3" t="str">
        <f>Autovalutazione!A176</f>
        <v>3.4.2.</v>
      </c>
      <c r="B172" s="6" t="str">
        <f>Autovalutazione!C176</f>
        <v>La sicurezza e la tutela della salute sono parte integrante dei corsi di addestramento?</v>
      </c>
      <c r="C172" s="38">
        <f>IF(ISBLANK(Autovalutazione!D176),0,1)</f>
        <v>0</v>
      </c>
      <c r="D172" s="293" t="str">
        <f>IF(AND(Autovalutazione!D176="",Autovalutazione!E176=""),"*","")</f>
        <v>*</v>
      </c>
      <c r="E172" s="39" t="str">
        <f>IF(ISBLANK(Autovalutazione!F176),"",Autovalutazione!F176)</f>
        <v/>
      </c>
      <c r="F172" s="235"/>
      <c r="G172" s="235"/>
      <c r="H172" s="235"/>
      <c r="I172" s="235"/>
      <c r="J172" s="235"/>
      <c r="K172" s="235"/>
      <c r="L172" s="229"/>
      <c r="M172" s="37">
        <v>0</v>
      </c>
      <c r="N172" s="27"/>
      <c r="O172" s="28">
        <f>C172*M172</f>
        <v>0</v>
      </c>
      <c r="P172" s="43">
        <f t="shared" si="31"/>
        <v>0</v>
      </c>
      <c r="Q172" s="36"/>
      <c r="R172" s="27"/>
    </row>
    <row r="173" spans="1:18" ht="26.4" x14ac:dyDescent="0.3">
      <c r="A173" s="3" t="str">
        <f>Autovalutazione!A177</f>
        <v>3.4.3.</v>
      </c>
      <c r="B173" s="6" t="str">
        <f>Autovalutazione!C177</f>
        <v>L'azienda ricorre ai corsi di addestramento di associazioni esterne?</v>
      </c>
      <c r="C173" s="38">
        <f>IF(ISBLANK(Autovalutazione!D177),0,1)</f>
        <v>0</v>
      </c>
      <c r="D173" s="293" t="str">
        <f>IF(AND(Autovalutazione!D177="",Autovalutazione!E177=""),"*","")</f>
        <v>*</v>
      </c>
      <c r="E173" s="39" t="str">
        <f>IF(ISBLANK(Autovalutazione!F177),"",Autovalutazione!F177)</f>
        <v/>
      </c>
      <c r="F173" s="237"/>
      <c r="G173" s="237"/>
      <c r="H173" s="237"/>
      <c r="I173" s="237"/>
      <c r="J173" s="237"/>
      <c r="K173" s="237"/>
      <c r="L173" s="229"/>
      <c r="M173" s="37">
        <v>2</v>
      </c>
      <c r="N173" s="27"/>
      <c r="O173" s="28">
        <f>C173*M173</f>
        <v>0</v>
      </c>
      <c r="P173" s="43">
        <f t="shared" si="31"/>
        <v>0</v>
      </c>
      <c r="Q173" s="36"/>
      <c r="R173" s="27"/>
    </row>
    <row r="174" spans="1:18" ht="39.6" x14ac:dyDescent="0.3">
      <c r="A174" s="3" t="str">
        <f>Autovalutazione!A178</f>
        <v>3.4.4.</v>
      </c>
      <c r="B174" s="6" t="str">
        <f>Autovalutazione!C178</f>
        <v>Le proposte di formazione offerte da enti esterni riguardano anche la sicurezza e la tutela della salute? Se sì, specificare gli argomenti</v>
      </c>
      <c r="C174" s="38">
        <f>IF(ISBLANK(Autovalutazione!D178),0,1)</f>
        <v>0</v>
      </c>
      <c r="D174" s="293" t="str">
        <f>IF(AND(Autovalutazione!D178="",Autovalutazione!E178=""),"*","")</f>
        <v>*</v>
      </c>
      <c r="E174" s="39" t="str">
        <f>IF(ISBLANK(Autovalutazione!F178),"",Autovalutazione!F178)</f>
        <v/>
      </c>
      <c r="F174" s="235"/>
      <c r="G174" s="235"/>
      <c r="H174" s="235"/>
      <c r="I174" s="235"/>
      <c r="J174" s="235"/>
      <c r="K174" s="235"/>
      <c r="L174" s="229"/>
      <c r="M174" s="37">
        <v>3</v>
      </c>
      <c r="N174" s="27"/>
      <c r="O174" s="28">
        <f>C174*M174</f>
        <v>0</v>
      </c>
      <c r="P174" s="43">
        <f t="shared" si="31"/>
        <v>0</v>
      </c>
      <c r="Q174" s="36"/>
      <c r="R174" s="27"/>
    </row>
    <row r="175" spans="1:18" x14ac:dyDescent="0.3">
      <c r="A175" s="19" t="str">
        <f>Autovalutazione!A179</f>
        <v>3.5.</v>
      </c>
      <c r="B175" s="20" t="str">
        <f xml:space="preserve"> Autovalutazione!B179</f>
        <v>Formazione sul posto di lavo</v>
      </c>
      <c r="C175" s="21">
        <f>O175/N175</f>
        <v>0</v>
      </c>
      <c r="D175" s="23" t="str">
        <f>IF(ISBLANK(Autovalutazione!E179),"",Autovalutazione!E179)</f>
        <v/>
      </c>
      <c r="E175" s="23" t="str">
        <f>IF(ISBLANK(Autovalutazione!F179),"",Autovalutazione!F179)</f>
        <v/>
      </c>
      <c r="F175" s="232"/>
      <c r="G175" s="232"/>
      <c r="H175" s="232"/>
      <c r="I175" s="232"/>
      <c r="J175" s="232"/>
      <c r="K175" s="232"/>
      <c r="L175" s="50">
        <f>P175/N175</f>
        <v>0</v>
      </c>
      <c r="M175" s="22">
        <v>3</v>
      </c>
      <c r="N175" s="22">
        <f>SUM(M176:M181)</f>
        <v>19</v>
      </c>
      <c r="O175" s="24">
        <f>SUM(O176:O181)</f>
        <v>0</v>
      </c>
      <c r="P175" s="24">
        <f>SUM(P176:P181)</f>
        <v>0</v>
      </c>
      <c r="Q175" s="52">
        <f>O175/$N175*$M175</f>
        <v>0</v>
      </c>
      <c r="R175" s="52">
        <f>P175/$N175*$M175</f>
        <v>0</v>
      </c>
    </row>
    <row r="176" spans="1:18" ht="26.4" x14ac:dyDescent="0.3">
      <c r="A176" s="3" t="str">
        <f>Autovalutazione!A180</f>
        <v>3.5.1.</v>
      </c>
      <c r="B176" s="6" t="str">
        <f>Autovalutazione!C180</f>
        <v>In azienda „si impara sul posto di lavoro“ e questa tendenza viene incoraggiata?</v>
      </c>
      <c r="C176" s="38">
        <f>IF(ISBLANK(Autovalutazione!D180),0,1)</f>
        <v>0</v>
      </c>
      <c r="D176" s="293" t="str">
        <f>IF(AND(Autovalutazione!D180="",Autovalutazione!E180=""),"*","")</f>
        <v>*</v>
      </c>
      <c r="E176" s="39" t="str">
        <f>IF(ISBLANK(Autovalutazione!F180),"",Autovalutazione!F180)</f>
        <v/>
      </c>
      <c r="F176" s="235"/>
      <c r="G176" s="235"/>
      <c r="H176" s="235"/>
      <c r="I176" s="235"/>
      <c r="J176" s="235"/>
      <c r="K176" s="235"/>
      <c r="L176" s="229"/>
      <c r="M176" s="37">
        <v>3</v>
      </c>
      <c r="N176" s="27"/>
      <c r="O176" s="28">
        <f t="shared" ref="O176:O181" si="32">C176*M176</f>
        <v>0</v>
      </c>
      <c r="P176" s="43">
        <f t="shared" ref="P176:P181" si="33">L176*M176</f>
        <v>0</v>
      </c>
      <c r="Q176" s="36"/>
      <c r="R176" s="27"/>
    </row>
    <row r="177" spans="1:18" ht="39.6" x14ac:dyDescent="0.3">
      <c r="A177" s="3" t="str">
        <f>Autovalutazione!A181</f>
        <v>3.5.2.</v>
      </c>
      <c r="B177" s="6" t="str">
        <f>Autovalutazione!C181</f>
        <v>Infortuni, quasi-infortuni e altri eventi indesiderati vengono usati come insegnamento, per adottare misure concrete e colmare le lacune a livello formativo?</v>
      </c>
      <c r="C177" s="38">
        <f>IF(ISBLANK(Autovalutazione!D181),0,1)</f>
        <v>0</v>
      </c>
      <c r="D177" s="293" t="str">
        <f>IF(AND(Autovalutazione!D181="",Autovalutazione!E181=""),"*","")</f>
        <v>*</v>
      </c>
      <c r="E177" s="39" t="str">
        <f>IF(ISBLANK(Autovalutazione!F181),"",Autovalutazione!F181)</f>
        <v/>
      </c>
      <c r="F177" s="235"/>
      <c r="G177" s="235"/>
      <c r="H177" s="235"/>
      <c r="I177" s="235"/>
      <c r="J177" s="235"/>
      <c r="K177" s="235"/>
      <c r="L177" s="229"/>
      <c r="M177" s="37">
        <v>4</v>
      </c>
      <c r="N177" s="27"/>
      <c r="O177" s="28">
        <f t="shared" si="32"/>
        <v>0</v>
      </c>
      <c r="P177" s="43">
        <f t="shared" si="33"/>
        <v>0</v>
      </c>
      <c r="Q177" s="36"/>
      <c r="R177" s="27"/>
    </row>
    <row r="178" spans="1:18" ht="26.4" x14ac:dyDescent="0.3">
      <c r="A178" s="3" t="str">
        <f>Autovalutazione!A182</f>
        <v>3.5.3.</v>
      </c>
      <c r="B178" s="6" t="str">
        <f>Autovalutazione!C182</f>
        <v>I superiori sono stati istruiti nella metodica della formazione sul posto di lavoro?</v>
      </c>
      <c r="C178" s="38">
        <f>IF(ISBLANK(Autovalutazione!D182),0,1)</f>
        <v>0</v>
      </c>
      <c r="D178" s="293" t="str">
        <f>IF(AND(Autovalutazione!D182="",Autovalutazione!E182=""),"*","")</f>
        <v>*</v>
      </c>
      <c r="E178" s="39" t="str">
        <f>IF(ISBLANK(Autovalutazione!F182),"",Autovalutazione!F182)</f>
        <v/>
      </c>
      <c r="F178" s="237"/>
      <c r="G178" s="237"/>
      <c r="H178" s="237"/>
      <c r="I178" s="237"/>
      <c r="J178" s="237"/>
      <c r="K178" s="237"/>
      <c r="L178" s="229"/>
      <c r="M178" s="37">
        <v>3</v>
      </c>
      <c r="N178" s="27"/>
      <c r="O178" s="28">
        <f t="shared" si="32"/>
        <v>0</v>
      </c>
      <c r="P178" s="43">
        <f t="shared" si="33"/>
        <v>0</v>
      </c>
      <c r="Q178" s="36"/>
      <c r="R178" s="36"/>
    </row>
    <row r="179" spans="1:18" ht="52.8" x14ac:dyDescent="0.3">
      <c r="A179" s="3" t="str">
        <f>Autovalutazione!A183</f>
        <v>3.5.4.</v>
      </c>
      <c r="B179" s="6" t="str">
        <f>Autovalutazione!C183</f>
        <v xml:space="preserve">I superiori e i dipendenti vengono istruiti in caso di introduzione o modifica delle attrezzature di lavoro*?
*Attrezzature di lavoro: macchine, impianti, apparecchi, utensili, attrezzature, DPI. </v>
      </c>
      <c r="C179" s="38">
        <f>IF(ISBLANK(Autovalutazione!D183),0,1)</f>
        <v>0</v>
      </c>
      <c r="D179" s="293" t="str">
        <f>IF(AND(Autovalutazione!D183="",Autovalutazione!E183=""),"*","")</f>
        <v>*</v>
      </c>
      <c r="E179" s="39" t="str">
        <f>IF(ISBLANK(Autovalutazione!F183),"",Autovalutazione!F183)</f>
        <v/>
      </c>
      <c r="F179" s="235"/>
      <c r="G179" s="235"/>
      <c r="H179" s="235"/>
      <c r="I179" s="235"/>
      <c r="J179" s="235"/>
      <c r="K179" s="235"/>
      <c r="L179" s="229"/>
      <c r="M179" s="37">
        <v>3</v>
      </c>
      <c r="N179" s="27"/>
      <c r="O179" s="28">
        <f t="shared" si="32"/>
        <v>0</v>
      </c>
      <c r="P179" s="43">
        <f t="shared" si="33"/>
        <v>0</v>
      </c>
      <c r="Q179" s="36"/>
      <c r="R179" s="27"/>
    </row>
    <row r="180" spans="1:18" ht="39.6" x14ac:dyDescent="0.3">
      <c r="A180" s="3" t="str">
        <f>Autovalutazione!A184</f>
        <v>3.5.5.</v>
      </c>
      <c r="B180" s="6" t="str">
        <f>Autovalutazione!C184</f>
        <v>I superiori e i dipendenti vengono istruiti in caso di introduzione di nuovi processi di lavoro o in caso di modifica degli stessi?</v>
      </c>
      <c r="C180" s="38">
        <f>IF(ISBLANK(Autovalutazione!D184),0,1)</f>
        <v>0</v>
      </c>
      <c r="D180" s="293" t="str">
        <f>IF(AND(Autovalutazione!D184="",Autovalutazione!E184=""),"*","")</f>
        <v>*</v>
      </c>
      <c r="E180" s="39" t="str">
        <f>IF(ISBLANK(Autovalutazione!F184),"",Autovalutazione!F184)</f>
        <v/>
      </c>
      <c r="F180" s="235"/>
      <c r="G180" s="235"/>
      <c r="H180" s="235"/>
      <c r="I180" s="235"/>
      <c r="J180" s="235"/>
      <c r="K180" s="235"/>
      <c r="L180" s="229"/>
      <c r="M180" s="37">
        <v>3</v>
      </c>
      <c r="N180" s="27"/>
      <c r="O180" s="28">
        <f t="shared" si="32"/>
        <v>0</v>
      </c>
      <c r="P180" s="43">
        <f t="shared" si="33"/>
        <v>0</v>
      </c>
      <c r="Q180" s="36"/>
      <c r="R180" s="27"/>
    </row>
    <row r="181" spans="1:18" ht="52.8" x14ac:dyDescent="0.3">
      <c r="A181" s="3" t="str">
        <f>Autovalutazione!A185</f>
        <v>3.5.6.</v>
      </c>
      <c r="B181" s="6" t="str">
        <f>Autovalutazione!C185</f>
        <v>I superiori e i dipendenti vengono istruiti sulla presenza di nuovi materiali di lavoro*?
*Sostanze di lavoro: Sostanze impiegate sul lavoro, solidi, liquidi o gassosi</v>
      </c>
      <c r="C181" s="38">
        <f>IF(ISBLANK(Autovalutazione!D185),0,1)</f>
        <v>0</v>
      </c>
      <c r="D181" s="293" t="str">
        <f>IF(AND(Autovalutazione!D185="",Autovalutazione!E185=""),"*","")</f>
        <v>*</v>
      </c>
      <c r="E181" s="39" t="str">
        <f>IF(ISBLANK(Autovalutazione!F185),"",Autovalutazione!F185)</f>
        <v/>
      </c>
      <c r="F181" s="235"/>
      <c r="G181" s="235"/>
      <c r="H181" s="235"/>
      <c r="I181" s="235"/>
      <c r="J181" s="235"/>
      <c r="K181" s="235"/>
      <c r="L181" s="229"/>
      <c r="M181" s="37">
        <v>3</v>
      </c>
      <c r="N181" s="27"/>
      <c r="O181" s="28">
        <f t="shared" si="32"/>
        <v>0</v>
      </c>
      <c r="P181" s="43">
        <f t="shared" si="33"/>
        <v>0</v>
      </c>
      <c r="Q181" s="36"/>
      <c r="R181" s="27"/>
    </row>
    <row r="182" spans="1:18" x14ac:dyDescent="0.3">
      <c r="A182" s="19" t="str">
        <f>Autovalutazione!A186</f>
        <v>3.6.</v>
      </c>
      <c r="B182" s="20" t="str">
        <f>Autovalutazione!B186</f>
        <v>Valutazione del personale</v>
      </c>
      <c r="C182" s="21">
        <f>O182/N182</f>
        <v>0</v>
      </c>
      <c r="D182" s="23" t="str">
        <f>IF(ISBLANK(Autovalutazione!E186),"",Autovalutazione!E186)</f>
        <v/>
      </c>
      <c r="E182" s="23" t="str">
        <f>IF(ISBLANK(Autovalutazione!F186),"",Autovalutazione!F186)</f>
        <v/>
      </c>
      <c r="F182" s="232"/>
      <c r="G182" s="232"/>
      <c r="H182" s="232"/>
      <c r="I182" s="232"/>
      <c r="J182" s="232"/>
      <c r="K182" s="232"/>
      <c r="L182" s="50">
        <f>P182/N182</f>
        <v>0</v>
      </c>
      <c r="M182" s="22">
        <v>1</v>
      </c>
      <c r="N182" s="22">
        <f>SUM(M183:M188)</f>
        <v>17</v>
      </c>
      <c r="O182" s="24">
        <f>SUM(O183:O188)</f>
        <v>0</v>
      </c>
      <c r="P182" s="24">
        <f>SUM(P183:P188)</f>
        <v>0</v>
      </c>
      <c r="Q182" s="52">
        <f>O182/$N182*$M182</f>
        <v>0</v>
      </c>
      <c r="R182" s="52">
        <f>P182/$N182*$M182</f>
        <v>0</v>
      </c>
    </row>
    <row r="183" spans="1:18" x14ac:dyDescent="0.3">
      <c r="A183" s="3" t="str">
        <f>Autovalutazione!A187</f>
        <v>3.6.1.</v>
      </c>
      <c r="B183" s="6" t="str">
        <f>Autovalutazione!C187</f>
        <v>L'azienda dispone di un sistema di valutazione del personale?</v>
      </c>
      <c r="C183" s="38">
        <f>IF(ISBLANK(Autovalutazione!D187),0,1)</f>
        <v>0</v>
      </c>
      <c r="D183" s="293" t="str">
        <f>IF(AND(Autovalutazione!D187="",Autovalutazione!E187=""),"*","")</f>
        <v>*</v>
      </c>
      <c r="E183" s="39" t="str">
        <f>IF(ISBLANK(Autovalutazione!F187),"",Autovalutazione!F187)</f>
        <v/>
      </c>
      <c r="F183" s="235"/>
      <c r="G183" s="235"/>
      <c r="H183" s="235"/>
      <c r="I183" s="235"/>
      <c r="J183" s="235"/>
      <c r="K183" s="235"/>
      <c r="L183" s="229"/>
      <c r="M183" s="37">
        <v>3</v>
      </c>
      <c r="N183" s="27"/>
      <c r="O183" s="28">
        <f t="shared" ref="O183:O188" si="34">M183*C183</f>
        <v>0</v>
      </c>
      <c r="P183" s="43">
        <f t="shared" ref="P183:P188" si="35">L183*M183</f>
        <v>0</v>
      </c>
      <c r="Q183" s="36"/>
      <c r="R183" s="27"/>
    </row>
    <row r="184" spans="1:18" x14ac:dyDescent="0.3">
      <c r="A184" s="3" t="str">
        <f>Autovalutazione!A188</f>
        <v>3.6.2.</v>
      </c>
      <c r="B184" s="6" t="str">
        <f>Autovalutazione!C188</f>
        <v>La condotta di sicurezza dei capi fa parte della valutazione?</v>
      </c>
      <c r="C184" s="38">
        <f>IF(ISBLANK(Autovalutazione!D188),0,1)</f>
        <v>0</v>
      </c>
      <c r="D184" s="293" t="str">
        <f>IF(AND(Autovalutazione!D188="",Autovalutazione!E188=""),"*","")</f>
        <v>*</v>
      </c>
      <c r="E184" s="39" t="str">
        <f>IF(ISBLANK(Autovalutazione!F188),"",Autovalutazione!F188)</f>
        <v/>
      </c>
      <c r="F184" s="237"/>
      <c r="G184" s="237"/>
      <c r="H184" s="237"/>
      <c r="I184" s="237"/>
      <c r="J184" s="237"/>
      <c r="K184" s="237"/>
      <c r="L184" s="229"/>
      <c r="M184" s="37">
        <v>4</v>
      </c>
      <c r="N184" s="27"/>
      <c r="O184" s="28">
        <f t="shared" si="34"/>
        <v>0</v>
      </c>
      <c r="P184" s="43">
        <f t="shared" si="35"/>
        <v>0</v>
      </c>
      <c r="Q184" s="36"/>
      <c r="R184" s="36"/>
    </row>
    <row r="185" spans="1:18" ht="26.4" x14ac:dyDescent="0.3">
      <c r="A185" s="3" t="str">
        <f>Autovalutazione!A189</f>
        <v>3.6.3.</v>
      </c>
      <c r="B185" s="6" t="str">
        <f>Autovalutazione!C189</f>
        <v>Una competenza insufficiente a livello dirigenziale in materia di sicurezza ha delle conseguenze? Se sì, quali?</v>
      </c>
      <c r="C185" s="38">
        <f>IF(ISBLANK(Autovalutazione!D189),0,1)</f>
        <v>0</v>
      </c>
      <c r="D185" s="293" t="str">
        <f>IF(AND(Autovalutazione!D189="",Autovalutazione!E189=""),"*","")</f>
        <v>*</v>
      </c>
      <c r="E185" s="39" t="str">
        <f>IF(ISBLANK(Autovalutazione!F189),"",Autovalutazione!F189)</f>
        <v/>
      </c>
      <c r="F185" s="235"/>
      <c r="G185" s="235"/>
      <c r="H185" s="235"/>
      <c r="I185" s="235"/>
      <c r="J185" s="235"/>
      <c r="K185" s="235"/>
      <c r="L185" s="229"/>
      <c r="M185" s="37">
        <v>3</v>
      </c>
      <c r="N185" s="27"/>
      <c r="O185" s="28">
        <f t="shared" si="34"/>
        <v>0</v>
      </c>
      <c r="P185" s="43">
        <f t="shared" si="35"/>
        <v>0</v>
      </c>
      <c r="Q185" s="36"/>
      <c r="R185" s="27"/>
    </row>
    <row r="186" spans="1:18" ht="26.4" x14ac:dyDescent="0.3">
      <c r="A186" s="3" t="str">
        <f>Autovalutazione!A190</f>
        <v>3.6.4.</v>
      </c>
      <c r="B186" s="6" t="str">
        <f>Autovalutazione!C190</f>
        <v>Per le promozioni la condotta di sicurezza è un criterio cruciale?</v>
      </c>
      <c r="C186" s="38">
        <f>IF(ISBLANK(Autovalutazione!D190),0,1)</f>
        <v>0</v>
      </c>
      <c r="D186" s="293" t="str">
        <f>IF(AND(Autovalutazione!D190="",Autovalutazione!E190=""),"*","")</f>
        <v>*</v>
      </c>
      <c r="E186" s="39" t="str">
        <f>IF(ISBLANK(Autovalutazione!F190),"",Autovalutazione!F190)</f>
        <v/>
      </c>
      <c r="F186" s="235"/>
      <c r="G186" s="235"/>
      <c r="H186" s="235"/>
      <c r="I186" s="235"/>
      <c r="J186" s="235"/>
      <c r="K186" s="235"/>
      <c r="L186" s="229"/>
      <c r="M186" s="37">
        <v>3</v>
      </c>
      <c r="N186" s="27"/>
      <c r="O186" s="28">
        <f t="shared" si="34"/>
        <v>0</v>
      </c>
      <c r="P186" s="43">
        <f t="shared" si="35"/>
        <v>0</v>
      </c>
      <c r="Q186" s="36"/>
      <c r="R186" s="27"/>
    </row>
    <row r="187" spans="1:18" ht="26.4" x14ac:dyDescent="0.3">
      <c r="A187" s="3" t="str">
        <f>Autovalutazione!A191</f>
        <v>3.6.5.</v>
      </c>
      <c r="B187" s="6" t="str">
        <f>Autovalutazione!C191</f>
        <v>Un comportamento sicuro fa parte della valutazione del personale?</v>
      </c>
      <c r="C187" s="38">
        <f>IF(ISBLANK(Autovalutazione!D191),0,1)</f>
        <v>0</v>
      </c>
      <c r="D187" s="293" t="str">
        <f>IF(AND(Autovalutazione!D191="",Autovalutazione!E191=""),"*","")</f>
        <v>*</v>
      </c>
      <c r="E187" s="39" t="str">
        <f>IF(ISBLANK(Autovalutazione!F191),"",Autovalutazione!F191)</f>
        <v/>
      </c>
      <c r="F187" s="235"/>
      <c r="G187" s="235"/>
      <c r="H187" s="235"/>
      <c r="I187" s="235"/>
      <c r="J187" s="235"/>
      <c r="K187" s="235"/>
      <c r="L187" s="229"/>
      <c r="M187" s="37">
        <v>2</v>
      </c>
      <c r="N187" s="27"/>
      <c r="O187" s="28">
        <f t="shared" si="34"/>
        <v>0</v>
      </c>
      <c r="P187" s="43">
        <f t="shared" si="35"/>
        <v>0</v>
      </c>
      <c r="Q187" s="36"/>
      <c r="R187" s="27"/>
    </row>
    <row r="188" spans="1:18" ht="26.4" x14ac:dyDescent="0.3">
      <c r="A188" s="3" t="str">
        <f>Autovalutazione!A192</f>
        <v>3.6.6.</v>
      </c>
      <c r="B188" s="6" t="str">
        <f>Autovalutazione!C192</f>
        <v>Il mancato rispetto della sicurezza ha delle conseguenze? Se sì, quali?</v>
      </c>
      <c r="C188" s="38">
        <f>IF(ISBLANK(Autovalutazione!D192),0,1)</f>
        <v>0</v>
      </c>
      <c r="D188" s="293" t="str">
        <f>IF(AND(Autovalutazione!D192="",Autovalutazione!E192=""),"*","")</f>
        <v>*</v>
      </c>
      <c r="E188" s="39" t="str">
        <f>IF(ISBLANK(Autovalutazione!F192),"",Autovalutazione!F192)</f>
        <v/>
      </c>
      <c r="F188" s="235"/>
      <c r="G188" s="235"/>
      <c r="H188" s="235"/>
      <c r="I188" s="235"/>
      <c r="J188" s="235"/>
      <c r="K188" s="235"/>
      <c r="L188" s="229"/>
      <c r="M188" s="37">
        <v>2</v>
      </c>
      <c r="N188" s="27"/>
      <c r="O188" s="28">
        <f t="shared" si="34"/>
        <v>0</v>
      </c>
      <c r="P188" s="43">
        <f t="shared" si="35"/>
        <v>0</v>
      </c>
      <c r="Q188" s="36"/>
      <c r="R188" s="27"/>
    </row>
    <row r="189" spans="1:18" x14ac:dyDescent="0.3">
      <c r="A189" s="19" t="str">
        <f>Autovalutazione!A193</f>
        <v>3.7.</v>
      </c>
      <c r="B189" s="20" t="str">
        <f>Autovalutazione!B193</f>
        <v>Programma di informazione</v>
      </c>
      <c r="C189" s="21">
        <f>O189/N189</f>
        <v>0</v>
      </c>
      <c r="D189" s="23" t="str">
        <f>IF(ISBLANK(Autovalutazione!E193),"",Autovalutazione!E193)</f>
        <v/>
      </c>
      <c r="E189" s="23" t="str">
        <f>IF(ISBLANK(Autovalutazione!F193),"",Autovalutazione!F193)</f>
        <v/>
      </c>
      <c r="F189" s="232"/>
      <c r="G189" s="232"/>
      <c r="H189" s="232"/>
      <c r="I189" s="232"/>
      <c r="J189" s="232"/>
      <c r="K189" s="232"/>
      <c r="L189" s="50">
        <f>P189/N189</f>
        <v>0</v>
      </c>
      <c r="M189" s="22">
        <v>1</v>
      </c>
      <c r="N189" s="22">
        <f>SUM(M190:M192)</f>
        <v>3</v>
      </c>
      <c r="O189" s="24">
        <f>SUM(O190:O192)</f>
        <v>0</v>
      </c>
      <c r="P189" s="24">
        <f>SUM(P190:P192)</f>
        <v>0</v>
      </c>
      <c r="Q189" s="52">
        <f>O189/$N189*$M189</f>
        <v>0</v>
      </c>
      <c r="R189" s="52">
        <f>P189/$N189*$M189</f>
        <v>0</v>
      </c>
    </row>
    <row r="190" spans="1:18" ht="26.4" x14ac:dyDescent="0.3">
      <c r="A190" s="3" t="str">
        <f>Autovalutazione!A194</f>
        <v>3.7.1.</v>
      </c>
      <c r="B190" s="6" t="str">
        <f>Autovalutazione!C194</f>
        <v>L'azienda dispone di un programma per l'informazione e la comunicazione?</v>
      </c>
      <c r="C190" s="38">
        <f>IF(ISBLANK(Autovalutazione!D194),0,1)</f>
        <v>0</v>
      </c>
      <c r="D190" s="293" t="str">
        <f>IF(AND(Autovalutazione!D194="",Autovalutazione!E194=""),"*","")</f>
        <v>*</v>
      </c>
      <c r="E190" s="39" t="str">
        <f>IF(ISBLANK(Autovalutazione!F194),"",Autovalutazione!F194)</f>
        <v/>
      </c>
      <c r="F190" s="235"/>
      <c r="G190" s="235"/>
      <c r="H190" s="235"/>
      <c r="I190" s="235"/>
      <c r="J190" s="235"/>
      <c r="K190" s="235"/>
      <c r="L190" s="229"/>
      <c r="M190" s="37">
        <v>3</v>
      </c>
      <c r="N190" s="27"/>
      <c r="O190" s="28">
        <f>C190*M190</f>
        <v>0</v>
      </c>
      <c r="P190" s="43">
        <f t="shared" ref="P190:P192" si="36">L190*M190</f>
        <v>0</v>
      </c>
      <c r="Q190" s="36"/>
      <c r="R190" s="27"/>
    </row>
    <row r="191" spans="1:18" ht="39.6" x14ac:dyDescent="0.3">
      <c r="A191" s="3" t="str">
        <f>Autovalutazione!A195</f>
        <v>3.7.2.</v>
      </c>
      <c r="B191" s="6" t="str">
        <f>Autovalutazione!C195</f>
        <v>Nella vostra azienda ci sono regolamenti o particolari consuetudini in materia di informazione e comunicazione? Se sì, quali?</v>
      </c>
      <c r="C191" s="38">
        <f>IF(ISBLANK(Autovalutazione!D195),0,1)</f>
        <v>0</v>
      </c>
      <c r="D191" s="293" t="str">
        <f>IF(AND(Autovalutazione!D195="",Autovalutazione!E195=""),"*","")</f>
        <v>*</v>
      </c>
      <c r="E191" s="39" t="str">
        <f>IF(ISBLANK(Autovalutazione!F195),"",Autovalutazione!F195)</f>
        <v/>
      </c>
      <c r="F191" s="235"/>
      <c r="G191" s="235"/>
      <c r="H191" s="235"/>
      <c r="I191" s="235"/>
      <c r="J191" s="235"/>
      <c r="K191" s="235"/>
      <c r="L191" s="229"/>
      <c r="M191" s="37">
        <v>0</v>
      </c>
      <c r="N191" s="27"/>
      <c r="O191" s="28">
        <f>C191*M191</f>
        <v>0</v>
      </c>
      <c r="P191" s="43">
        <f t="shared" si="36"/>
        <v>0</v>
      </c>
      <c r="Q191" s="36"/>
      <c r="R191" s="27"/>
    </row>
    <row r="192" spans="1:18" ht="39.6" x14ac:dyDescent="0.3">
      <c r="A192" s="3" t="str">
        <f>Autovalutazione!A196</f>
        <v>3.7.3.</v>
      </c>
      <c r="B192" s="6" t="str">
        <f>Autovalutazione!C196</f>
        <v>Nella vostra azienda c'è una persona o un ufficio che si occupa prevalentemente di informazione e comunicazione? Se sì, indicare l'ufficio o la persona responsabile.</v>
      </c>
      <c r="C192" s="38">
        <f>IF(ISBLANK(Autovalutazione!D196),0,1)</f>
        <v>0</v>
      </c>
      <c r="D192" s="293" t="str">
        <f>IF(AND(Autovalutazione!D196="",Autovalutazione!E196=""),"*","")</f>
        <v>*</v>
      </c>
      <c r="E192" s="39" t="str">
        <f>IF(ISBLANK(Autovalutazione!F196),"",Autovalutazione!F196)</f>
        <v/>
      </c>
      <c r="F192" s="235"/>
      <c r="G192" s="235"/>
      <c r="H192" s="235"/>
      <c r="I192" s="235"/>
      <c r="J192" s="235"/>
      <c r="K192" s="235"/>
      <c r="L192" s="229"/>
      <c r="M192" s="37">
        <v>0</v>
      </c>
      <c r="N192" s="27"/>
      <c r="O192" s="28">
        <f>C192*M192</f>
        <v>0</v>
      </c>
      <c r="P192" s="43">
        <f t="shared" si="36"/>
        <v>0</v>
      </c>
      <c r="Q192" s="36"/>
      <c r="R192" s="27"/>
    </row>
    <row r="193" spans="1:18" x14ac:dyDescent="0.3">
      <c r="A193" s="19" t="str">
        <f>Autovalutazione!A197</f>
        <v>3.8.</v>
      </c>
      <c r="B193" s="20" t="str">
        <f>Autovalutazione!B197</f>
        <v>Mezzi di comunicazione ed eventi</v>
      </c>
      <c r="C193" s="21">
        <f>O193/N193</f>
        <v>0</v>
      </c>
      <c r="D193" s="23" t="str">
        <f>IF(ISBLANK(Autovalutazione!E197),"",Autovalutazione!E197)</f>
        <v/>
      </c>
      <c r="E193" s="23" t="str">
        <f>IF(ISBLANK(Autovalutazione!F197),"",Autovalutazione!F197)</f>
        <v/>
      </c>
      <c r="F193" s="232"/>
      <c r="G193" s="232"/>
      <c r="H193" s="232"/>
      <c r="I193" s="232"/>
      <c r="J193" s="232"/>
      <c r="K193" s="232"/>
      <c r="L193" s="50">
        <f>P193/N193</f>
        <v>0</v>
      </c>
      <c r="M193" s="22">
        <v>0</v>
      </c>
      <c r="N193" s="22">
        <f>SUM(M194:M222)</f>
        <v>12</v>
      </c>
      <c r="O193" s="24">
        <f>SUM(O194:O222)</f>
        <v>0</v>
      </c>
      <c r="P193" s="24">
        <f>SUM(P194:P222)</f>
        <v>0</v>
      </c>
      <c r="Q193" s="52">
        <f>O193/$N193*$M193</f>
        <v>0</v>
      </c>
      <c r="R193" s="52">
        <f>P193/$N193*$M193</f>
        <v>0</v>
      </c>
    </row>
    <row r="194" spans="1:18" ht="26.4" x14ac:dyDescent="0.3">
      <c r="A194" s="3" t="str">
        <f>Autovalutazione!A198</f>
        <v>3.8.1.a</v>
      </c>
      <c r="B194" s="6" t="str">
        <f>Autovalutazione!C198</f>
        <v>Quali supporti informativi utilizza l'azienda nell'ambito della sicurezza e della tutela della salute?</v>
      </c>
      <c r="C194" s="38">
        <f>IF(ISBLANK(Autovalutazione!D198),0,1)</f>
        <v>0</v>
      </c>
      <c r="D194" s="293" t="str">
        <f>IF(AND(Autovalutazione!D198="",Autovalutazione!E198=""),"*","")</f>
        <v>*</v>
      </c>
      <c r="E194" s="39" t="str">
        <f>IF(ISBLANK(Autovalutazione!F198),"",Autovalutazione!F198)</f>
        <v/>
      </c>
      <c r="F194" s="235"/>
      <c r="G194" s="235"/>
      <c r="H194" s="235"/>
      <c r="I194" s="235"/>
      <c r="J194" s="235"/>
      <c r="K194" s="235"/>
      <c r="L194" s="229"/>
      <c r="M194" s="37">
        <v>1</v>
      </c>
      <c r="N194" s="27"/>
      <c r="O194" s="28">
        <f t="shared" ref="O194:O222" si="37">C194*M194</f>
        <v>0</v>
      </c>
      <c r="P194" s="43">
        <f t="shared" ref="P194:P222" si="38">L194*M194</f>
        <v>0</v>
      </c>
      <c r="Q194" s="36"/>
      <c r="R194" s="27"/>
    </row>
    <row r="195" spans="1:18" x14ac:dyDescent="0.3">
      <c r="A195" s="3" t="str">
        <f>Autovalutazione!A199</f>
        <v>3.8.1.b</v>
      </c>
      <c r="B195" s="6" t="str">
        <f>Autovalutazione!C199</f>
        <v>Colloqui con i dipendenti?</v>
      </c>
      <c r="C195" s="38">
        <f>IF(ISBLANK(Autovalutazione!D199),0,1)</f>
        <v>0</v>
      </c>
      <c r="D195" s="293" t="str">
        <f>IF(AND(Autovalutazione!D199="",Autovalutazione!E199=""),"*","")</f>
        <v>*</v>
      </c>
      <c r="E195" s="39" t="str">
        <f>IF(ISBLANK(Autovalutazione!F199),"",Autovalutazione!F199)</f>
        <v/>
      </c>
      <c r="F195" s="235"/>
      <c r="G195" s="235"/>
      <c r="H195" s="235"/>
      <c r="I195" s="235"/>
      <c r="J195" s="235"/>
      <c r="K195" s="235"/>
      <c r="L195" s="229"/>
      <c r="M195" s="37">
        <v>1</v>
      </c>
      <c r="N195" s="27"/>
      <c r="O195" s="28">
        <f t="shared" si="37"/>
        <v>0</v>
      </c>
      <c r="P195" s="43">
        <f t="shared" si="38"/>
        <v>0</v>
      </c>
      <c r="Q195" s="36"/>
      <c r="R195" s="27"/>
    </row>
    <row r="196" spans="1:18" x14ac:dyDescent="0.3">
      <c r="A196" s="3" t="str">
        <f>Autovalutazione!A200</f>
        <v>3.8.1.c</v>
      </c>
      <c r="B196" s="6" t="str">
        <f>Autovalutazione!C200</f>
        <v>Riunioni di lavoro?</v>
      </c>
      <c r="C196" s="38">
        <f>IF(ISBLANK(Autovalutazione!D200),0,1)</f>
        <v>0</v>
      </c>
      <c r="D196" s="293" t="str">
        <f>IF(AND(Autovalutazione!D200="",Autovalutazione!E200=""),"*","")</f>
        <v>*</v>
      </c>
      <c r="E196" s="39" t="str">
        <f>IF(ISBLANK(Autovalutazione!F200),"",Autovalutazione!F200)</f>
        <v/>
      </c>
      <c r="F196" s="235"/>
      <c r="G196" s="235"/>
      <c r="H196" s="235"/>
      <c r="I196" s="235"/>
      <c r="J196" s="235"/>
      <c r="K196" s="235"/>
      <c r="L196" s="229"/>
      <c r="M196" s="37">
        <v>0</v>
      </c>
      <c r="N196" s="27"/>
      <c r="O196" s="28">
        <f t="shared" si="37"/>
        <v>0</v>
      </c>
      <c r="P196" s="43">
        <f t="shared" si="38"/>
        <v>0</v>
      </c>
      <c r="Q196" s="36"/>
      <c r="R196" s="27"/>
    </row>
    <row r="197" spans="1:18" x14ac:dyDescent="0.3">
      <c r="A197" s="3" t="str">
        <f>Autovalutazione!A201</f>
        <v>3.8.1.d</v>
      </c>
      <c r="B197" s="6" t="str">
        <f>Autovalutazione!C201</f>
        <v>Attribuzione dei compiti?</v>
      </c>
      <c r="C197" s="38">
        <f>IF(ISBLANK(Autovalutazione!D201),0,1)</f>
        <v>0</v>
      </c>
      <c r="D197" s="293" t="str">
        <f>IF(AND(Autovalutazione!D201="",Autovalutazione!E201=""),"*","")</f>
        <v>*</v>
      </c>
      <c r="E197" s="39" t="str">
        <f>IF(ISBLANK(Autovalutazione!F201),"",Autovalutazione!F201)</f>
        <v/>
      </c>
      <c r="F197" s="235"/>
      <c r="G197" s="235"/>
      <c r="H197" s="235"/>
      <c r="I197" s="235"/>
      <c r="J197" s="235"/>
      <c r="K197" s="235"/>
      <c r="L197" s="229"/>
      <c r="M197" s="37">
        <v>1</v>
      </c>
      <c r="N197" s="27"/>
      <c r="O197" s="28">
        <f t="shared" si="37"/>
        <v>0</v>
      </c>
      <c r="P197" s="43">
        <f t="shared" si="38"/>
        <v>0</v>
      </c>
      <c r="Q197" s="36"/>
      <c r="R197" s="27"/>
    </row>
    <row r="198" spans="1:18" x14ac:dyDescent="0.3">
      <c r="A198" s="3" t="str">
        <f>Autovalutazione!A202</f>
        <v>3.8.1.e</v>
      </c>
      <c r="B198" s="6" t="str">
        <f>Autovalutazione!C202</f>
        <v>Direttive di lavoro?</v>
      </c>
      <c r="C198" s="38">
        <f>IF(ISBLANK(Autovalutazione!D202),0,1)</f>
        <v>0</v>
      </c>
      <c r="D198" s="293" t="str">
        <f>IF(AND(Autovalutazione!D202="",Autovalutazione!E202=""),"*","")</f>
        <v>*</v>
      </c>
      <c r="E198" s="39" t="str">
        <f>IF(ISBLANK(Autovalutazione!F202),"",Autovalutazione!F202)</f>
        <v/>
      </c>
      <c r="F198" s="237"/>
      <c r="G198" s="237"/>
      <c r="H198" s="237"/>
      <c r="I198" s="237"/>
      <c r="J198" s="237"/>
      <c r="K198" s="237"/>
      <c r="L198" s="229"/>
      <c r="M198" s="37">
        <v>1</v>
      </c>
      <c r="N198" s="27"/>
      <c r="O198" s="28">
        <f t="shared" si="37"/>
        <v>0</v>
      </c>
      <c r="P198" s="43">
        <f t="shared" si="38"/>
        <v>0</v>
      </c>
      <c r="Q198" s="36"/>
      <c r="R198" s="36"/>
    </row>
    <row r="199" spans="1:18" x14ac:dyDescent="0.3">
      <c r="A199" s="3" t="str">
        <f>Autovalutazione!A203</f>
        <v>3.8.1.f</v>
      </c>
      <c r="B199" s="6" t="str">
        <f>Autovalutazione!C203</f>
        <v>Istruzioni di lavoro?</v>
      </c>
      <c r="C199" s="38">
        <f>IF(ISBLANK(Autovalutazione!D203),0,1)</f>
        <v>0</v>
      </c>
      <c r="D199" s="293" t="str">
        <f>IF(AND(Autovalutazione!D203="",Autovalutazione!E203=""),"*","")</f>
        <v>*</v>
      </c>
      <c r="E199" s="39" t="str">
        <f>IF(ISBLANK(Autovalutazione!F203),"",Autovalutazione!F203)</f>
        <v/>
      </c>
      <c r="F199" s="237"/>
      <c r="G199" s="237"/>
      <c r="H199" s="237"/>
      <c r="I199" s="237"/>
      <c r="J199" s="237"/>
      <c r="K199" s="237"/>
      <c r="L199" s="229"/>
      <c r="M199" s="37">
        <v>0</v>
      </c>
      <c r="N199" s="27"/>
      <c r="O199" s="28">
        <f t="shared" si="37"/>
        <v>0</v>
      </c>
      <c r="P199" s="43">
        <f t="shared" si="38"/>
        <v>0</v>
      </c>
      <c r="Q199" s="36"/>
      <c r="R199" s="36"/>
    </row>
    <row r="200" spans="1:18" x14ac:dyDescent="0.3">
      <c r="A200" s="3" t="str">
        <f>Autovalutazione!A204</f>
        <v>3.8.1.g</v>
      </c>
      <c r="B200" s="6" t="str">
        <f>Autovalutazione!C204</f>
        <v>Colloquio sulla sicurezza?</v>
      </c>
      <c r="C200" s="38">
        <f>IF(ISBLANK(Autovalutazione!D204),0,1)</f>
        <v>0</v>
      </c>
      <c r="D200" s="293" t="str">
        <f>IF(AND(Autovalutazione!D204="",Autovalutazione!E204=""),"*","")</f>
        <v>*</v>
      </c>
      <c r="E200" s="39" t="str">
        <f>IF(ISBLANK(Autovalutazione!F204),"",Autovalutazione!F204)</f>
        <v/>
      </c>
      <c r="F200" s="235"/>
      <c r="G200" s="235"/>
      <c r="H200" s="235"/>
      <c r="I200" s="235"/>
      <c r="J200" s="235"/>
      <c r="K200" s="235"/>
      <c r="L200" s="229"/>
      <c r="M200" s="37">
        <v>1</v>
      </c>
      <c r="N200" s="27"/>
      <c r="O200" s="28">
        <f t="shared" si="37"/>
        <v>0</v>
      </c>
      <c r="P200" s="43">
        <f t="shared" si="38"/>
        <v>0</v>
      </c>
      <c r="Q200" s="36"/>
      <c r="R200" s="27"/>
    </row>
    <row r="201" spans="1:18" x14ac:dyDescent="0.3">
      <c r="A201" s="3" t="str">
        <f>Autovalutazione!A205</f>
        <v>3.8.1.h</v>
      </c>
      <c r="B201" s="6" t="str">
        <f>Autovalutazione!C205</f>
        <v>Scambi d'idee - meeting?</v>
      </c>
      <c r="C201" s="38">
        <f>IF(ISBLANK(Autovalutazione!D205),0,1)</f>
        <v>0</v>
      </c>
      <c r="D201" s="293" t="str">
        <f>IF(AND(Autovalutazione!D205="",Autovalutazione!E205=""),"*","")</f>
        <v>*</v>
      </c>
      <c r="E201" s="39" t="str">
        <f>IF(ISBLANK(Autovalutazione!F205),"",Autovalutazione!F205)</f>
        <v/>
      </c>
      <c r="F201" s="237"/>
      <c r="G201" s="237"/>
      <c r="H201" s="237"/>
      <c r="I201" s="237"/>
      <c r="J201" s="237"/>
      <c r="K201" s="237"/>
      <c r="L201" s="229"/>
      <c r="M201" s="37">
        <v>0</v>
      </c>
      <c r="N201" s="27"/>
      <c r="O201" s="28">
        <f t="shared" si="37"/>
        <v>0</v>
      </c>
      <c r="P201" s="43">
        <f t="shared" si="38"/>
        <v>0</v>
      </c>
      <c r="Q201" s="36"/>
      <c r="R201" s="36"/>
    </row>
    <row r="202" spans="1:18" x14ac:dyDescent="0.3">
      <c r="A202" s="3" t="str">
        <f>Autovalutazione!A206</f>
        <v>3.8.1.i</v>
      </c>
      <c r="B202" s="6" t="str">
        <f>Autovalutazione!C206</f>
        <v>Incarichi di lavoro scritti?</v>
      </c>
      <c r="C202" s="38">
        <f>IF(ISBLANK(Autovalutazione!D206),0,1)</f>
        <v>0</v>
      </c>
      <c r="D202" s="293" t="str">
        <f>IF(AND(Autovalutazione!D206="",Autovalutazione!E206=""),"*","")</f>
        <v>*</v>
      </c>
      <c r="E202" s="39" t="str">
        <f>IF(ISBLANK(Autovalutazione!F206),"",Autovalutazione!F206)</f>
        <v/>
      </c>
      <c r="F202" s="237"/>
      <c r="G202" s="237"/>
      <c r="H202" s="237"/>
      <c r="I202" s="237"/>
      <c r="J202" s="237"/>
      <c r="K202" s="237"/>
      <c r="L202" s="229"/>
      <c r="M202" s="37">
        <v>0</v>
      </c>
      <c r="N202" s="27"/>
      <c r="O202" s="28">
        <f t="shared" si="37"/>
        <v>0</v>
      </c>
      <c r="P202" s="43">
        <f t="shared" si="38"/>
        <v>0</v>
      </c>
      <c r="Q202" s="36"/>
      <c r="R202" s="27"/>
    </row>
    <row r="203" spans="1:18" x14ac:dyDescent="0.3">
      <c r="A203" s="3" t="str">
        <f>Autovalutazione!A207</f>
        <v>3.8.1.j</v>
      </c>
      <c r="B203" s="6" t="str">
        <f>Autovalutazione!C207</f>
        <v>Direttive, disposizioni scritte?</v>
      </c>
      <c r="C203" s="38">
        <f>IF(ISBLANK(Autovalutazione!D207),0,1)</f>
        <v>0</v>
      </c>
      <c r="D203" s="293" t="str">
        <f>IF(AND(Autovalutazione!D207="",Autovalutazione!E207=""),"*","")</f>
        <v>*</v>
      </c>
      <c r="E203" s="39" t="str">
        <f>IF(ISBLANK(Autovalutazione!F207),"",Autovalutazione!F207)</f>
        <v/>
      </c>
      <c r="F203" s="235"/>
      <c r="G203" s="235"/>
      <c r="H203" s="235"/>
      <c r="I203" s="235"/>
      <c r="J203" s="235"/>
      <c r="K203" s="235"/>
      <c r="L203" s="229"/>
      <c r="M203" s="37">
        <v>1</v>
      </c>
      <c r="N203" s="27"/>
      <c r="O203" s="28">
        <f t="shared" si="37"/>
        <v>0</v>
      </c>
      <c r="P203" s="43">
        <f t="shared" si="38"/>
        <v>0</v>
      </c>
      <c r="Q203" s="36"/>
      <c r="R203" s="27"/>
    </row>
    <row r="204" spans="1:18" x14ac:dyDescent="0.3">
      <c r="A204" s="3" t="str">
        <f>Autovalutazione!A208</f>
        <v>3.8.1.k</v>
      </c>
      <c r="B204" s="6" t="str">
        <f>Autovalutazione!C208</f>
        <v>Norme, prescrizioni?</v>
      </c>
      <c r="C204" s="38">
        <f>IF(ISBLANK(Autovalutazione!D208),0,1)</f>
        <v>0</v>
      </c>
      <c r="D204" s="293" t="str">
        <f>IF(AND(Autovalutazione!D208="",Autovalutazione!E208=""),"*","")</f>
        <v>*</v>
      </c>
      <c r="E204" s="39" t="str">
        <f>IF(ISBLANK(Autovalutazione!F208),"",Autovalutazione!F208)</f>
        <v/>
      </c>
      <c r="F204" s="235"/>
      <c r="G204" s="235"/>
      <c r="H204" s="235"/>
      <c r="I204" s="235"/>
      <c r="J204" s="235"/>
      <c r="K204" s="235"/>
      <c r="L204" s="229"/>
      <c r="M204" s="37">
        <v>1</v>
      </c>
      <c r="N204" s="27"/>
      <c r="O204" s="28">
        <f t="shared" si="37"/>
        <v>0</v>
      </c>
      <c r="P204" s="43">
        <f t="shared" si="38"/>
        <v>0</v>
      </c>
      <c r="Q204" s="36"/>
      <c r="R204" s="27"/>
    </row>
    <row r="205" spans="1:18" x14ac:dyDescent="0.3">
      <c r="A205" s="3" t="str">
        <f>Autovalutazione!A209</f>
        <v>3.8.1.l</v>
      </c>
      <c r="B205" s="6" t="str">
        <f>Autovalutazione!C209</f>
        <v>Guide, manuali?</v>
      </c>
      <c r="C205" s="38">
        <f>IF(ISBLANK(Autovalutazione!D209),0,1)</f>
        <v>0</v>
      </c>
      <c r="D205" s="293" t="str">
        <f>IF(AND(Autovalutazione!D209="",Autovalutazione!E209=""),"*","")</f>
        <v>*</v>
      </c>
      <c r="E205" s="39" t="str">
        <f>IF(ISBLANK(Autovalutazione!F209),"",Autovalutazione!F209)</f>
        <v/>
      </c>
      <c r="F205" s="235"/>
      <c r="G205" s="235"/>
      <c r="H205" s="235"/>
      <c r="I205" s="235"/>
      <c r="J205" s="235"/>
      <c r="K205" s="235"/>
      <c r="L205" s="229"/>
      <c r="M205" s="37">
        <v>1</v>
      </c>
      <c r="N205" s="27"/>
      <c r="O205" s="28">
        <f t="shared" si="37"/>
        <v>0</v>
      </c>
      <c r="P205" s="43">
        <f t="shared" si="38"/>
        <v>0</v>
      </c>
      <c r="Q205" s="36"/>
      <c r="R205" s="27"/>
    </row>
    <row r="206" spans="1:18" x14ac:dyDescent="0.3">
      <c r="A206" s="3" t="str">
        <f>Autovalutazione!A210</f>
        <v>3.8.1.m</v>
      </c>
      <c r="B206" s="6" t="str">
        <f>Autovalutazione!C210</f>
        <v>Opuscoli?</v>
      </c>
      <c r="C206" s="38">
        <f>IF(ISBLANK(Autovalutazione!D210),0,1)</f>
        <v>0</v>
      </c>
      <c r="D206" s="293" t="str">
        <f>IF(AND(Autovalutazione!D210="",Autovalutazione!E210=""),"*","")</f>
        <v>*</v>
      </c>
      <c r="E206" s="39" t="str">
        <f>IF(ISBLANK(Autovalutazione!F210),"",Autovalutazione!F210)</f>
        <v/>
      </c>
      <c r="F206" s="235"/>
      <c r="G206" s="235"/>
      <c r="H206" s="235"/>
      <c r="I206" s="235"/>
      <c r="J206" s="235"/>
      <c r="K206" s="235"/>
      <c r="L206" s="229"/>
      <c r="M206" s="37">
        <v>0</v>
      </c>
      <c r="N206" s="27"/>
      <c r="O206" s="28">
        <f t="shared" si="37"/>
        <v>0</v>
      </c>
      <c r="P206" s="43">
        <f t="shared" si="38"/>
        <v>0</v>
      </c>
      <c r="Q206" s="36"/>
      <c r="R206" s="27"/>
    </row>
    <row r="207" spans="1:18" x14ac:dyDescent="0.3">
      <c r="A207" s="3" t="str">
        <f>Autovalutazione!A211</f>
        <v>3.8.1.n</v>
      </c>
      <c r="B207" s="6" t="str">
        <f>Autovalutazione!C211</f>
        <v>Informative?</v>
      </c>
      <c r="C207" s="38">
        <f>IF(ISBLANK(Autovalutazione!D211),0,1)</f>
        <v>0</v>
      </c>
      <c r="D207" s="293" t="str">
        <f>IF(AND(Autovalutazione!D211="",Autovalutazione!E211=""),"*","")</f>
        <v>*</v>
      </c>
      <c r="E207" s="39" t="str">
        <f>IF(ISBLANK(Autovalutazione!F211),"",Autovalutazione!F211)</f>
        <v/>
      </c>
      <c r="F207" s="235"/>
      <c r="G207" s="235"/>
      <c r="H207" s="235"/>
      <c r="I207" s="235"/>
      <c r="J207" s="235"/>
      <c r="K207" s="235"/>
      <c r="L207" s="229"/>
      <c r="M207" s="37">
        <v>1</v>
      </c>
      <c r="N207" s="27"/>
      <c r="O207" s="28">
        <f t="shared" si="37"/>
        <v>0</v>
      </c>
      <c r="P207" s="43">
        <f t="shared" si="38"/>
        <v>0</v>
      </c>
      <c r="Q207" s="36"/>
      <c r="R207" s="27"/>
    </row>
    <row r="208" spans="1:18" x14ac:dyDescent="0.3">
      <c r="A208" s="3" t="str">
        <f>Autovalutazione!A212</f>
        <v>3.8.1.o</v>
      </c>
      <c r="B208" s="6" t="str">
        <f>Autovalutazione!C212</f>
        <v>Circolari?</v>
      </c>
      <c r="C208" s="38">
        <f>IF(ISBLANK(Autovalutazione!D212),0,1)</f>
        <v>0</v>
      </c>
      <c r="D208" s="293" t="str">
        <f>IF(AND(Autovalutazione!D212="",Autovalutazione!E212=""),"*","")</f>
        <v>*</v>
      </c>
      <c r="E208" s="39" t="str">
        <f>IF(ISBLANK(Autovalutazione!F212),"",Autovalutazione!F212)</f>
        <v/>
      </c>
      <c r="F208" s="235"/>
      <c r="G208" s="235"/>
      <c r="H208" s="235"/>
      <c r="I208" s="235"/>
      <c r="J208" s="235"/>
      <c r="K208" s="235"/>
      <c r="L208" s="229"/>
      <c r="M208" s="37">
        <v>1</v>
      </c>
      <c r="N208" s="27"/>
      <c r="O208" s="28">
        <f t="shared" si="37"/>
        <v>0</v>
      </c>
      <c r="P208" s="43">
        <f t="shared" si="38"/>
        <v>0</v>
      </c>
      <c r="Q208" s="36"/>
      <c r="R208" s="27"/>
    </row>
    <row r="209" spans="1:18" x14ac:dyDescent="0.3">
      <c r="A209" s="3" t="str">
        <f>Autovalutazione!A213</f>
        <v>3.8.1.p</v>
      </c>
      <c r="B209" s="6" t="str">
        <f>Autovalutazione!C213</f>
        <v>Lettere personali?</v>
      </c>
      <c r="C209" s="38">
        <f>IF(ISBLANK(Autovalutazione!D213),0,1)</f>
        <v>0</v>
      </c>
      <c r="D209" s="293" t="str">
        <f>IF(AND(Autovalutazione!D213="",Autovalutazione!E213=""),"*","")</f>
        <v>*</v>
      </c>
      <c r="E209" s="39" t="str">
        <f>IF(ISBLANK(Autovalutazione!F213),"",Autovalutazione!F213)</f>
        <v/>
      </c>
      <c r="F209" s="235"/>
      <c r="G209" s="235"/>
      <c r="H209" s="235"/>
      <c r="I209" s="235"/>
      <c r="J209" s="235"/>
      <c r="K209" s="235"/>
      <c r="L209" s="229"/>
      <c r="M209" s="37">
        <v>0</v>
      </c>
      <c r="N209" s="27"/>
      <c r="O209" s="28">
        <f t="shared" si="37"/>
        <v>0</v>
      </c>
      <c r="P209" s="43">
        <f t="shared" si="38"/>
        <v>0</v>
      </c>
      <c r="Q209" s="36"/>
      <c r="R209" s="27"/>
    </row>
    <row r="210" spans="1:18" x14ac:dyDescent="0.3">
      <c r="A210" s="3" t="str">
        <f>Autovalutazione!A214</f>
        <v>3.8.1.q</v>
      </c>
      <c r="B210" s="6" t="str">
        <f>Autovalutazione!C214</f>
        <v>Rivista interna?</v>
      </c>
      <c r="C210" s="38">
        <f>IF(ISBLANK(Autovalutazione!D214),0,1)</f>
        <v>0</v>
      </c>
      <c r="D210" s="293" t="str">
        <f>IF(AND(Autovalutazione!D214="",Autovalutazione!E214=""),"*","")</f>
        <v>*</v>
      </c>
      <c r="E210" s="39" t="str">
        <f>IF(ISBLANK(Autovalutazione!F214),"",Autovalutazione!F214)</f>
        <v/>
      </c>
      <c r="F210" s="235"/>
      <c r="G210" s="235"/>
      <c r="H210" s="235"/>
      <c r="I210" s="235"/>
      <c r="J210" s="235"/>
      <c r="K210" s="235"/>
      <c r="L210" s="229"/>
      <c r="M210" s="37">
        <v>0</v>
      </c>
      <c r="N210" s="27"/>
      <c r="O210" s="28">
        <f t="shared" si="37"/>
        <v>0</v>
      </c>
      <c r="P210" s="43">
        <f t="shared" si="38"/>
        <v>0</v>
      </c>
      <c r="Q210" s="36"/>
      <c r="R210" s="27"/>
    </row>
    <row r="211" spans="1:18" x14ac:dyDescent="0.3">
      <c r="A211" s="3" t="str">
        <f>Autovalutazione!A215</f>
        <v>3.8.1.r</v>
      </c>
      <c r="B211" s="6" t="str">
        <f>Autovalutazione!C215</f>
        <v>Rivista del personale?</v>
      </c>
      <c r="C211" s="38">
        <f>IF(ISBLANK(Autovalutazione!D215),0,1)</f>
        <v>0</v>
      </c>
      <c r="D211" s="293" t="str">
        <f>IF(AND(Autovalutazione!D215="",Autovalutazione!E215=""),"*","")</f>
        <v>*</v>
      </c>
      <c r="E211" s="39" t="str">
        <f>IF(ISBLANK(Autovalutazione!F215),"",Autovalutazione!F215)</f>
        <v/>
      </c>
      <c r="F211" s="235"/>
      <c r="G211" s="235"/>
      <c r="H211" s="235"/>
      <c r="I211" s="235"/>
      <c r="J211" s="235"/>
      <c r="K211" s="235"/>
      <c r="L211" s="229"/>
      <c r="M211" s="37">
        <v>1</v>
      </c>
      <c r="N211" s="27"/>
      <c r="O211" s="28">
        <f t="shared" si="37"/>
        <v>0</v>
      </c>
      <c r="P211" s="43">
        <f t="shared" si="38"/>
        <v>0</v>
      </c>
      <c r="Q211" s="36"/>
      <c r="R211" s="27"/>
    </row>
    <row r="212" spans="1:18" x14ac:dyDescent="0.3">
      <c r="A212" s="3" t="str">
        <f>Autovalutazione!A216</f>
        <v>3.8.1.s</v>
      </c>
      <c r="B212" s="6" t="str">
        <f>Autovalutazione!C216</f>
        <v>Stampa specializzata?</v>
      </c>
      <c r="C212" s="38">
        <f>IF(ISBLANK(Autovalutazione!D216),0,1)</f>
        <v>0</v>
      </c>
      <c r="D212" s="293" t="str">
        <f>IF(AND(Autovalutazione!D216="",Autovalutazione!E216=""),"*","")</f>
        <v>*</v>
      </c>
      <c r="E212" s="39" t="str">
        <f>IF(ISBLANK(Autovalutazione!F216),"",Autovalutazione!F216)</f>
        <v/>
      </c>
      <c r="F212" s="235"/>
      <c r="G212" s="235"/>
      <c r="H212" s="235"/>
      <c r="I212" s="235"/>
      <c r="J212" s="235"/>
      <c r="K212" s="235"/>
      <c r="L212" s="229"/>
      <c r="M212" s="37">
        <v>0</v>
      </c>
      <c r="N212" s="27"/>
      <c r="O212" s="28">
        <f t="shared" si="37"/>
        <v>0</v>
      </c>
      <c r="P212" s="43">
        <f t="shared" si="38"/>
        <v>0</v>
      </c>
      <c r="Q212" s="36"/>
      <c r="R212" s="27"/>
    </row>
    <row r="213" spans="1:18" x14ac:dyDescent="0.3">
      <c r="A213" s="3" t="str">
        <f>Autovalutazione!A217</f>
        <v>3.8.1.t</v>
      </c>
      <c r="B213" s="6" t="str">
        <f>Autovalutazione!C217</f>
        <v>Biblioteca?</v>
      </c>
      <c r="C213" s="38">
        <f>IF(ISBLANK(Autovalutazione!D217),0,1)</f>
        <v>0</v>
      </c>
      <c r="D213" s="293" t="str">
        <f>IF(AND(Autovalutazione!D217="",Autovalutazione!E217=""),"*","")</f>
        <v>*</v>
      </c>
      <c r="E213" s="39" t="str">
        <f>IF(ISBLANK(Autovalutazione!F217),"",Autovalutazione!F217)</f>
        <v/>
      </c>
      <c r="F213" s="235"/>
      <c r="G213" s="235"/>
      <c r="H213" s="235"/>
      <c r="I213" s="235"/>
      <c r="J213" s="235"/>
      <c r="K213" s="235"/>
      <c r="L213" s="229"/>
      <c r="M213" s="37">
        <v>0</v>
      </c>
      <c r="N213" s="27"/>
      <c r="O213" s="28">
        <f t="shared" si="37"/>
        <v>0</v>
      </c>
      <c r="P213" s="43">
        <f t="shared" si="38"/>
        <v>0</v>
      </c>
      <c r="Q213" s="36"/>
      <c r="R213" s="27"/>
    </row>
    <row r="214" spans="1:18" x14ac:dyDescent="0.3">
      <c r="A214" s="3" t="str">
        <f>Autovalutazione!A218</f>
        <v>3.8.1.u</v>
      </c>
      <c r="B214" s="6" t="str">
        <f>Autovalutazione!C218</f>
        <v>Rapporto annuale?</v>
      </c>
      <c r="C214" s="38">
        <f>IF(ISBLANK(Autovalutazione!D218),0,1)</f>
        <v>0</v>
      </c>
      <c r="D214" s="293" t="str">
        <f>IF(AND(Autovalutazione!D218="",Autovalutazione!E218=""),"*","")</f>
        <v>*</v>
      </c>
      <c r="E214" s="39" t="str">
        <f>IF(ISBLANK(Autovalutazione!F218),"",Autovalutazione!F218)</f>
        <v/>
      </c>
      <c r="F214" s="237"/>
      <c r="G214" s="237"/>
      <c r="H214" s="237"/>
      <c r="I214" s="237"/>
      <c r="J214" s="237"/>
      <c r="K214" s="237"/>
      <c r="L214" s="229"/>
      <c r="M214" s="37">
        <v>1</v>
      </c>
      <c r="N214" s="27"/>
      <c r="O214" s="28">
        <f t="shared" si="37"/>
        <v>0</v>
      </c>
      <c r="P214" s="43">
        <f t="shared" si="38"/>
        <v>0</v>
      </c>
      <c r="Q214" s="36"/>
      <c r="R214" s="27"/>
    </row>
    <row r="215" spans="1:18" x14ac:dyDescent="0.3">
      <c r="A215" s="3" t="str">
        <f>Autovalutazione!A219</f>
        <v>3.8.1.v</v>
      </c>
      <c r="B215" s="6" t="str">
        <f>Autovalutazione!C219</f>
        <v>Sondaggio tra i dipendenti?</v>
      </c>
      <c r="C215" s="38">
        <f>IF(ISBLANK(Autovalutazione!D219),0,1)</f>
        <v>0</v>
      </c>
      <c r="D215" s="293" t="str">
        <f>IF(AND(Autovalutazione!D219="",Autovalutazione!E219=""),"*","")</f>
        <v>*</v>
      </c>
      <c r="E215" s="39" t="str">
        <f>IF(ISBLANK(Autovalutazione!F219),"",Autovalutazione!F219)</f>
        <v/>
      </c>
      <c r="F215" s="235"/>
      <c r="G215" s="235"/>
      <c r="H215" s="235"/>
      <c r="I215" s="235"/>
      <c r="J215" s="235"/>
      <c r="K215" s="235"/>
      <c r="L215" s="229"/>
      <c r="M215" s="37">
        <v>0</v>
      </c>
      <c r="N215" s="27"/>
      <c r="O215" s="28">
        <f t="shared" si="37"/>
        <v>0</v>
      </c>
      <c r="P215" s="43">
        <f t="shared" si="38"/>
        <v>0</v>
      </c>
      <c r="Q215" s="36"/>
      <c r="R215" s="27"/>
    </row>
    <row r="216" spans="1:18" x14ac:dyDescent="0.3">
      <c r="A216" s="3" t="str">
        <f>Autovalutazione!A220</f>
        <v>3.8.1.w</v>
      </c>
      <c r="B216" s="6" t="str">
        <f>Autovalutazione!C220</f>
        <v>Internet?</v>
      </c>
      <c r="C216" s="38">
        <f>IF(ISBLANK(Autovalutazione!D220),0,1)</f>
        <v>0</v>
      </c>
      <c r="D216" s="293" t="str">
        <f>IF(AND(Autovalutazione!D220="",Autovalutazione!E220=""),"*","")</f>
        <v>*</v>
      </c>
      <c r="E216" s="39" t="str">
        <f>IF(ISBLANK(Autovalutazione!F220),"",Autovalutazione!F220)</f>
        <v/>
      </c>
      <c r="F216" s="235"/>
      <c r="G216" s="235"/>
      <c r="H216" s="235"/>
      <c r="I216" s="235"/>
      <c r="J216" s="235"/>
      <c r="K216" s="235"/>
      <c r="L216" s="229"/>
      <c r="M216" s="37">
        <v>0</v>
      </c>
      <c r="N216" s="27"/>
      <c r="O216" s="28">
        <f t="shared" si="37"/>
        <v>0</v>
      </c>
      <c r="P216" s="43">
        <f t="shared" si="38"/>
        <v>0</v>
      </c>
      <c r="Q216" s="36"/>
      <c r="R216" s="27"/>
    </row>
    <row r="217" spans="1:18" x14ac:dyDescent="0.3">
      <c r="A217" s="3" t="str">
        <f>Autovalutazione!A221</f>
        <v>3.8.1.x</v>
      </c>
      <c r="B217" s="6" t="str">
        <f>Autovalutazione!C221</f>
        <v>Intranet?</v>
      </c>
      <c r="C217" s="38">
        <f>IF(ISBLANK(Autovalutazione!D221),0,1)</f>
        <v>0</v>
      </c>
      <c r="D217" s="293" t="str">
        <f>IF(AND(Autovalutazione!D221="",Autovalutazione!E221=""),"*","")</f>
        <v>*</v>
      </c>
      <c r="E217" s="39" t="str">
        <f>IF(ISBLANK(Autovalutazione!F221),"",Autovalutazione!F221)</f>
        <v/>
      </c>
      <c r="F217" s="235"/>
      <c r="G217" s="235"/>
      <c r="H217" s="235"/>
      <c r="I217" s="235"/>
      <c r="J217" s="235"/>
      <c r="K217" s="235"/>
      <c r="L217" s="229"/>
      <c r="M217" s="37">
        <v>0</v>
      </c>
      <c r="N217" s="27"/>
      <c r="O217" s="28">
        <f t="shared" si="37"/>
        <v>0</v>
      </c>
      <c r="P217" s="43">
        <f t="shared" si="38"/>
        <v>0</v>
      </c>
      <c r="Q217" s="36"/>
      <c r="R217" s="27"/>
    </row>
    <row r="218" spans="1:18" x14ac:dyDescent="0.3">
      <c r="A218" s="3" t="str">
        <f>Autovalutazione!A222</f>
        <v>3.8.1.y</v>
      </c>
      <c r="B218" s="6" t="str">
        <f>Autovalutazione!C222</f>
        <v>E-Mail?</v>
      </c>
      <c r="C218" s="38">
        <f>IF(ISBLANK(Autovalutazione!D222),0,1)</f>
        <v>0</v>
      </c>
      <c r="D218" s="293" t="str">
        <f>IF(AND(Autovalutazione!D222="",Autovalutazione!E222=""),"*","")</f>
        <v>*</v>
      </c>
      <c r="E218" s="39" t="str">
        <f>IF(ISBLANK(Autovalutazione!F222),"",Autovalutazione!F222)</f>
        <v/>
      </c>
      <c r="F218" s="235"/>
      <c r="G218" s="235"/>
      <c r="H218" s="235"/>
      <c r="I218" s="235"/>
      <c r="J218" s="235"/>
      <c r="K218" s="235"/>
      <c r="L218" s="229"/>
      <c r="M218" s="37">
        <v>0</v>
      </c>
      <c r="N218" s="27"/>
      <c r="O218" s="28">
        <f t="shared" si="37"/>
        <v>0</v>
      </c>
      <c r="P218" s="43">
        <f t="shared" si="38"/>
        <v>0</v>
      </c>
      <c r="Q218" s="36"/>
      <c r="R218" s="27"/>
    </row>
    <row r="219" spans="1:18" x14ac:dyDescent="0.3">
      <c r="A219" s="3" t="str">
        <f>Autovalutazione!A223</f>
        <v>3.8.1.z</v>
      </c>
      <c r="B219" s="6" t="str">
        <f>Autovalutazione!C223</f>
        <v>Programmi informatici?</v>
      </c>
      <c r="C219" s="38">
        <f>IF(ISBLANK(Autovalutazione!D223),0,1)</f>
        <v>0</v>
      </c>
      <c r="D219" s="293" t="str">
        <f>IF(AND(Autovalutazione!D223="",Autovalutazione!E223=""),"*","")</f>
        <v>*</v>
      </c>
      <c r="E219" s="39" t="str">
        <f>IF(ISBLANK(Autovalutazione!F223),"",Autovalutazione!F223)</f>
        <v/>
      </c>
      <c r="F219" s="237"/>
      <c r="G219" s="237"/>
      <c r="H219" s="237"/>
      <c r="I219" s="237"/>
      <c r="J219" s="237"/>
      <c r="K219" s="237"/>
      <c r="L219" s="229"/>
      <c r="M219" s="37">
        <v>0</v>
      </c>
      <c r="N219" s="27"/>
      <c r="O219" s="28">
        <f t="shared" si="37"/>
        <v>0</v>
      </c>
      <c r="P219" s="43">
        <f t="shared" si="38"/>
        <v>0</v>
      </c>
      <c r="Q219" s="36"/>
      <c r="R219" s="27"/>
    </row>
    <row r="220" spans="1:18" x14ac:dyDescent="0.3">
      <c r="A220" s="3" t="str">
        <f>Autovalutazione!A224</f>
        <v>3.8.1.aa</v>
      </c>
      <c r="B220" s="6" t="str">
        <f>Autovalutazione!C224</f>
        <v>Modelli?</v>
      </c>
      <c r="C220" s="38">
        <f>IF(ISBLANK(Autovalutazione!D224),0,1)</f>
        <v>0</v>
      </c>
      <c r="D220" s="293" t="str">
        <f>IF(AND(Autovalutazione!D224="",Autovalutazione!E224=""),"*","")</f>
        <v>*</v>
      </c>
      <c r="E220" s="39" t="str">
        <f>IF(ISBLANK(Autovalutazione!F224),"",Autovalutazione!F224)</f>
        <v/>
      </c>
      <c r="F220" s="235"/>
      <c r="G220" s="235"/>
      <c r="H220" s="235"/>
      <c r="I220" s="235"/>
      <c r="J220" s="235"/>
      <c r="K220" s="235"/>
      <c r="L220" s="229"/>
      <c r="M220" s="37">
        <v>0</v>
      </c>
      <c r="N220" s="27"/>
      <c r="O220" s="28">
        <f t="shared" si="37"/>
        <v>0</v>
      </c>
      <c r="P220" s="43">
        <f t="shared" si="38"/>
        <v>0</v>
      </c>
      <c r="Q220" s="36"/>
      <c r="R220" s="27"/>
    </row>
    <row r="221" spans="1:18" x14ac:dyDescent="0.3">
      <c r="A221" s="3" t="str">
        <f>Autovalutazione!A225</f>
        <v>3.8.1.bb</v>
      </c>
      <c r="B221" s="6" t="str">
        <f>Autovalutazione!C225</f>
        <v>Campioni?</v>
      </c>
      <c r="C221" s="38">
        <f>IF(ISBLANK(Autovalutazione!D225),0,1)</f>
        <v>0</v>
      </c>
      <c r="D221" s="293" t="str">
        <f>IF(AND(Autovalutazione!D225="",Autovalutazione!E225=""),"*","")</f>
        <v>*</v>
      </c>
      <c r="E221" s="39" t="str">
        <f>IF(ISBLANK(Autovalutazione!F225),"",Autovalutazione!F225)</f>
        <v/>
      </c>
      <c r="F221" s="237"/>
      <c r="G221" s="237"/>
      <c r="H221" s="237"/>
      <c r="I221" s="237"/>
      <c r="J221" s="237"/>
      <c r="K221" s="237"/>
      <c r="L221" s="229"/>
      <c r="M221" s="37">
        <v>0</v>
      </c>
      <c r="N221" s="27"/>
      <c r="O221" s="28">
        <f t="shared" si="37"/>
        <v>0</v>
      </c>
      <c r="P221" s="43">
        <f t="shared" si="38"/>
        <v>0</v>
      </c>
      <c r="Q221" s="36"/>
      <c r="R221" s="36"/>
    </row>
    <row r="222" spans="1:18" x14ac:dyDescent="0.3">
      <c r="A222" s="3" t="str">
        <f>Autovalutazione!A226</f>
        <v>3.8.1.cc</v>
      </c>
      <c r="B222" s="6" t="str">
        <f>Autovalutazione!C226</f>
        <v>Esposizione?</v>
      </c>
      <c r="C222" s="38">
        <f>IF(ISBLANK(Autovalutazione!D226),0,1)</f>
        <v>0</v>
      </c>
      <c r="D222" s="293" t="str">
        <f>IF(AND(Autovalutazione!D226="",Autovalutazione!E226=""),"*","")</f>
        <v>*</v>
      </c>
      <c r="E222" s="39" t="str">
        <f>IF(ISBLANK(Autovalutazione!F226),"",Autovalutazione!F226)</f>
        <v/>
      </c>
      <c r="F222" s="235"/>
      <c r="G222" s="235"/>
      <c r="H222" s="235"/>
      <c r="I222" s="235"/>
      <c r="J222" s="235"/>
      <c r="K222" s="235"/>
      <c r="L222" s="229"/>
      <c r="M222" s="37">
        <v>0</v>
      </c>
      <c r="N222" s="27"/>
      <c r="O222" s="28">
        <f t="shared" si="37"/>
        <v>0</v>
      </c>
      <c r="P222" s="43">
        <f t="shared" si="38"/>
        <v>0</v>
      </c>
      <c r="Q222" s="36"/>
      <c r="R222" s="27"/>
    </row>
    <row r="223" spans="1:18" x14ac:dyDescent="0.3">
      <c r="A223" s="19" t="str">
        <f>Autovalutazione!A227</f>
        <v>3.9.</v>
      </c>
      <c r="B223" s="20" t="str">
        <f>Autovalutazione!B227</f>
        <v>La sicurezza come tema all'ordine del giorno</v>
      </c>
      <c r="C223" s="21">
        <f>O223/N223</f>
        <v>0</v>
      </c>
      <c r="D223" s="23" t="str">
        <f>IF(ISBLANK(Autovalutazione!E227),"",Autovalutazione!E227)</f>
        <v/>
      </c>
      <c r="E223" s="23" t="str">
        <f>IF(ISBLANK(Autovalutazione!F227),"",Autovalutazione!F227)</f>
        <v/>
      </c>
      <c r="F223" s="232"/>
      <c r="G223" s="232"/>
      <c r="H223" s="232"/>
      <c r="I223" s="232"/>
      <c r="J223" s="232"/>
      <c r="K223" s="232"/>
      <c r="L223" s="50">
        <f>P223/N223</f>
        <v>0</v>
      </c>
      <c r="M223" s="23">
        <v>1</v>
      </c>
      <c r="N223" s="22">
        <f>SUM(M224:M226)</f>
        <v>9</v>
      </c>
      <c r="O223" s="24">
        <f>SUM(O224:O226)</f>
        <v>0</v>
      </c>
      <c r="P223" s="24">
        <f>SUM(P224:P226)</f>
        <v>0</v>
      </c>
      <c r="Q223" s="52">
        <f>O223/$N223*$M223</f>
        <v>0</v>
      </c>
      <c r="R223" s="52">
        <f>P223/$N223*$M223</f>
        <v>0</v>
      </c>
    </row>
    <row r="224" spans="1:18" ht="39.6" x14ac:dyDescent="0.3">
      <c r="A224" s="3" t="str">
        <f>Autovalutazione!A228</f>
        <v>3.9.1.a</v>
      </c>
      <c r="B224" s="6" t="str">
        <f>Autovalutazione!C228</f>
        <v>La sicurezza e la promozione della salute sono argomenti che vengono dibattuti solitamente durante:
i colloqui aziendali?</v>
      </c>
      <c r="C224" s="38">
        <f>IF(ISBLANK(Autovalutazione!D228),0,1)</f>
        <v>0</v>
      </c>
      <c r="D224" s="293" t="str">
        <f>IF(AND(Autovalutazione!D228="",Autovalutazione!E228=""),"*","")</f>
        <v>*</v>
      </c>
      <c r="E224" s="39" t="str">
        <f>IF(ISBLANK(Autovalutazione!F228),"",Autovalutazione!F228)</f>
        <v/>
      </c>
      <c r="F224" s="235"/>
      <c r="G224" s="235"/>
      <c r="H224" s="235"/>
      <c r="I224" s="235"/>
      <c r="J224" s="235"/>
      <c r="K224" s="235"/>
      <c r="L224" s="229"/>
      <c r="M224" s="37">
        <v>4</v>
      </c>
      <c r="N224" s="27"/>
      <c r="O224" s="28">
        <f>C224*M224</f>
        <v>0</v>
      </c>
      <c r="P224" s="43">
        <f t="shared" ref="P224:P226" si="39">L224*M224</f>
        <v>0</v>
      </c>
      <c r="Q224" s="36"/>
      <c r="R224" s="27"/>
    </row>
    <row r="225" spans="1:18" ht="26.4" x14ac:dyDescent="0.3">
      <c r="A225" s="3" t="str">
        <f>Autovalutazione!A229</f>
        <v>3.9.1.b</v>
      </c>
      <c r="B225" s="6" t="str">
        <f>Autovalutazione!C229</f>
        <v>i colloqui extra-aziendali?   (Per esempio, con terzi, ditte esterne, membri di  consorzi)</v>
      </c>
      <c r="C225" s="38">
        <f>IF(ISBLANK(Autovalutazione!D229),0,1)</f>
        <v>0</v>
      </c>
      <c r="D225" s="293" t="str">
        <f>IF(AND(Autovalutazione!D229="",Autovalutazione!E229=""),"*","")</f>
        <v>*</v>
      </c>
      <c r="E225" s="39" t="str">
        <f>IF(ISBLANK(Autovalutazione!F229),"",Autovalutazione!F229)</f>
        <v/>
      </c>
      <c r="F225" s="235"/>
      <c r="G225" s="235"/>
      <c r="H225" s="235"/>
      <c r="I225" s="235"/>
      <c r="J225" s="235"/>
      <c r="K225" s="235"/>
      <c r="L225" s="229"/>
      <c r="M225" s="37">
        <v>2</v>
      </c>
      <c r="N225" s="27"/>
      <c r="O225" s="28">
        <f>C225*M225</f>
        <v>0</v>
      </c>
      <c r="P225" s="43">
        <f t="shared" si="39"/>
        <v>0</v>
      </c>
      <c r="Q225" s="36"/>
      <c r="R225" s="27"/>
    </row>
    <row r="226" spans="1:18" ht="92.4" x14ac:dyDescent="0.3">
      <c r="A226" s="3" t="str">
        <f>Autovalutazione!A230</f>
        <v>3.9.2.</v>
      </c>
      <c r="B226" s="6" t="str">
        <f>Autovalutazione!C230</f>
        <v>Quando si parla di sicurezza e promozione della salute si definiscono anche gli obiettivi di sicurezza* e si adottano dei provvedimenti?
*Obiettivi di sicurezza: obiettivi finalizzati a garantire la sicurezza e la tutela della salute in base all'esperienza comune e allo stato dell'arte. I mezzi e le modalità sono a discrezione.</v>
      </c>
      <c r="C226" s="38">
        <f>IF(ISBLANK(Autovalutazione!D230),0,1)</f>
        <v>0</v>
      </c>
      <c r="D226" s="293" t="str">
        <f>IF(AND(Autovalutazione!D230="",Autovalutazione!E230=""),"*","")</f>
        <v>*</v>
      </c>
      <c r="E226" s="39" t="str">
        <f>IF(ISBLANK(Autovalutazione!F230),"",Autovalutazione!F230)</f>
        <v/>
      </c>
      <c r="F226" s="235"/>
      <c r="G226" s="235"/>
      <c r="H226" s="235"/>
      <c r="I226" s="235"/>
      <c r="J226" s="235"/>
      <c r="K226" s="235"/>
      <c r="L226" s="229"/>
      <c r="M226" s="37">
        <v>3</v>
      </c>
      <c r="N226" s="27"/>
      <c r="O226" s="28">
        <f>C226*M226</f>
        <v>0</v>
      </c>
      <c r="P226" s="43">
        <f t="shared" si="39"/>
        <v>0</v>
      </c>
      <c r="Q226" s="36"/>
      <c r="R226" s="27"/>
    </row>
    <row r="227" spans="1:18" x14ac:dyDescent="0.3">
      <c r="A227" s="19" t="str">
        <f>Autovalutazione!A231</f>
        <v>3.10.</v>
      </c>
      <c r="B227" s="20" t="str">
        <f>Autovalutazione!B231</f>
        <v>Requisiti imposti alle ditte esterne</v>
      </c>
      <c r="C227" s="21">
        <f>O227/N227</f>
        <v>0</v>
      </c>
      <c r="D227" s="23" t="str">
        <f>IF(ISBLANK(Autovalutazione!E231),"",Autovalutazione!E231)</f>
        <v/>
      </c>
      <c r="E227" s="23" t="str">
        <f>IF(ISBLANK(Autovalutazione!F231),"",Autovalutazione!F231)</f>
        <v/>
      </c>
      <c r="F227" s="232"/>
      <c r="G227" s="232"/>
      <c r="H227" s="232"/>
      <c r="I227" s="232"/>
      <c r="J227" s="232"/>
      <c r="K227" s="232"/>
      <c r="L227" s="50">
        <f>P227/N227</f>
        <v>0</v>
      </c>
      <c r="M227" s="22">
        <v>1</v>
      </c>
      <c r="N227" s="22">
        <f>SUM(M228:M239)</f>
        <v>16</v>
      </c>
      <c r="O227" s="24">
        <f>SUM(O228:O239)</f>
        <v>0</v>
      </c>
      <c r="P227" s="24">
        <f>SUM(P228:P239)</f>
        <v>0</v>
      </c>
      <c r="Q227" s="52">
        <f>O227/$N227*$M227</f>
        <v>0</v>
      </c>
      <c r="R227" s="52">
        <f>P227/$N227*$M227</f>
        <v>0</v>
      </c>
    </row>
    <row r="228" spans="1:18" ht="26.4" x14ac:dyDescent="0.3">
      <c r="A228" s="3" t="str">
        <f>Autovalutazione!A232</f>
        <v>3.10.1.a</v>
      </c>
      <c r="B228" s="6" t="str">
        <f>Autovalutazione!C232</f>
        <v>La vostra azienda si avvale del supporto di ditte esterne:
giammai?</v>
      </c>
      <c r="C228" s="38">
        <f>IF(ISBLANK(Autovalutazione!D232),0,1)</f>
        <v>0</v>
      </c>
      <c r="D228" s="293" t="str">
        <f>IF(AND(Autovalutazione!D232="",Autovalutazione!E232=""),"*","")</f>
        <v>*</v>
      </c>
      <c r="E228" s="39" t="str">
        <f>IF(ISBLANK(Autovalutazione!F232),"",Autovalutazione!F232)</f>
        <v/>
      </c>
      <c r="F228" s="233"/>
      <c r="G228" s="233"/>
      <c r="H228" s="233"/>
      <c r="I228" s="233"/>
      <c r="J228" s="233"/>
      <c r="K228" s="233"/>
      <c r="L228" s="229"/>
      <c r="M228" s="37">
        <v>0</v>
      </c>
      <c r="N228" s="27"/>
      <c r="O228" s="28">
        <f t="shared" ref="O228:O239" si="40">C228*M228</f>
        <v>0</v>
      </c>
      <c r="P228" s="43">
        <f t="shared" ref="P228:P239" si="41">L228*M228</f>
        <v>0</v>
      </c>
      <c r="Q228" s="36"/>
      <c r="R228" s="27"/>
    </row>
    <row r="229" spans="1:18" x14ac:dyDescent="0.3">
      <c r="A229" s="3" t="str">
        <f>Autovalutazione!A233</f>
        <v>3.10.1.b</v>
      </c>
      <c r="B229" s="6" t="str">
        <f>Autovalutazione!C233</f>
        <v>raramente?</v>
      </c>
      <c r="C229" s="38">
        <f>IF(ISBLANK(Autovalutazione!D233),0,1)</f>
        <v>0</v>
      </c>
      <c r="D229" s="293" t="str">
        <f>IF(AND(Autovalutazione!D233="",Autovalutazione!E233=""),"*","")</f>
        <v>*</v>
      </c>
      <c r="E229" s="39" t="str">
        <f>IF(ISBLANK(Autovalutazione!F233),"",Autovalutazione!F233)</f>
        <v/>
      </c>
      <c r="F229" s="33"/>
      <c r="G229" s="33"/>
      <c r="H229" s="33"/>
      <c r="I229" s="33"/>
      <c r="J229" s="33"/>
      <c r="K229" s="33"/>
      <c r="L229" s="229"/>
      <c r="M229" s="37">
        <v>0</v>
      </c>
      <c r="N229" s="27"/>
      <c r="O229" s="28">
        <f t="shared" si="40"/>
        <v>0</v>
      </c>
      <c r="P229" s="43">
        <f t="shared" si="41"/>
        <v>0</v>
      </c>
      <c r="Q229" s="36"/>
      <c r="R229" s="27"/>
    </row>
    <row r="230" spans="1:18" x14ac:dyDescent="0.3">
      <c r="A230" s="3" t="str">
        <f>Autovalutazione!A234</f>
        <v>3.10.1.c</v>
      </c>
      <c r="B230" s="6" t="str">
        <f>Autovalutazione!C234</f>
        <v>occasionalmente?</v>
      </c>
      <c r="C230" s="38">
        <f>IF(ISBLANK(Autovalutazione!D234),0,1)</f>
        <v>0</v>
      </c>
      <c r="D230" s="293" t="str">
        <f>IF(AND(Autovalutazione!D234="",Autovalutazione!E234=""),"*","")</f>
        <v>*</v>
      </c>
      <c r="E230" s="39" t="str">
        <f>IF(ISBLANK(Autovalutazione!F234),"",Autovalutazione!F234)</f>
        <v/>
      </c>
      <c r="F230" s="33"/>
      <c r="G230" s="33"/>
      <c r="H230" s="33"/>
      <c r="I230" s="33"/>
      <c r="J230" s="33"/>
      <c r="K230" s="33"/>
      <c r="L230" s="229"/>
      <c r="M230" s="37">
        <v>0</v>
      </c>
      <c r="N230" s="27"/>
      <c r="O230" s="28">
        <f t="shared" si="40"/>
        <v>0</v>
      </c>
      <c r="P230" s="43">
        <f t="shared" si="41"/>
        <v>0</v>
      </c>
      <c r="Q230" s="36"/>
      <c r="R230" s="27"/>
    </row>
    <row r="231" spans="1:18" x14ac:dyDescent="0.3">
      <c r="A231" s="3" t="str">
        <f>Autovalutazione!A235</f>
        <v>3.10.1.d</v>
      </c>
      <c r="B231" s="6" t="str">
        <f>Autovalutazione!C235</f>
        <v>spesso?</v>
      </c>
      <c r="C231" s="38">
        <f>IF(ISBLANK(Autovalutazione!D235),0,1)</f>
        <v>0</v>
      </c>
      <c r="D231" s="293" t="str">
        <f>IF(AND(Autovalutazione!D235="",Autovalutazione!E235=""),"*","")</f>
        <v>*</v>
      </c>
      <c r="E231" s="39" t="str">
        <f>IF(ISBLANK(Autovalutazione!F235),"",Autovalutazione!F235)</f>
        <v/>
      </c>
      <c r="F231" s="33"/>
      <c r="G231" s="33"/>
      <c r="H231" s="33"/>
      <c r="I231" s="33"/>
      <c r="J231" s="33"/>
      <c r="K231" s="33"/>
      <c r="L231" s="229"/>
      <c r="M231" s="37">
        <v>0</v>
      </c>
      <c r="N231" s="27"/>
      <c r="O231" s="28">
        <f t="shared" si="40"/>
        <v>0</v>
      </c>
      <c r="P231" s="43">
        <f t="shared" si="41"/>
        <v>0</v>
      </c>
      <c r="Q231" s="36"/>
      <c r="R231" s="27"/>
    </row>
    <row r="232" spans="1:18" x14ac:dyDescent="0.3">
      <c r="A232" s="3" t="str">
        <f>Autovalutazione!A236</f>
        <v>3.10.1.e</v>
      </c>
      <c r="B232" s="6" t="str">
        <f>Autovalutazione!C236</f>
        <v>continuamente?</v>
      </c>
      <c r="C232" s="38">
        <f>IF(ISBLANK(Autovalutazione!D236),0,1)</f>
        <v>0</v>
      </c>
      <c r="D232" s="293" t="str">
        <f>IF(AND(Autovalutazione!D236="",Autovalutazione!E236=""),"*","")</f>
        <v>*</v>
      </c>
      <c r="E232" s="39" t="str">
        <f>IF(ISBLANK(Autovalutazione!F236),"",Autovalutazione!F236)</f>
        <v/>
      </c>
      <c r="F232" s="33"/>
      <c r="G232" s="33"/>
      <c r="H232" s="33"/>
      <c r="I232" s="33"/>
      <c r="J232" s="33"/>
      <c r="K232" s="33"/>
      <c r="L232" s="229"/>
      <c r="M232" s="37">
        <v>0</v>
      </c>
      <c r="N232" s="27"/>
      <c r="O232" s="28">
        <f t="shared" si="40"/>
        <v>0</v>
      </c>
      <c r="P232" s="43">
        <f t="shared" si="41"/>
        <v>0</v>
      </c>
      <c r="Q232" s="36"/>
      <c r="R232" s="27"/>
    </row>
    <row r="233" spans="1:18" ht="26.4" x14ac:dyDescent="0.3">
      <c r="A233" s="3" t="str">
        <f>Autovalutazione!A237</f>
        <v>3.10.2.</v>
      </c>
      <c r="B233" s="6" t="str">
        <f>Autovalutazione!C237</f>
        <v>Le ditte esterne vengono informate sui pericoli e sui requisiti di sicurezza imposti nella vostra azienda?</v>
      </c>
      <c r="C233" s="38">
        <f>IF(ISBLANK(Autovalutazione!D237),0,1)</f>
        <v>0</v>
      </c>
      <c r="D233" s="293" t="str">
        <f>IF(AND(Autovalutazione!D237="",Autovalutazione!E237=""),"*","")</f>
        <v>*</v>
      </c>
      <c r="E233" s="39" t="str">
        <f>IF(ISBLANK(Autovalutazione!F237),"",Autovalutazione!F237)</f>
        <v/>
      </c>
      <c r="F233" s="33"/>
      <c r="G233" s="33"/>
      <c r="H233" s="33"/>
      <c r="I233" s="33"/>
      <c r="J233" s="33"/>
      <c r="K233" s="33"/>
      <c r="L233" s="229"/>
      <c r="M233" s="37">
        <v>3</v>
      </c>
      <c r="N233" s="27"/>
      <c r="O233" s="28">
        <f t="shared" si="40"/>
        <v>0</v>
      </c>
      <c r="P233" s="43">
        <f t="shared" si="41"/>
        <v>0</v>
      </c>
      <c r="Q233" s="36"/>
      <c r="R233" s="27"/>
    </row>
    <row r="234" spans="1:18" ht="26.4" x14ac:dyDescent="0.3">
      <c r="A234" s="3" t="str">
        <f>Autovalutazione!A238</f>
        <v>3.10.3.</v>
      </c>
      <c r="B234" s="6" t="str">
        <f>Autovalutazione!C238</f>
        <v>Il rispetto delle prescrizioni di sicurezza è sancito nei contratti d'opera stipulati con le ditte esterne?</v>
      </c>
      <c r="C234" s="38">
        <f>IF(ISBLANK(Autovalutazione!D238),0,1)</f>
        <v>0</v>
      </c>
      <c r="D234" s="293" t="str">
        <f>IF(AND(Autovalutazione!D238="",Autovalutazione!E238=""),"*","")</f>
        <v>*</v>
      </c>
      <c r="E234" s="39" t="str">
        <f>IF(ISBLANK(Autovalutazione!F238),"",Autovalutazione!F238)</f>
        <v/>
      </c>
      <c r="F234" s="33"/>
      <c r="G234" s="33"/>
      <c r="H234" s="33"/>
      <c r="I234" s="33"/>
      <c r="J234" s="33"/>
      <c r="K234" s="33"/>
      <c r="L234" s="229"/>
      <c r="M234" s="37">
        <v>1</v>
      </c>
      <c r="N234" s="27"/>
      <c r="O234" s="28">
        <f t="shared" si="40"/>
        <v>0</v>
      </c>
      <c r="P234" s="43">
        <f t="shared" si="41"/>
        <v>0</v>
      </c>
      <c r="Q234" s="36"/>
      <c r="R234" s="27"/>
    </row>
    <row r="235" spans="1:18" ht="26.4" x14ac:dyDescent="0.3">
      <c r="A235" s="3" t="str">
        <f>Autovalutazione!A239</f>
        <v>3.10.4.</v>
      </c>
      <c r="B235" s="6" t="str">
        <f>Autovalutazione!C239</f>
        <v>Il rispetto delle prescrizioni di sicurezza nelle ditte esterne è oggetto di un controllo sistematico?</v>
      </c>
      <c r="C235" s="38">
        <f>IF(ISBLANK(Autovalutazione!D239),0,1)</f>
        <v>0</v>
      </c>
      <c r="D235" s="293" t="str">
        <f>IF(AND(Autovalutazione!D239="",Autovalutazione!E239=""),"*","")</f>
        <v>*</v>
      </c>
      <c r="E235" s="39" t="str">
        <f>IF(ISBLANK(Autovalutazione!F239),"",Autovalutazione!F239)</f>
        <v/>
      </c>
      <c r="F235" s="33"/>
      <c r="G235" s="33"/>
      <c r="H235" s="33"/>
      <c r="I235" s="33"/>
      <c r="J235" s="33"/>
      <c r="K235" s="33"/>
      <c r="L235" s="229"/>
      <c r="M235" s="37">
        <v>4</v>
      </c>
      <c r="N235" s="27"/>
      <c r="O235" s="28">
        <f t="shared" si="40"/>
        <v>0</v>
      </c>
      <c r="P235" s="43">
        <f t="shared" si="41"/>
        <v>0</v>
      </c>
      <c r="Q235" s="36"/>
      <c r="R235" s="27"/>
    </row>
    <row r="236" spans="1:18" ht="26.4" x14ac:dyDescent="0.3">
      <c r="A236" s="3" t="str">
        <f>Autovalutazione!A240</f>
        <v>3.10.5.</v>
      </c>
      <c r="B236" s="6" t="str">
        <f>Autovalutazione!C240</f>
        <v>Si impone sempre il rispetto delle prescrizioni di sicurezza nelle ditte esterne?</v>
      </c>
      <c r="C236" s="38">
        <f>IF(ISBLANK(Autovalutazione!D240),0,1)</f>
        <v>0</v>
      </c>
      <c r="D236" s="293" t="str">
        <f>IF(AND(Autovalutazione!D240="",Autovalutazione!E240=""),"*","")</f>
        <v>*</v>
      </c>
      <c r="E236" s="39" t="str">
        <f>IF(ISBLANK(Autovalutazione!F240),"",Autovalutazione!F240)</f>
        <v/>
      </c>
      <c r="F236" s="33"/>
      <c r="G236" s="33"/>
      <c r="H236" s="33"/>
      <c r="I236" s="33"/>
      <c r="J236" s="33"/>
      <c r="K236" s="33"/>
      <c r="L236" s="229"/>
      <c r="M236" s="37">
        <v>4</v>
      </c>
      <c r="N236" s="27"/>
      <c r="O236" s="28">
        <f t="shared" si="40"/>
        <v>0</v>
      </c>
      <c r="P236" s="43">
        <f t="shared" si="41"/>
        <v>0</v>
      </c>
      <c r="Q236" s="36"/>
      <c r="R236" s="27"/>
    </row>
    <row r="237" spans="1:18" ht="26.4" x14ac:dyDescent="0.3">
      <c r="A237" s="3" t="str">
        <f>Autovalutazione!A241</f>
        <v>3.10.6.</v>
      </c>
      <c r="B237" s="6" t="str">
        <f>Autovalutazione!C241</f>
        <v>Siete disposti ad annullare un contratto d'opera con le ditte che non rispettano le prescrizioni di sicurezza?</v>
      </c>
      <c r="C237" s="38">
        <f>IF(ISBLANK(Autovalutazione!D241),0,1)</f>
        <v>0</v>
      </c>
      <c r="D237" s="293" t="str">
        <f>IF(AND(Autovalutazione!D241="",Autovalutazione!E241=""),"*","")</f>
        <v>*</v>
      </c>
      <c r="E237" s="39" t="str">
        <f>IF(ISBLANK(Autovalutazione!F241),"",Autovalutazione!F241)</f>
        <v/>
      </c>
      <c r="F237" s="33"/>
      <c r="G237" s="33"/>
      <c r="H237" s="33"/>
      <c r="I237" s="33"/>
      <c r="J237" s="33"/>
      <c r="K237" s="33"/>
      <c r="L237" s="229"/>
      <c r="M237" s="37">
        <v>2</v>
      </c>
      <c r="N237" s="27"/>
      <c r="O237" s="28">
        <f t="shared" si="40"/>
        <v>0</v>
      </c>
      <c r="P237" s="43">
        <f t="shared" si="41"/>
        <v>0</v>
      </c>
      <c r="Q237" s="36"/>
      <c r="R237" s="27"/>
    </row>
    <row r="238" spans="1:18" ht="39.6" x14ac:dyDescent="0.3">
      <c r="A238" s="3" t="str">
        <f>Autovalutazione!A242</f>
        <v>3.10.7.</v>
      </c>
      <c r="B238" s="6" t="str">
        <f>Autovalutazione!C242</f>
        <v>Il comportamento nei confronti della sicurezza e della tutela della salute delle ditte esterne è tenuto in considerazione nella valutazione del fornitore (sistema qualità)?</v>
      </c>
      <c r="C238" s="38">
        <f>IF(ISBLANK(Autovalutazione!D242),0,1)</f>
        <v>0</v>
      </c>
      <c r="D238" s="293" t="str">
        <f>IF(AND(Autovalutazione!D242="",Autovalutazione!E242=""),"*","")</f>
        <v>*</v>
      </c>
      <c r="E238" s="39" t="str">
        <f>IF(ISBLANK(Autovalutazione!F242),"",Autovalutazione!F242)</f>
        <v/>
      </c>
      <c r="F238" s="33"/>
      <c r="G238" s="33"/>
      <c r="H238" s="33"/>
      <c r="I238" s="33"/>
      <c r="J238" s="33"/>
      <c r="K238" s="33"/>
      <c r="L238" s="229"/>
      <c r="M238" s="37">
        <v>2</v>
      </c>
      <c r="N238" s="27"/>
      <c r="O238" s="28">
        <f t="shared" si="40"/>
        <v>0</v>
      </c>
      <c r="P238" s="43">
        <f t="shared" si="41"/>
        <v>0</v>
      </c>
      <c r="Q238" s="36"/>
      <c r="R238" s="27"/>
    </row>
    <row r="239" spans="1:18" ht="26.4" x14ac:dyDescent="0.3">
      <c r="A239" s="3" t="str">
        <f>Autovalutazione!A243</f>
        <v>3.10.8.</v>
      </c>
      <c r="B239" s="6" t="str">
        <f>Autovalutazione!C243</f>
        <v>L'azienda offre dei corsi di formazione per il personale delle ditte esterne?</v>
      </c>
      <c r="C239" s="38">
        <f>IF(ISBLANK(Autovalutazione!D243),0,1)</f>
        <v>0</v>
      </c>
      <c r="D239" s="293" t="str">
        <f>IF(AND(Autovalutazione!D243="",Autovalutazione!E243=""),"*","")</f>
        <v>*</v>
      </c>
      <c r="E239" s="39" t="str">
        <f>IF(ISBLANK(Autovalutazione!F243),"",Autovalutazione!F243)</f>
        <v/>
      </c>
      <c r="F239" s="33"/>
      <c r="G239" s="33"/>
      <c r="H239" s="33"/>
      <c r="I239" s="33"/>
      <c r="J239" s="33"/>
      <c r="K239" s="33"/>
      <c r="L239" s="229"/>
      <c r="M239" s="37">
        <v>0</v>
      </c>
      <c r="N239" s="27"/>
      <c r="O239" s="28">
        <f t="shared" si="40"/>
        <v>0</v>
      </c>
      <c r="P239" s="43">
        <f t="shared" si="41"/>
        <v>0</v>
      </c>
      <c r="Q239" s="36"/>
      <c r="R239" s="27"/>
    </row>
    <row r="240" spans="1:18" x14ac:dyDescent="0.3">
      <c r="A240" s="34" t="s">
        <v>597</v>
      </c>
      <c r="B240" s="7" t="str">
        <f>Autovalutazione!B245</f>
        <v>Norme di sicurezza</v>
      </c>
      <c r="C240" s="30">
        <f>O240/N240</f>
        <v>0.5</v>
      </c>
      <c r="D240" s="18"/>
      <c r="E240" s="18"/>
      <c r="F240" s="18"/>
      <c r="G240" s="18"/>
      <c r="H240" s="18"/>
      <c r="I240" s="18"/>
      <c r="J240" s="18"/>
      <c r="K240" s="18"/>
      <c r="L240" s="231">
        <f>P240/N240</f>
        <v>0</v>
      </c>
      <c r="M240" s="5"/>
      <c r="N240" s="5">
        <f>SUM(M241,M249,M285,M293,M297,M304,M309,M317,)</f>
        <v>20</v>
      </c>
      <c r="O240" s="48">
        <f>SUM(Q241:Q318)</f>
        <v>10</v>
      </c>
      <c r="P240" s="48">
        <f>SUM(R241:R318)</f>
        <v>0</v>
      </c>
      <c r="Q240" s="35"/>
      <c r="R240" s="35"/>
    </row>
    <row r="241" spans="1:18" x14ac:dyDescent="0.3">
      <c r="A241" s="19" t="str">
        <f>Autovalutazione!A247</f>
        <v>4.1.</v>
      </c>
      <c r="B241" s="20" t="str">
        <f>Autovalutazione!B247</f>
        <v>Opuscoli, direttive e liste di controllo</v>
      </c>
      <c r="C241" s="21">
        <f>O241/N241</f>
        <v>0</v>
      </c>
      <c r="D241" s="23"/>
      <c r="E241" s="23"/>
      <c r="F241" s="232"/>
      <c r="G241" s="232"/>
      <c r="H241" s="232"/>
      <c r="I241" s="232"/>
      <c r="J241" s="232"/>
      <c r="K241" s="232"/>
      <c r="L241" s="50">
        <f>P241/N241</f>
        <v>0</v>
      </c>
      <c r="M241" s="22">
        <v>1</v>
      </c>
      <c r="N241" s="22">
        <f>SUM(M242:M248)</f>
        <v>12</v>
      </c>
      <c r="O241" s="24">
        <f>SUM(O242:O248)</f>
        <v>0</v>
      </c>
      <c r="P241" s="24">
        <f>SUM(P242:P248)</f>
        <v>0</v>
      </c>
      <c r="Q241" s="52">
        <f>O241/$N241*$M241</f>
        <v>0</v>
      </c>
      <c r="R241" s="52">
        <f>P241/$N241*$M241</f>
        <v>0</v>
      </c>
    </row>
    <row r="242" spans="1:18" ht="26.4" x14ac:dyDescent="0.3">
      <c r="A242" s="3" t="str">
        <f>Autovalutazione!A248</f>
        <v>4.1.1.</v>
      </c>
      <c r="B242" s="6" t="str">
        <f>Autovalutazione!C248</f>
        <v>In azienda sono presenti opuscoli e istruzioni di lavoro in materia di sicurezza e salute?</v>
      </c>
      <c r="C242" s="38">
        <f>IF(ISBLANK(Autovalutazione!D248),0,1)</f>
        <v>0</v>
      </c>
      <c r="D242" s="293" t="str">
        <f>IF(AND(Autovalutazione!D248="",Autovalutazione!E248=""),"*","")</f>
        <v>*</v>
      </c>
      <c r="E242" s="39" t="str">
        <f>IF(ISBLANK(Autovalutazione!F248),"",Autovalutazione!F248)</f>
        <v/>
      </c>
      <c r="F242" s="235"/>
      <c r="G242" s="235"/>
      <c r="H242" s="235"/>
      <c r="I242" s="235"/>
      <c r="J242" s="235"/>
      <c r="K242" s="235"/>
      <c r="L242" s="229"/>
      <c r="M242" s="37">
        <v>3</v>
      </c>
      <c r="N242" s="27"/>
      <c r="O242" s="28">
        <f t="shared" ref="O242:O248" si="42">C242*M242</f>
        <v>0</v>
      </c>
      <c r="P242" s="43">
        <f t="shared" ref="P242:P248" si="43">L242*M242</f>
        <v>0</v>
      </c>
      <c r="Q242" s="36"/>
      <c r="R242" s="27"/>
    </row>
    <row r="243" spans="1:18" ht="26.4" x14ac:dyDescent="0.3">
      <c r="A243" s="3" t="str">
        <f>Autovalutazione!A249</f>
        <v>4.1.2.</v>
      </c>
      <c r="B243" s="6" t="str">
        <f>Autovalutazione!C249</f>
        <v xml:space="preserve">Si utilizzano le liste di controllo della Suva e della soluzione settoriale? </v>
      </c>
      <c r="C243" s="38">
        <f>IF(ISBLANK(Autovalutazione!D249),0,1)</f>
        <v>0</v>
      </c>
      <c r="D243" s="293" t="str">
        <f>IF(AND(Autovalutazione!D249="",Autovalutazione!E249=""),"*","")</f>
        <v>*</v>
      </c>
      <c r="E243" s="39" t="str">
        <f>IF(ISBLANK(Autovalutazione!F249),"",Autovalutazione!F249)</f>
        <v/>
      </c>
      <c r="F243" s="235"/>
      <c r="G243" s="235"/>
      <c r="H243" s="235"/>
      <c r="I243" s="235"/>
      <c r="J243" s="235"/>
      <c r="K243" s="235"/>
      <c r="L243" s="229"/>
      <c r="M243" s="37">
        <v>1</v>
      </c>
      <c r="N243" s="27"/>
      <c r="O243" s="28">
        <f t="shared" si="42"/>
        <v>0</v>
      </c>
      <c r="P243" s="43">
        <f t="shared" si="43"/>
        <v>0</v>
      </c>
      <c r="Q243" s="36"/>
      <c r="R243" s="27"/>
    </row>
    <row r="244" spans="1:18" x14ac:dyDescent="0.3">
      <c r="A244" s="3" t="str">
        <f>Autovalutazione!A250</f>
        <v>4.1.3.</v>
      </c>
      <c r="B244" s="6" t="str">
        <f>Autovalutazione!C250</f>
        <v>Si utilizza il booklet / opuscolo “Regole vitali” della Suva?</v>
      </c>
      <c r="C244" s="38">
        <f>IF(ISBLANK(Autovalutazione!D250),0,1)</f>
        <v>0</v>
      </c>
      <c r="D244" s="293" t="str">
        <f>IF(AND(Autovalutazione!D250="",Autovalutazione!E250=""),"*","")</f>
        <v>*</v>
      </c>
      <c r="E244" s="39" t="str">
        <f>IF(ISBLANK(Autovalutazione!F250),"",Autovalutazione!F250)</f>
        <v/>
      </c>
      <c r="F244" s="235"/>
      <c r="G244" s="235"/>
      <c r="H244" s="235"/>
      <c r="I244" s="235"/>
      <c r="J244" s="235"/>
      <c r="K244" s="235"/>
      <c r="L244" s="229"/>
      <c r="M244" s="37">
        <v>1</v>
      </c>
      <c r="N244" s="27"/>
      <c r="O244" s="28">
        <f t="shared" si="42"/>
        <v>0</v>
      </c>
      <c r="P244" s="43">
        <f t="shared" si="43"/>
        <v>0</v>
      </c>
      <c r="Q244" s="36"/>
      <c r="R244" s="27"/>
    </row>
    <row r="245" spans="1:18" ht="26.4" x14ac:dyDescent="0.3">
      <c r="A245" s="3" t="str">
        <f>Autovalutazione!A251</f>
        <v>4.1.4.</v>
      </c>
      <c r="B245" s="6" t="str">
        <f>Autovalutazione!C251</f>
        <v>I diretti interessati sono in possesso di questi documenti o li possono consultare liberamente?</v>
      </c>
      <c r="C245" s="38">
        <f>IF(ISBLANK(Autovalutazione!D251),0,1)</f>
        <v>0</v>
      </c>
      <c r="D245" s="293" t="str">
        <f>IF(AND(Autovalutazione!D251="",Autovalutazione!E251=""),"*","")</f>
        <v>*</v>
      </c>
      <c r="E245" s="39" t="str">
        <f>IF(ISBLANK(Autovalutazione!F251),"",Autovalutazione!F251)</f>
        <v/>
      </c>
      <c r="F245" s="235"/>
      <c r="G245" s="235"/>
      <c r="H245" s="235"/>
      <c r="I245" s="235"/>
      <c r="J245" s="235"/>
      <c r="K245" s="235"/>
      <c r="L245" s="229"/>
      <c r="M245" s="37">
        <v>2</v>
      </c>
      <c r="N245" s="27"/>
      <c r="O245" s="28">
        <f t="shared" si="42"/>
        <v>0</v>
      </c>
      <c r="P245" s="43">
        <f t="shared" si="43"/>
        <v>0</v>
      </c>
      <c r="Q245" s="36"/>
      <c r="R245" s="27"/>
    </row>
    <row r="246" spans="1:18" ht="39.6" x14ac:dyDescent="0.3">
      <c r="A246" s="3" t="str">
        <f>Autovalutazione!A252</f>
        <v>4.1.5.</v>
      </c>
      <c r="B246" s="6" t="str">
        <f>Autovalutazione!C252</f>
        <v>L'azienda ha elaborato delle direttive interne in materia di sicurezza sul lavoro e tutela della salute a completamento degli opuscoli sopra citati? Se sì, specificare quali.</v>
      </c>
      <c r="C246" s="38">
        <f>IF(ISBLANK(Autovalutazione!D252),0,1)</f>
        <v>0</v>
      </c>
      <c r="D246" s="293" t="str">
        <f>IF(AND(Autovalutazione!D252="",Autovalutazione!E252=""),"*","")</f>
        <v>*</v>
      </c>
      <c r="E246" s="39" t="str">
        <f>IF(ISBLANK(Autovalutazione!F252),"",Autovalutazione!F252)</f>
        <v/>
      </c>
      <c r="F246" s="235"/>
      <c r="G246" s="235"/>
      <c r="H246" s="235"/>
      <c r="I246" s="235"/>
      <c r="J246" s="235"/>
      <c r="K246" s="235"/>
      <c r="L246" s="229"/>
      <c r="M246" s="37">
        <v>1</v>
      </c>
      <c r="N246" s="27"/>
      <c r="O246" s="28">
        <f t="shared" si="42"/>
        <v>0</v>
      </c>
      <c r="P246" s="43">
        <f t="shared" si="43"/>
        <v>0</v>
      </c>
      <c r="Q246" s="36"/>
      <c r="R246" s="27"/>
    </row>
    <row r="247" spans="1:18" ht="26.4" x14ac:dyDescent="0.3">
      <c r="A247" s="3" t="str">
        <f>Autovalutazione!A253</f>
        <v>4.1.6.</v>
      </c>
      <c r="B247" s="6" t="str">
        <f>Autovalutazione!C253</f>
        <v>I dipendenti vengono coinvolti nel redigere le direttive interne?</v>
      </c>
      <c r="C247" s="38">
        <f>IF(ISBLANK(Autovalutazione!D253),0,1)</f>
        <v>0</v>
      </c>
      <c r="D247" s="293" t="str">
        <f>IF(AND(Autovalutazione!D253="",Autovalutazione!E253=""),"*","")</f>
        <v>*</v>
      </c>
      <c r="E247" s="39" t="str">
        <f>IF(ISBLANK(Autovalutazione!F253),"",Autovalutazione!F253)</f>
        <v/>
      </c>
      <c r="F247" s="235"/>
      <c r="G247" s="235"/>
      <c r="H247" s="235"/>
      <c r="I247" s="235"/>
      <c r="J247" s="235"/>
      <c r="K247" s="235"/>
      <c r="L247" s="229"/>
      <c r="M247" s="37">
        <v>3</v>
      </c>
      <c r="N247" s="27"/>
      <c r="O247" s="28">
        <f t="shared" si="42"/>
        <v>0</v>
      </c>
      <c r="P247" s="43">
        <f t="shared" si="43"/>
        <v>0</v>
      </c>
      <c r="Q247" s="36"/>
      <c r="R247" s="27"/>
    </row>
    <row r="248" spans="1:18" ht="39.6" x14ac:dyDescent="0.3">
      <c r="A248" s="3" t="str">
        <f>Autovalutazione!A254</f>
        <v>4.1.7.</v>
      </c>
      <c r="B248" s="6" t="str">
        <f>Autovalutazione!C254</f>
        <v>Si aggiornano regolarmente gli opuscoli, le istruzioni di lavoro e le direttive interne? Se sì, chi se ne occupa? Indicare ufficio o persona.</v>
      </c>
      <c r="C248" s="38">
        <f>IF(ISBLANK(Autovalutazione!D254),0,1)</f>
        <v>0</v>
      </c>
      <c r="D248" s="293" t="str">
        <f>IF(AND(Autovalutazione!D254="",Autovalutazione!E254=""),"*","")</f>
        <v>*</v>
      </c>
      <c r="E248" s="39" t="str">
        <f>IF(ISBLANK(Autovalutazione!F254),"",Autovalutazione!F254)</f>
        <v/>
      </c>
      <c r="F248" s="235"/>
      <c r="G248" s="235"/>
      <c r="H248" s="235"/>
      <c r="I248" s="235"/>
      <c r="J248" s="235"/>
      <c r="K248" s="235"/>
      <c r="L248" s="229"/>
      <c r="M248" s="37">
        <v>1</v>
      </c>
      <c r="N248" s="27"/>
      <c r="O248" s="28">
        <f t="shared" si="42"/>
        <v>0</v>
      </c>
      <c r="P248" s="43">
        <f t="shared" si="43"/>
        <v>0</v>
      </c>
      <c r="Q248" s="36"/>
      <c r="R248" s="27"/>
    </row>
    <row r="249" spans="1:18" x14ac:dyDescent="0.3">
      <c r="A249" s="19" t="str">
        <f>Autovalutazione!A255</f>
        <v>4.2.</v>
      </c>
      <c r="B249" s="20" t="str">
        <f>Autovalutazione!B255</f>
        <v>DPI: necessità</v>
      </c>
      <c r="C249" s="21">
        <f>O249/N249</f>
        <v>0</v>
      </c>
      <c r="D249" s="23"/>
      <c r="E249" s="23" t="str">
        <f>IF(ISBLANK(Autovalutazione!F255),"",Autovalutazione!F255)</f>
        <v/>
      </c>
      <c r="F249" s="232"/>
      <c r="G249" s="232"/>
      <c r="H249" s="232"/>
      <c r="I249" s="232"/>
      <c r="J249" s="232"/>
      <c r="K249" s="232"/>
      <c r="L249" s="50">
        <f>P249/N249</f>
        <v>0</v>
      </c>
      <c r="M249" s="22">
        <v>0</v>
      </c>
      <c r="N249" s="22">
        <f>SUM(M250:M284)</f>
        <v>35</v>
      </c>
      <c r="O249" s="24">
        <f>SUM(O250:O284)</f>
        <v>0</v>
      </c>
      <c r="P249" s="24">
        <f>SUM(P250:P284)</f>
        <v>0</v>
      </c>
      <c r="Q249" s="52">
        <f>O249/$N249*$M249</f>
        <v>0</v>
      </c>
      <c r="R249" s="52">
        <f>P249/$N249*$M249</f>
        <v>0</v>
      </c>
    </row>
    <row r="250" spans="1:18" ht="39.6" x14ac:dyDescent="0.3">
      <c r="A250" s="3" t="str">
        <f>Autovalutazione!A256</f>
        <v>4.2.1.a</v>
      </c>
      <c r="B250" s="6" t="str">
        <f>Autovalutazione!C256</f>
        <v>Quali dispositivi di protezione individuale sono necessari tenuto conto dei pericoli presenti in azienda:
Casco di protezione?</v>
      </c>
      <c r="C250" s="38">
        <f>IF(ISBLANK(Autovalutazione!D256),0,1)</f>
        <v>0</v>
      </c>
      <c r="D250" s="293" t="str">
        <f>IF(AND(Autovalutazione!D256="",Autovalutazione!E256=""),"*","")</f>
        <v>*</v>
      </c>
      <c r="E250" s="39" t="str">
        <f>IF(ISBLANK(Autovalutazione!F256),"",Autovalutazione!F256)</f>
        <v/>
      </c>
      <c r="F250" s="235"/>
      <c r="G250" s="235"/>
      <c r="H250" s="235"/>
      <c r="I250" s="235"/>
      <c r="J250" s="235"/>
      <c r="K250" s="235"/>
      <c r="L250" s="229"/>
      <c r="M250" s="37">
        <v>1</v>
      </c>
      <c r="N250" s="27"/>
      <c r="O250" s="28">
        <f t="shared" ref="O250:O284" si="44">C250*M250</f>
        <v>0</v>
      </c>
      <c r="P250" s="43">
        <f t="shared" ref="P250:P284" si="45">L250*M250</f>
        <v>0</v>
      </c>
      <c r="Q250" s="36"/>
      <c r="R250" s="27"/>
    </row>
    <row r="251" spans="1:18" x14ac:dyDescent="0.3">
      <c r="A251" s="3" t="str">
        <f>Autovalutazione!A257</f>
        <v>4.2.1.b</v>
      </c>
      <c r="B251" s="6" t="str">
        <f>Autovalutazione!C257</f>
        <v>Protezione per il volto?</v>
      </c>
      <c r="C251" s="38">
        <f>IF(ISBLANK(Autovalutazione!D257),0,1)</f>
        <v>0</v>
      </c>
      <c r="D251" s="293" t="str">
        <f>IF(AND(Autovalutazione!D257="",Autovalutazione!E257=""),"*","")</f>
        <v>*</v>
      </c>
      <c r="E251" s="39" t="str">
        <f>IF(ISBLANK(Autovalutazione!F257),"",Autovalutazione!F257)</f>
        <v/>
      </c>
      <c r="F251" s="235"/>
      <c r="G251" s="235"/>
      <c r="H251" s="235"/>
      <c r="I251" s="235"/>
      <c r="J251" s="235"/>
      <c r="K251" s="235"/>
      <c r="L251" s="229"/>
      <c r="M251" s="37">
        <v>1</v>
      </c>
      <c r="N251" s="27"/>
      <c r="O251" s="28">
        <f t="shared" si="44"/>
        <v>0</v>
      </c>
      <c r="P251" s="43">
        <f t="shared" si="45"/>
        <v>0</v>
      </c>
      <c r="Q251" s="36"/>
      <c r="R251" s="27"/>
    </row>
    <row r="252" spans="1:18" x14ac:dyDescent="0.3">
      <c r="A252" s="3" t="str">
        <f>Autovalutazione!A258</f>
        <v>4.2.1.c</v>
      </c>
      <c r="B252" s="6" t="str">
        <f>Autovalutazione!C258</f>
        <v>Retina capelli?</v>
      </c>
      <c r="C252" s="38">
        <f>IF(ISBLANK(Autovalutazione!D258),0,1)</f>
        <v>0</v>
      </c>
      <c r="D252" s="293" t="str">
        <f>IF(AND(Autovalutazione!D258="",Autovalutazione!E258=""),"*","")</f>
        <v>*</v>
      </c>
      <c r="E252" s="39" t="str">
        <f>IF(ISBLANK(Autovalutazione!F258),"",Autovalutazione!F258)</f>
        <v/>
      </c>
      <c r="F252" s="235"/>
      <c r="G252" s="235"/>
      <c r="H252" s="235"/>
      <c r="I252" s="235"/>
      <c r="J252" s="235"/>
      <c r="K252" s="235"/>
      <c r="L252" s="229"/>
      <c r="M252" s="37">
        <v>1</v>
      </c>
      <c r="N252" s="27"/>
      <c r="O252" s="28">
        <f t="shared" si="44"/>
        <v>0</v>
      </c>
      <c r="P252" s="43">
        <f t="shared" si="45"/>
        <v>0</v>
      </c>
      <c r="Q252" s="36"/>
      <c r="R252" s="27"/>
    </row>
    <row r="253" spans="1:18" x14ac:dyDescent="0.3">
      <c r="A253" s="3" t="str">
        <f>Autovalutazione!A259</f>
        <v>4.2.1.d</v>
      </c>
      <c r="B253" s="6" t="str">
        <f>Autovalutazione!C259</f>
        <v>Occhiali di protezione?</v>
      </c>
      <c r="C253" s="38">
        <f>IF(ISBLANK(Autovalutazione!D259),0,1)</f>
        <v>0</v>
      </c>
      <c r="D253" s="293" t="str">
        <f>IF(AND(Autovalutazione!D259="",Autovalutazione!E259=""),"*","")</f>
        <v>*</v>
      </c>
      <c r="E253" s="39" t="str">
        <f>IF(ISBLANK(Autovalutazione!F259),"",Autovalutazione!F259)</f>
        <v/>
      </c>
      <c r="F253" s="235"/>
      <c r="G253" s="235"/>
      <c r="H253" s="235"/>
      <c r="I253" s="235"/>
      <c r="J253" s="235"/>
      <c r="K253" s="235"/>
      <c r="L253" s="229"/>
      <c r="M253" s="37">
        <v>1</v>
      </c>
      <c r="N253" s="27"/>
      <c r="O253" s="28">
        <f t="shared" si="44"/>
        <v>0</v>
      </c>
      <c r="P253" s="43">
        <f t="shared" si="45"/>
        <v>0</v>
      </c>
      <c r="Q253" s="36"/>
      <c r="R253" s="27"/>
    </row>
    <row r="254" spans="1:18" x14ac:dyDescent="0.3">
      <c r="A254" s="3" t="str">
        <f>Autovalutazione!A260</f>
        <v>4.2.1.e</v>
      </c>
      <c r="B254" s="6" t="str">
        <f>Autovalutazione!C260</f>
        <v>Schermo di protezione?</v>
      </c>
      <c r="C254" s="38">
        <f>IF(ISBLANK(Autovalutazione!D260),0,1)</f>
        <v>0</v>
      </c>
      <c r="D254" s="293" t="str">
        <f>IF(AND(Autovalutazione!D260="",Autovalutazione!E260=""),"*","")</f>
        <v>*</v>
      </c>
      <c r="E254" s="39" t="str">
        <f>IF(ISBLANK(Autovalutazione!F260),"",Autovalutazione!F260)</f>
        <v/>
      </c>
      <c r="F254" s="235"/>
      <c r="G254" s="235"/>
      <c r="H254" s="235"/>
      <c r="I254" s="235"/>
      <c r="J254" s="235"/>
      <c r="K254" s="235"/>
      <c r="L254" s="229"/>
      <c r="M254" s="37">
        <v>1</v>
      </c>
      <c r="N254" s="27"/>
      <c r="O254" s="28">
        <f t="shared" si="44"/>
        <v>0</v>
      </c>
      <c r="P254" s="43">
        <f t="shared" si="45"/>
        <v>0</v>
      </c>
      <c r="Q254" s="36"/>
      <c r="R254" s="27"/>
    </row>
    <row r="255" spans="1:18" x14ac:dyDescent="0.3">
      <c r="A255" s="3" t="str">
        <f>Autovalutazione!A261</f>
        <v>4.2.1.f</v>
      </c>
      <c r="B255" s="6" t="str">
        <f>Autovalutazione!C261</f>
        <v>Cuffia di protezione?</v>
      </c>
      <c r="C255" s="38">
        <f>IF(ISBLANK(Autovalutazione!D261),0,1)</f>
        <v>0</v>
      </c>
      <c r="D255" s="293" t="str">
        <f>IF(AND(Autovalutazione!D261="",Autovalutazione!E261=""),"*","")</f>
        <v>*</v>
      </c>
      <c r="E255" s="39" t="str">
        <f>IF(ISBLANK(Autovalutazione!F261),"",Autovalutazione!F261)</f>
        <v/>
      </c>
      <c r="F255" s="235"/>
      <c r="G255" s="235"/>
      <c r="H255" s="235"/>
      <c r="I255" s="235"/>
      <c r="J255" s="235"/>
      <c r="K255" s="235"/>
      <c r="L255" s="229"/>
      <c r="M255" s="37">
        <v>1</v>
      </c>
      <c r="N255" s="27"/>
      <c r="O255" s="28">
        <f t="shared" si="44"/>
        <v>0</v>
      </c>
      <c r="P255" s="43">
        <f t="shared" si="45"/>
        <v>0</v>
      </c>
      <c r="Q255" s="36"/>
      <c r="R255" s="27"/>
    </row>
    <row r="256" spans="1:18" x14ac:dyDescent="0.3">
      <c r="A256" s="3" t="str">
        <f>Autovalutazione!A262</f>
        <v>4.2.1.g</v>
      </c>
      <c r="B256" s="6" t="str">
        <f>Autovalutazione!C262</f>
        <v>Visiera di protezione?</v>
      </c>
      <c r="C256" s="38">
        <f>IF(ISBLANK(Autovalutazione!D262),0,1)</f>
        <v>0</v>
      </c>
      <c r="D256" s="293" t="str">
        <f>IF(AND(Autovalutazione!D262="",Autovalutazione!E262=""),"*","")</f>
        <v>*</v>
      </c>
      <c r="E256" s="39" t="str">
        <f>IF(ISBLANK(Autovalutazione!F262),"",Autovalutazione!F262)</f>
        <v/>
      </c>
      <c r="F256" s="235"/>
      <c r="G256" s="235"/>
      <c r="H256" s="235"/>
      <c r="I256" s="235"/>
      <c r="J256" s="235"/>
      <c r="K256" s="235"/>
      <c r="L256" s="229"/>
      <c r="M256" s="37">
        <v>1</v>
      </c>
      <c r="N256" s="27"/>
      <c r="O256" s="28">
        <f t="shared" si="44"/>
        <v>0</v>
      </c>
      <c r="P256" s="43">
        <f t="shared" si="45"/>
        <v>0</v>
      </c>
      <c r="Q256" s="36"/>
      <c r="R256" s="27"/>
    </row>
    <row r="257" spans="1:18" x14ac:dyDescent="0.3">
      <c r="A257" s="3" t="str">
        <f>Autovalutazione!A263</f>
        <v>4.2.1.h</v>
      </c>
      <c r="B257" s="6" t="str">
        <f>Autovalutazione!C263</f>
        <v>Inserti auricolari?</v>
      </c>
      <c r="C257" s="38">
        <f>IF(ISBLANK(Autovalutazione!D263),0,1)</f>
        <v>0</v>
      </c>
      <c r="D257" s="293" t="str">
        <f>IF(AND(Autovalutazione!D263="",Autovalutazione!E263=""),"*","")</f>
        <v>*</v>
      </c>
      <c r="E257" s="39" t="str">
        <f>IF(ISBLANK(Autovalutazione!F263),"",Autovalutazione!F263)</f>
        <v/>
      </c>
      <c r="F257" s="235"/>
      <c r="G257" s="235"/>
      <c r="H257" s="235"/>
      <c r="I257" s="235"/>
      <c r="J257" s="235"/>
      <c r="K257" s="235"/>
      <c r="L257" s="229"/>
      <c r="M257" s="37">
        <v>1</v>
      </c>
      <c r="N257" s="27"/>
      <c r="O257" s="28">
        <f t="shared" si="44"/>
        <v>0</v>
      </c>
      <c r="P257" s="43">
        <f t="shared" si="45"/>
        <v>0</v>
      </c>
      <c r="Q257" s="36"/>
      <c r="R257" s="27"/>
    </row>
    <row r="258" spans="1:18" x14ac:dyDescent="0.3">
      <c r="A258" s="3" t="str">
        <f>Autovalutazione!A264</f>
        <v>4.2.1.i</v>
      </c>
      <c r="B258" s="6" t="str">
        <f>Autovalutazione!C264</f>
        <v>Cuffie antirumore?</v>
      </c>
      <c r="C258" s="38">
        <f>IF(ISBLANK(Autovalutazione!D264),0,1)</f>
        <v>0</v>
      </c>
      <c r="D258" s="293" t="str">
        <f>IF(AND(Autovalutazione!D264="",Autovalutazione!E264=""),"*","")</f>
        <v>*</v>
      </c>
      <c r="E258" s="39" t="str">
        <f>IF(ISBLANK(Autovalutazione!F264),"",Autovalutazione!F264)</f>
        <v/>
      </c>
      <c r="F258" s="235"/>
      <c r="G258" s="235"/>
      <c r="H258" s="235"/>
      <c r="I258" s="235"/>
      <c r="J258" s="235"/>
      <c r="K258" s="235"/>
      <c r="L258" s="229"/>
      <c r="M258" s="37">
        <v>1</v>
      </c>
      <c r="N258" s="27"/>
      <c r="O258" s="28">
        <f t="shared" si="44"/>
        <v>0</v>
      </c>
      <c r="P258" s="43">
        <f t="shared" si="45"/>
        <v>0</v>
      </c>
      <c r="Q258" s="36"/>
      <c r="R258" s="27"/>
    </row>
    <row r="259" spans="1:18" x14ac:dyDescent="0.3">
      <c r="A259" s="3" t="str">
        <f>Autovalutazione!A265</f>
        <v>4.2.1.j</v>
      </c>
      <c r="B259" s="6" t="str">
        <f>Autovalutazione!C265</f>
        <v>Casco con protettori auricolari?</v>
      </c>
      <c r="C259" s="38">
        <f>IF(ISBLANK(Autovalutazione!D265),0,1)</f>
        <v>0</v>
      </c>
      <c r="D259" s="293" t="str">
        <f>IF(AND(Autovalutazione!D265="",Autovalutazione!E265=""),"*","")</f>
        <v>*</v>
      </c>
      <c r="E259" s="39" t="str">
        <f>IF(ISBLANK(Autovalutazione!F265),"",Autovalutazione!F265)</f>
        <v/>
      </c>
      <c r="F259" s="235"/>
      <c r="G259" s="235"/>
      <c r="H259" s="235"/>
      <c r="I259" s="235"/>
      <c r="J259" s="235"/>
      <c r="K259" s="235"/>
      <c r="L259" s="229"/>
      <c r="M259" s="37">
        <v>1</v>
      </c>
      <c r="N259" s="27"/>
      <c r="O259" s="28">
        <f t="shared" si="44"/>
        <v>0</v>
      </c>
      <c r="P259" s="43">
        <f t="shared" si="45"/>
        <v>0</v>
      </c>
      <c r="Q259" s="36"/>
      <c r="R259" s="27"/>
    </row>
    <row r="260" spans="1:18" x14ac:dyDescent="0.3">
      <c r="A260" s="3" t="str">
        <f>Autovalutazione!A266</f>
        <v>4.2.1.k</v>
      </c>
      <c r="B260" s="6" t="str">
        <f>Autovalutazione!C266</f>
        <v>Indumento di protezione dal rumore?</v>
      </c>
      <c r="C260" s="38">
        <f>IF(ISBLANK(Autovalutazione!D266),0,1)</f>
        <v>0</v>
      </c>
      <c r="D260" s="293" t="str">
        <f>IF(AND(Autovalutazione!D266="",Autovalutazione!E266=""),"*","")</f>
        <v>*</v>
      </c>
      <c r="E260" s="39" t="str">
        <f>IF(ISBLANK(Autovalutazione!F266),"",Autovalutazione!F266)</f>
        <v/>
      </c>
      <c r="F260" s="235"/>
      <c r="G260" s="235"/>
      <c r="H260" s="235"/>
      <c r="I260" s="235"/>
      <c r="J260" s="235"/>
      <c r="K260" s="235"/>
      <c r="L260" s="229"/>
      <c r="M260" s="37">
        <v>1</v>
      </c>
      <c r="N260" s="27"/>
      <c r="O260" s="28">
        <f t="shared" si="44"/>
        <v>0</v>
      </c>
      <c r="P260" s="43">
        <f t="shared" si="45"/>
        <v>0</v>
      </c>
      <c r="Q260" s="36"/>
      <c r="R260" s="27"/>
    </row>
    <row r="261" spans="1:18" x14ac:dyDescent="0.3">
      <c r="A261" s="3" t="str">
        <f>Autovalutazione!A267</f>
        <v>4.2.1.l</v>
      </c>
      <c r="B261" s="6" t="str">
        <f>Autovalutazione!C267</f>
        <v>Respiratori a filtro?</v>
      </c>
      <c r="C261" s="38">
        <f>IF(ISBLANK(Autovalutazione!D267),0,1)</f>
        <v>0</v>
      </c>
      <c r="D261" s="293" t="str">
        <f>IF(AND(Autovalutazione!D267="",Autovalutazione!E267=""),"*","")</f>
        <v>*</v>
      </c>
      <c r="E261" s="39" t="str">
        <f>IF(ISBLANK(Autovalutazione!F267),"",Autovalutazione!F267)</f>
        <v/>
      </c>
      <c r="F261" s="235"/>
      <c r="G261" s="235"/>
      <c r="H261" s="235"/>
      <c r="I261" s="235"/>
      <c r="J261" s="235"/>
      <c r="K261" s="235"/>
      <c r="L261" s="229"/>
      <c r="M261" s="37">
        <v>1</v>
      </c>
      <c r="N261" s="27"/>
      <c r="O261" s="28">
        <f t="shared" si="44"/>
        <v>0</v>
      </c>
      <c r="P261" s="43">
        <f t="shared" si="45"/>
        <v>0</v>
      </c>
      <c r="Q261" s="36"/>
      <c r="R261" s="27"/>
    </row>
    <row r="262" spans="1:18" x14ac:dyDescent="0.3">
      <c r="A262" s="3" t="str">
        <f>Autovalutazione!A268</f>
        <v>4.2.1.m</v>
      </c>
      <c r="B262" s="6" t="str">
        <f>Autovalutazione!C268</f>
        <v>Respiratori ad adduzione di aria compressa?</v>
      </c>
      <c r="C262" s="38">
        <f>IF(ISBLANK(Autovalutazione!D268),0,1)</f>
        <v>0</v>
      </c>
      <c r="D262" s="293" t="str">
        <f>IF(AND(Autovalutazione!D268="",Autovalutazione!E268=""),"*","")</f>
        <v>*</v>
      </c>
      <c r="E262" s="39" t="str">
        <f>IF(ISBLANK(Autovalutazione!F268),"",Autovalutazione!F268)</f>
        <v/>
      </c>
      <c r="F262" s="235"/>
      <c r="G262" s="235"/>
      <c r="H262" s="235"/>
      <c r="I262" s="235"/>
      <c r="J262" s="235"/>
      <c r="K262" s="235"/>
      <c r="L262" s="229"/>
      <c r="M262" s="37">
        <v>1</v>
      </c>
      <c r="N262" s="27"/>
      <c r="O262" s="28">
        <f t="shared" si="44"/>
        <v>0</v>
      </c>
      <c r="P262" s="43">
        <f t="shared" si="45"/>
        <v>0</v>
      </c>
      <c r="Q262" s="36"/>
      <c r="R262" s="27"/>
    </row>
    <row r="263" spans="1:18" x14ac:dyDescent="0.3">
      <c r="A263" s="3" t="str">
        <f>Autovalutazione!A269</f>
        <v>4.2.1.n</v>
      </c>
      <c r="B263" s="6" t="str">
        <f>Autovalutazione!C269</f>
        <v>Autorespiratori a circuito chiuso?</v>
      </c>
      <c r="C263" s="38">
        <f>IF(ISBLANK(Autovalutazione!D269),0,1)</f>
        <v>0</v>
      </c>
      <c r="D263" s="293" t="str">
        <f>IF(AND(Autovalutazione!D269="",Autovalutazione!E269=""),"*","")</f>
        <v>*</v>
      </c>
      <c r="E263" s="39" t="str">
        <f>IF(ISBLANK(Autovalutazione!F269),"",Autovalutazione!F269)</f>
        <v/>
      </c>
      <c r="F263" s="235"/>
      <c r="G263" s="235"/>
      <c r="H263" s="235"/>
      <c r="I263" s="235"/>
      <c r="J263" s="235"/>
      <c r="K263" s="235"/>
      <c r="L263" s="229"/>
      <c r="M263" s="37">
        <v>1</v>
      </c>
      <c r="N263" s="27"/>
      <c r="O263" s="28">
        <f t="shared" si="44"/>
        <v>0</v>
      </c>
      <c r="P263" s="43">
        <f t="shared" si="45"/>
        <v>0</v>
      </c>
      <c r="Q263" s="36"/>
      <c r="R263" s="27"/>
    </row>
    <row r="264" spans="1:18" x14ac:dyDescent="0.3">
      <c r="A264" s="3" t="str">
        <f>Autovalutazione!A270</f>
        <v>4.2.1.o</v>
      </c>
      <c r="B264" s="6" t="str">
        <f>Autovalutazione!C270</f>
        <v>Respiratori a circuito aperto?</v>
      </c>
      <c r="C264" s="38">
        <f>IF(ISBLANK(Autovalutazione!D270),0,1)</f>
        <v>0</v>
      </c>
      <c r="D264" s="293" t="str">
        <f>IF(AND(Autovalutazione!D270="",Autovalutazione!E270=""),"*","")</f>
        <v>*</v>
      </c>
      <c r="E264" s="39" t="str">
        <f>IF(ISBLANK(Autovalutazione!F270),"",Autovalutazione!F270)</f>
        <v/>
      </c>
      <c r="F264" s="235"/>
      <c r="G264" s="235"/>
      <c r="H264" s="235"/>
      <c r="I264" s="235"/>
      <c r="J264" s="235"/>
      <c r="K264" s="235"/>
      <c r="L264" s="229"/>
      <c r="M264" s="37">
        <v>1</v>
      </c>
      <c r="N264" s="27"/>
      <c r="O264" s="28">
        <f t="shared" si="44"/>
        <v>0</v>
      </c>
      <c r="P264" s="43">
        <f t="shared" si="45"/>
        <v>0</v>
      </c>
      <c r="Q264" s="36"/>
      <c r="R264" s="27"/>
    </row>
    <row r="265" spans="1:18" x14ac:dyDescent="0.3">
      <c r="A265" s="3" t="str">
        <f>Autovalutazione!A271</f>
        <v>4.2.1.p</v>
      </c>
      <c r="B265" s="6" t="str">
        <f>Autovalutazione!C271</f>
        <v>Casco di respirazione?</v>
      </c>
      <c r="C265" s="38">
        <f>IF(ISBLANK(Autovalutazione!D271),0,1)</f>
        <v>0</v>
      </c>
      <c r="D265" s="293" t="str">
        <f>IF(AND(Autovalutazione!D271="",Autovalutazione!E271=""),"*","")</f>
        <v>*</v>
      </c>
      <c r="E265" s="39" t="str">
        <f>IF(ISBLANK(Autovalutazione!F271),"",Autovalutazione!F271)</f>
        <v/>
      </c>
      <c r="F265" s="235"/>
      <c r="G265" s="235"/>
      <c r="H265" s="235"/>
      <c r="I265" s="235"/>
      <c r="J265" s="235"/>
      <c r="K265" s="235"/>
      <c r="L265" s="229"/>
      <c r="M265" s="37">
        <v>1</v>
      </c>
      <c r="N265" s="27"/>
      <c r="O265" s="28">
        <f t="shared" si="44"/>
        <v>0</v>
      </c>
      <c r="P265" s="43">
        <f t="shared" si="45"/>
        <v>0</v>
      </c>
      <c r="Q265" s="36"/>
      <c r="R265" s="27"/>
    </row>
    <row r="266" spans="1:18" x14ac:dyDescent="0.3">
      <c r="A266" s="3" t="str">
        <f>Autovalutazione!A272</f>
        <v>4.2.1.q</v>
      </c>
      <c r="B266" s="6" t="str">
        <f>Autovalutazione!C272</f>
        <v>Tuta con autorespiratore all'interno?</v>
      </c>
      <c r="C266" s="38">
        <f>IF(ISBLANK(Autovalutazione!D272),0,1)</f>
        <v>0</v>
      </c>
      <c r="D266" s="293" t="str">
        <f>IF(AND(Autovalutazione!D272="",Autovalutazione!E272=""),"*","")</f>
        <v>*</v>
      </c>
      <c r="E266" s="39" t="str">
        <f>IF(ISBLANK(Autovalutazione!F272),"",Autovalutazione!F272)</f>
        <v/>
      </c>
      <c r="F266" s="235"/>
      <c r="G266" s="235"/>
      <c r="H266" s="235"/>
      <c r="I266" s="235"/>
      <c r="J266" s="235"/>
      <c r="K266" s="235"/>
      <c r="L266" s="229"/>
      <c r="M266" s="37">
        <v>1</v>
      </c>
      <c r="N266" s="27"/>
      <c r="O266" s="28">
        <f t="shared" si="44"/>
        <v>0</v>
      </c>
      <c r="P266" s="43">
        <f t="shared" si="45"/>
        <v>0</v>
      </c>
      <c r="Q266" s="36"/>
      <c r="R266" s="27"/>
    </row>
    <row r="267" spans="1:18" x14ac:dyDescent="0.3">
      <c r="A267" s="3" t="str">
        <f>Autovalutazione!A273</f>
        <v>4.2.1.r</v>
      </c>
      <c r="B267" s="6" t="str">
        <f>Autovalutazione!C273</f>
        <v>Guanti?</v>
      </c>
      <c r="C267" s="38">
        <f>IF(ISBLANK(Autovalutazione!D273),0,1)</f>
        <v>0</v>
      </c>
      <c r="D267" s="293" t="str">
        <f>IF(AND(Autovalutazione!D273="",Autovalutazione!E273=""),"*","")</f>
        <v>*</v>
      </c>
      <c r="E267" s="39" t="str">
        <f>IF(ISBLANK(Autovalutazione!F273),"",Autovalutazione!F273)</f>
        <v/>
      </c>
      <c r="F267" s="235"/>
      <c r="G267" s="235"/>
      <c r="H267" s="235"/>
      <c r="I267" s="235"/>
      <c r="J267" s="235"/>
      <c r="K267" s="235"/>
      <c r="L267" s="229"/>
      <c r="M267" s="37">
        <v>1</v>
      </c>
      <c r="N267" s="27"/>
      <c r="O267" s="28">
        <f t="shared" si="44"/>
        <v>0</v>
      </c>
      <c r="P267" s="43">
        <f t="shared" si="45"/>
        <v>0</v>
      </c>
      <c r="Q267" s="36"/>
      <c r="R267" s="27"/>
    </row>
    <row r="268" spans="1:18" x14ac:dyDescent="0.3">
      <c r="A268" s="3" t="str">
        <f>Autovalutazione!A274</f>
        <v>4.2.1.s</v>
      </c>
      <c r="B268" s="6" t="str">
        <f>Autovalutazione!C274</f>
        <v>Protettori braccia?</v>
      </c>
      <c r="C268" s="38">
        <f>IF(ISBLANK(Autovalutazione!D274),0,1)</f>
        <v>0</v>
      </c>
      <c r="D268" s="293" t="str">
        <f>IF(AND(Autovalutazione!D274="",Autovalutazione!E274=""),"*","")</f>
        <v>*</v>
      </c>
      <c r="E268" s="39" t="str">
        <f>IF(ISBLANK(Autovalutazione!F274),"",Autovalutazione!F274)</f>
        <v/>
      </c>
      <c r="F268" s="235"/>
      <c r="G268" s="235"/>
      <c r="H268" s="235"/>
      <c r="I268" s="235"/>
      <c r="J268" s="235"/>
      <c r="K268" s="235"/>
      <c r="L268" s="229"/>
      <c r="M268" s="37">
        <v>1</v>
      </c>
      <c r="N268" s="27"/>
      <c r="O268" s="28">
        <f t="shared" si="44"/>
        <v>0</v>
      </c>
      <c r="P268" s="43">
        <f t="shared" si="45"/>
        <v>0</v>
      </c>
      <c r="Q268" s="36"/>
      <c r="R268" s="27"/>
    </row>
    <row r="269" spans="1:18" x14ac:dyDescent="0.3">
      <c r="A269" s="3" t="str">
        <f>Autovalutazione!A275</f>
        <v>4.2.1.t</v>
      </c>
      <c r="B269" s="6" t="str">
        <f>Autovalutazione!C275</f>
        <v>Prodotti per la protezione della pelle?</v>
      </c>
      <c r="C269" s="38">
        <f>IF(ISBLANK(Autovalutazione!D275),0,1)</f>
        <v>0</v>
      </c>
      <c r="D269" s="293" t="str">
        <f>IF(AND(Autovalutazione!D275="",Autovalutazione!E275=""),"*","")</f>
        <v>*</v>
      </c>
      <c r="E269" s="39" t="str">
        <f>IF(ISBLANK(Autovalutazione!F275),"",Autovalutazione!F275)</f>
        <v/>
      </c>
      <c r="F269" s="235"/>
      <c r="G269" s="235"/>
      <c r="H269" s="235"/>
      <c r="I269" s="235"/>
      <c r="J269" s="235"/>
      <c r="K269" s="235"/>
      <c r="L269" s="229"/>
      <c r="M269" s="37">
        <v>1</v>
      </c>
      <c r="N269" s="27"/>
      <c r="O269" s="28">
        <f t="shared" si="44"/>
        <v>0</v>
      </c>
      <c r="P269" s="43">
        <f t="shared" si="45"/>
        <v>0</v>
      </c>
      <c r="Q269" s="36"/>
      <c r="R269" s="27"/>
    </row>
    <row r="270" spans="1:18" x14ac:dyDescent="0.3">
      <c r="A270" s="3" t="str">
        <f>Autovalutazione!A276</f>
        <v>4.2.1.u</v>
      </c>
      <c r="B270" s="6" t="str">
        <f>Autovalutazione!C276</f>
        <v>Calzature di sicurezza?</v>
      </c>
      <c r="C270" s="38">
        <f>IF(ISBLANK(Autovalutazione!D276),0,1)</f>
        <v>0</v>
      </c>
      <c r="D270" s="293" t="str">
        <f>IF(AND(Autovalutazione!D276="",Autovalutazione!E276=""),"*","")</f>
        <v>*</v>
      </c>
      <c r="E270" s="39" t="str">
        <f>IF(ISBLANK(Autovalutazione!F276),"",Autovalutazione!F276)</f>
        <v/>
      </c>
      <c r="F270" s="235"/>
      <c r="G270" s="235"/>
      <c r="H270" s="235"/>
      <c r="I270" s="235"/>
      <c r="J270" s="235"/>
      <c r="K270" s="235"/>
      <c r="L270" s="229"/>
      <c r="M270" s="37">
        <v>1</v>
      </c>
      <c r="N270" s="27"/>
      <c r="O270" s="28">
        <f t="shared" si="44"/>
        <v>0</v>
      </c>
      <c r="P270" s="43">
        <f t="shared" si="45"/>
        <v>0</v>
      </c>
      <c r="Q270" s="36"/>
      <c r="R270" s="27"/>
    </row>
    <row r="271" spans="1:18" x14ac:dyDescent="0.3">
      <c r="A271" s="3" t="str">
        <f>Autovalutazione!A277</f>
        <v>4.2.1.v</v>
      </c>
      <c r="B271" s="6" t="str">
        <f>Autovalutazione!C277</f>
        <v>Gambali di protezione?</v>
      </c>
      <c r="C271" s="38">
        <f>IF(ISBLANK(Autovalutazione!D277),0,1)</f>
        <v>0</v>
      </c>
      <c r="D271" s="293" t="str">
        <f>IF(AND(Autovalutazione!D277="",Autovalutazione!E277=""),"*","")</f>
        <v>*</v>
      </c>
      <c r="E271" s="39" t="str">
        <f>IF(ISBLANK(Autovalutazione!F277),"",Autovalutazione!F277)</f>
        <v/>
      </c>
      <c r="F271" s="237"/>
      <c r="G271" s="237"/>
      <c r="H271" s="237"/>
      <c r="I271" s="237"/>
      <c r="J271" s="237"/>
      <c r="K271" s="237"/>
      <c r="L271" s="229"/>
      <c r="M271" s="37">
        <v>1</v>
      </c>
      <c r="N271" s="27"/>
      <c r="O271" s="28">
        <f t="shared" si="44"/>
        <v>0</v>
      </c>
      <c r="P271" s="43">
        <f t="shared" si="45"/>
        <v>0</v>
      </c>
      <c r="Q271" s="36"/>
      <c r="R271" s="36"/>
    </row>
    <row r="272" spans="1:18" x14ac:dyDescent="0.3">
      <c r="A272" s="3" t="str">
        <f>Autovalutazione!A278</f>
        <v>4.2.1.w</v>
      </c>
      <c r="B272" s="6" t="str">
        <f>Autovalutazione!C278</f>
        <v>Proteggitibia?</v>
      </c>
      <c r="C272" s="38">
        <f>IF(ISBLANK(Autovalutazione!D278),0,1)</f>
        <v>0</v>
      </c>
      <c r="D272" s="293" t="str">
        <f>IF(AND(Autovalutazione!D278="",Autovalutazione!E278=""),"*","")</f>
        <v>*</v>
      </c>
      <c r="E272" s="39" t="str">
        <f>IF(ISBLANK(Autovalutazione!F278),"",Autovalutazione!F278)</f>
        <v/>
      </c>
      <c r="F272" s="235"/>
      <c r="G272" s="235"/>
      <c r="H272" s="235"/>
      <c r="I272" s="235"/>
      <c r="J272" s="235"/>
      <c r="K272" s="235"/>
      <c r="L272" s="229"/>
      <c r="M272" s="37">
        <v>1</v>
      </c>
      <c r="N272" s="27"/>
      <c r="O272" s="28">
        <f t="shared" si="44"/>
        <v>0</v>
      </c>
      <c r="P272" s="43">
        <f t="shared" si="45"/>
        <v>0</v>
      </c>
      <c r="Q272" s="36"/>
      <c r="R272" s="27"/>
    </row>
    <row r="273" spans="1:18" x14ac:dyDescent="0.3">
      <c r="A273" s="3" t="str">
        <f>Autovalutazione!A279</f>
        <v>4.2.1.x</v>
      </c>
      <c r="B273" s="6" t="str">
        <f>Autovalutazione!C279</f>
        <v>Ginocchiere?</v>
      </c>
      <c r="C273" s="38">
        <f>IF(ISBLANK(Autovalutazione!D279),0,1)</f>
        <v>0</v>
      </c>
      <c r="D273" s="293" t="str">
        <f>IF(AND(Autovalutazione!D279="",Autovalutazione!E279=""),"*","")</f>
        <v>*</v>
      </c>
      <c r="E273" s="39" t="str">
        <f>IF(ISBLANK(Autovalutazione!F279),"",Autovalutazione!F279)</f>
        <v/>
      </c>
      <c r="F273" s="235"/>
      <c r="G273" s="235"/>
      <c r="H273" s="235"/>
      <c r="I273" s="235"/>
      <c r="J273" s="235"/>
      <c r="K273" s="235"/>
      <c r="L273" s="229"/>
      <c r="M273" s="37">
        <v>1</v>
      </c>
      <c r="N273" s="27"/>
      <c r="O273" s="28">
        <f t="shared" si="44"/>
        <v>0</v>
      </c>
      <c r="P273" s="43">
        <f t="shared" si="45"/>
        <v>0</v>
      </c>
      <c r="Q273" s="36"/>
      <c r="R273" s="27"/>
    </row>
    <row r="274" spans="1:18" x14ac:dyDescent="0.3">
      <c r="A274" s="3" t="str">
        <f>Autovalutazione!A280</f>
        <v>4.2.1.y</v>
      </c>
      <c r="B274" s="6" t="str">
        <f>Autovalutazione!C280</f>
        <v>Indumenti alta visibilità?</v>
      </c>
      <c r="C274" s="38">
        <f>IF(ISBLANK(Autovalutazione!D280),0,1)</f>
        <v>0</v>
      </c>
      <c r="D274" s="293" t="str">
        <f>IF(AND(Autovalutazione!D280="",Autovalutazione!E280=""),"*","")</f>
        <v>*</v>
      </c>
      <c r="E274" s="39" t="str">
        <f>IF(ISBLANK(Autovalutazione!F280),"",Autovalutazione!F280)</f>
        <v/>
      </c>
      <c r="F274" s="235"/>
      <c r="G274" s="235"/>
      <c r="H274" s="235"/>
      <c r="I274" s="235"/>
      <c r="J274" s="235"/>
      <c r="K274" s="235"/>
      <c r="L274" s="229"/>
      <c r="M274" s="37">
        <v>1</v>
      </c>
      <c r="N274" s="27"/>
      <c r="O274" s="28">
        <f t="shared" si="44"/>
        <v>0</v>
      </c>
      <c r="P274" s="43">
        <f t="shared" si="45"/>
        <v>0</v>
      </c>
      <c r="Q274" s="36"/>
      <c r="R274" s="27"/>
    </row>
    <row r="275" spans="1:18" x14ac:dyDescent="0.3">
      <c r="A275" s="3" t="str">
        <f>Autovalutazione!A281</f>
        <v>4.2.1.z</v>
      </c>
      <c r="B275" s="6" t="str">
        <f>Autovalutazione!C281</f>
        <v>Tuta protettiva?</v>
      </c>
      <c r="C275" s="38">
        <f>IF(ISBLANK(Autovalutazione!D281),0,1)</f>
        <v>0</v>
      </c>
      <c r="D275" s="293" t="str">
        <f>IF(AND(Autovalutazione!D281="",Autovalutazione!E281=""),"*","")</f>
        <v>*</v>
      </c>
      <c r="E275" s="39" t="str">
        <f>IF(ISBLANK(Autovalutazione!F281),"",Autovalutazione!F281)</f>
        <v/>
      </c>
      <c r="F275" s="235"/>
      <c r="G275" s="235"/>
      <c r="H275" s="235"/>
      <c r="I275" s="235"/>
      <c r="J275" s="235"/>
      <c r="K275" s="235"/>
      <c r="L275" s="229"/>
      <c r="M275" s="37">
        <v>1</v>
      </c>
      <c r="N275" s="27"/>
      <c r="O275" s="28">
        <f t="shared" si="44"/>
        <v>0</v>
      </c>
      <c r="P275" s="43">
        <f t="shared" si="45"/>
        <v>0</v>
      </c>
      <c r="Q275" s="36"/>
      <c r="R275" s="27"/>
    </row>
    <row r="276" spans="1:18" x14ac:dyDescent="0.3">
      <c r="A276" s="3" t="str">
        <f>Autovalutazione!A282</f>
        <v>4.2.1.aa</v>
      </c>
      <c r="B276" s="6" t="str">
        <f>Autovalutazione!C282</f>
        <v>Grembiule di protezione?</v>
      </c>
      <c r="C276" s="38">
        <f>IF(ISBLANK(Autovalutazione!D282),0,1)</f>
        <v>0</v>
      </c>
      <c r="D276" s="293" t="str">
        <f>IF(AND(Autovalutazione!D282="",Autovalutazione!E282=""),"*","")</f>
        <v>*</v>
      </c>
      <c r="E276" s="39" t="str">
        <f>IF(ISBLANK(Autovalutazione!F282),"",Autovalutazione!F282)</f>
        <v/>
      </c>
      <c r="F276" s="235"/>
      <c r="G276" s="235"/>
      <c r="H276" s="235"/>
      <c r="I276" s="235"/>
      <c r="J276" s="235"/>
      <c r="K276" s="235"/>
      <c r="L276" s="229"/>
      <c r="M276" s="37">
        <v>1</v>
      </c>
      <c r="N276" s="27"/>
      <c r="O276" s="28">
        <f t="shared" si="44"/>
        <v>0</v>
      </c>
      <c r="P276" s="43">
        <f t="shared" si="45"/>
        <v>0</v>
      </c>
      <c r="Q276" s="36"/>
      <c r="R276" s="27"/>
    </row>
    <row r="277" spans="1:18" x14ac:dyDescent="0.3">
      <c r="A277" s="3" t="str">
        <f>Autovalutazione!A283</f>
        <v>4.2.1.bb</v>
      </c>
      <c r="B277" s="6" t="str">
        <f>Autovalutazione!C283</f>
        <v>Cappotto di protezione?</v>
      </c>
      <c r="C277" s="38">
        <f>IF(ISBLANK(Autovalutazione!D283),0,1)</f>
        <v>0</v>
      </c>
      <c r="D277" s="293" t="str">
        <f>IF(AND(Autovalutazione!D283="",Autovalutazione!E283=""),"*","")</f>
        <v>*</v>
      </c>
      <c r="E277" s="39" t="str">
        <f>IF(ISBLANK(Autovalutazione!F283),"",Autovalutazione!F283)</f>
        <v/>
      </c>
      <c r="F277" s="235"/>
      <c r="G277" s="235"/>
      <c r="H277" s="235"/>
      <c r="I277" s="235"/>
      <c r="J277" s="235"/>
      <c r="K277" s="235"/>
      <c r="L277" s="229"/>
      <c r="M277" s="37">
        <v>1</v>
      </c>
      <c r="N277" s="27"/>
      <c r="O277" s="28">
        <f t="shared" si="44"/>
        <v>0</v>
      </c>
      <c r="P277" s="43">
        <f t="shared" si="45"/>
        <v>0</v>
      </c>
      <c r="Q277" s="36"/>
      <c r="R277" s="27"/>
    </row>
    <row r="278" spans="1:18" x14ac:dyDescent="0.3">
      <c r="A278" s="3" t="str">
        <f>Autovalutazione!A284</f>
        <v>4.2.1.cc</v>
      </c>
      <c r="B278" s="6" t="str">
        <f>Autovalutazione!C284</f>
        <v>Protezione antifreddo?</v>
      </c>
      <c r="C278" s="38">
        <f>IF(ISBLANK(Autovalutazione!D284),0,1)</f>
        <v>0</v>
      </c>
      <c r="D278" s="293" t="str">
        <f>IF(AND(Autovalutazione!D284="",Autovalutazione!E284=""),"*","")</f>
        <v>*</v>
      </c>
      <c r="E278" s="39" t="str">
        <f>IF(ISBLANK(Autovalutazione!F284),"",Autovalutazione!F284)</f>
        <v/>
      </c>
      <c r="F278" s="235"/>
      <c r="G278" s="235"/>
      <c r="H278" s="235"/>
      <c r="I278" s="235"/>
      <c r="J278" s="235"/>
      <c r="K278" s="235"/>
      <c r="L278" s="229"/>
      <c r="M278" s="37">
        <v>1</v>
      </c>
      <c r="N278" s="27"/>
      <c r="O278" s="28">
        <f t="shared" si="44"/>
        <v>0</v>
      </c>
      <c r="P278" s="43">
        <f t="shared" si="45"/>
        <v>0</v>
      </c>
      <c r="Q278" s="36"/>
      <c r="R278" s="27"/>
    </row>
    <row r="279" spans="1:18" x14ac:dyDescent="0.3">
      <c r="A279" s="3" t="str">
        <f>Autovalutazione!A285</f>
        <v>4.2.1.dd</v>
      </c>
      <c r="B279" s="6" t="str">
        <f>Autovalutazione!C285</f>
        <v>Protezione contro l'umidità?</v>
      </c>
      <c r="C279" s="38">
        <f>IF(ISBLANK(Autovalutazione!D285),0,1)</f>
        <v>0</v>
      </c>
      <c r="D279" s="293" t="str">
        <f>IF(AND(Autovalutazione!D285="",Autovalutazione!E285=""),"*","")</f>
        <v>*</v>
      </c>
      <c r="E279" s="39" t="str">
        <f>IF(ISBLANK(Autovalutazione!F285),"",Autovalutazione!F285)</f>
        <v/>
      </c>
      <c r="F279" s="237"/>
      <c r="G279" s="237"/>
      <c r="H279" s="237"/>
      <c r="I279" s="237"/>
      <c r="J279" s="237"/>
      <c r="K279" s="237"/>
      <c r="L279" s="229"/>
      <c r="M279" s="37">
        <v>1</v>
      </c>
      <c r="N279" s="27"/>
      <c r="O279" s="28">
        <f t="shared" si="44"/>
        <v>0</v>
      </c>
      <c r="P279" s="43">
        <f t="shared" si="45"/>
        <v>0</v>
      </c>
      <c r="Q279" s="36"/>
      <c r="R279" s="36"/>
    </row>
    <row r="280" spans="1:18" x14ac:dyDescent="0.3">
      <c r="A280" s="3" t="str">
        <f>Autovalutazione!A286</f>
        <v>4.2.1.ee</v>
      </c>
      <c r="B280" s="6" t="str">
        <f>Autovalutazione!C286</f>
        <v>Pantaloni antitaglio?</v>
      </c>
      <c r="C280" s="38">
        <f>IF(ISBLANK(Autovalutazione!D286),0,1)</f>
        <v>0</v>
      </c>
      <c r="D280" s="293" t="str">
        <f>IF(AND(Autovalutazione!D286="",Autovalutazione!E286=""),"*","")</f>
        <v>*</v>
      </c>
      <c r="E280" s="39" t="str">
        <f>IF(ISBLANK(Autovalutazione!F286),"",Autovalutazione!F286)</f>
        <v/>
      </c>
      <c r="F280" s="235"/>
      <c r="G280" s="235"/>
      <c r="H280" s="235"/>
      <c r="I280" s="235"/>
      <c r="J280" s="235"/>
      <c r="K280" s="235"/>
      <c r="L280" s="229"/>
      <c r="M280" s="37">
        <v>1</v>
      </c>
      <c r="N280" s="27"/>
      <c r="O280" s="28">
        <f t="shared" si="44"/>
        <v>0</v>
      </c>
      <c r="P280" s="43">
        <f t="shared" si="45"/>
        <v>0</v>
      </c>
      <c r="Q280" s="36"/>
      <c r="R280" s="27"/>
    </row>
    <row r="281" spans="1:18" x14ac:dyDescent="0.3">
      <c r="A281" s="3" t="str">
        <f>Autovalutazione!A287</f>
        <v>4.2.1.ff</v>
      </c>
      <c r="B281" s="6" t="str">
        <f>Autovalutazione!C287</f>
        <v>Imbracatura?</v>
      </c>
      <c r="C281" s="38">
        <f>IF(ISBLANK(Autovalutazione!D287),0,1)</f>
        <v>0</v>
      </c>
      <c r="D281" s="293" t="str">
        <f>IF(AND(Autovalutazione!D287="",Autovalutazione!E287=""),"*","")</f>
        <v>*</v>
      </c>
      <c r="E281" s="39" t="str">
        <f>IF(ISBLANK(Autovalutazione!F287),"",Autovalutazione!F287)</f>
        <v/>
      </c>
      <c r="F281" s="235"/>
      <c r="G281" s="235"/>
      <c r="H281" s="235"/>
      <c r="I281" s="235"/>
      <c r="J281" s="235"/>
      <c r="K281" s="235"/>
      <c r="L281" s="229"/>
      <c r="M281" s="37">
        <v>1</v>
      </c>
      <c r="N281" s="27"/>
      <c r="O281" s="28">
        <f t="shared" si="44"/>
        <v>0</v>
      </c>
      <c r="P281" s="43">
        <f t="shared" si="45"/>
        <v>0</v>
      </c>
      <c r="Q281" s="36"/>
      <c r="R281" s="27"/>
    </row>
    <row r="282" spans="1:18" x14ac:dyDescent="0.3">
      <c r="A282" s="3" t="str">
        <f>Autovalutazione!A288</f>
        <v>4.2.1.gg</v>
      </c>
      <c r="B282" s="6" t="str">
        <f>Autovalutazione!C288</f>
        <v>Fune di sicurezza?</v>
      </c>
      <c r="C282" s="38">
        <f>IF(ISBLANK(Autovalutazione!D288),0,1)</f>
        <v>0</v>
      </c>
      <c r="D282" s="293" t="str">
        <f>IF(AND(Autovalutazione!D288="",Autovalutazione!E288=""),"*","")</f>
        <v>*</v>
      </c>
      <c r="E282" s="39" t="str">
        <f>IF(ISBLANK(Autovalutazione!F288),"",Autovalutazione!F288)</f>
        <v/>
      </c>
      <c r="F282" s="235"/>
      <c r="G282" s="235"/>
      <c r="H282" s="235"/>
      <c r="I282" s="235"/>
      <c r="J282" s="235"/>
      <c r="K282" s="235"/>
      <c r="L282" s="229"/>
      <c r="M282" s="37">
        <v>1</v>
      </c>
      <c r="N282" s="27"/>
      <c r="O282" s="28">
        <f t="shared" si="44"/>
        <v>0</v>
      </c>
      <c r="P282" s="43">
        <f t="shared" si="45"/>
        <v>0</v>
      </c>
      <c r="Q282" s="36"/>
      <c r="R282" s="27"/>
    </row>
    <row r="283" spans="1:18" x14ac:dyDescent="0.3">
      <c r="A283" s="3" t="str">
        <f>Autovalutazione!A289</f>
        <v>4.2.1.hh</v>
      </c>
      <c r="B283" s="6" t="str">
        <f>Autovalutazione!C289</f>
        <v>Giubbotto di salvataggio?</v>
      </c>
      <c r="C283" s="38">
        <f>IF(ISBLANK(Autovalutazione!D289),0,1)</f>
        <v>0</v>
      </c>
      <c r="D283" s="293" t="str">
        <f>IF(AND(Autovalutazione!D289="",Autovalutazione!E289=""),"*","")</f>
        <v>*</v>
      </c>
      <c r="E283" s="39" t="str">
        <f>IF(ISBLANK(Autovalutazione!F289),"",Autovalutazione!F289)</f>
        <v/>
      </c>
      <c r="F283" s="237"/>
      <c r="G283" s="237"/>
      <c r="H283" s="237"/>
      <c r="I283" s="237"/>
      <c r="J283" s="237"/>
      <c r="K283" s="237"/>
      <c r="L283" s="229"/>
      <c r="M283" s="37">
        <v>1</v>
      </c>
      <c r="N283" s="27"/>
      <c r="O283" s="28">
        <f t="shared" si="44"/>
        <v>0</v>
      </c>
      <c r="P283" s="43">
        <f t="shared" si="45"/>
        <v>0</v>
      </c>
      <c r="Q283" s="36"/>
      <c r="R283" s="36"/>
    </row>
    <row r="284" spans="1:18" x14ac:dyDescent="0.3">
      <c r="A284" s="3" t="str">
        <f>Autovalutazione!A290</f>
        <v>4.2.1.ii</v>
      </c>
      <c r="B284" s="6" t="str">
        <f>Autovalutazione!C290</f>
        <v>Altri dispositivi?  Se sì, specificare quali.</v>
      </c>
      <c r="C284" s="38">
        <f>IF(ISBLANK(Autovalutazione!D290),0,1)</f>
        <v>0</v>
      </c>
      <c r="D284" s="293" t="str">
        <f>IF(AND(Autovalutazione!D290="",Autovalutazione!E290=""),"*","")</f>
        <v>*</v>
      </c>
      <c r="E284" s="39" t="str">
        <f>IF(ISBLANK(Autovalutazione!F290),"",Autovalutazione!F290)</f>
        <v/>
      </c>
      <c r="F284" s="237"/>
      <c r="G284" s="237"/>
      <c r="H284" s="237"/>
      <c r="I284" s="237"/>
      <c r="J284" s="237"/>
      <c r="K284" s="237"/>
      <c r="L284" s="229"/>
      <c r="M284" s="37">
        <v>1</v>
      </c>
      <c r="N284" s="27"/>
      <c r="O284" s="28">
        <f t="shared" si="44"/>
        <v>0</v>
      </c>
      <c r="P284" s="43">
        <f t="shared" si="45"/>
        <v>0</v>
      </c>
      <c r="Q284" s="36"/>
      <c r="R284" s="36"/>
    </row>
    <row r="285" spans="1:18" x14ac:dyDescent="0.3">
      <c r="A285" s="20" t="str">
        <f>Autovalutazione!A291</f>
        <v>4.3.</v>
      </c>
      <c r="B285" s="20" t="str">
        <f>Autovalutazione!B291</f>
        <v>DPI: uso</v>
      </c>
      <c r="C285" s="21">
        <f>O285/N285</f>
        <v>0</v>
      </c>
      <c r="D285" s="23"/>
      <c r="E285" s="23" t="str">
        <f>IF(ISBLANK(Autovalutazione!F291),"",Autovalutazione!F291)</f>
        <v/>
      </c>
      <c r="F285" s="232"/>
      <c r="G285" s="232"/>
      <c r="H285" s="232"/>
      <c r="I285" s="232"/>
      <c r="J285" s="232"/>
      <c r="K285" s="232"/>
      <c r="L285" s="50">
        <f>P285/N285</f>
        <v>0</v>
      </c>
      <c r="M285" s="22">
        <v>2</v>
      </c>
      <c r="N285" s="22">
        <f>SUM(M286:M292)</f>
        <v>20</v>
      </c>
      <c r="O285" s="24">
        <f>SUM(O286:O292)</f>
        <v>0</v>
      </c>
      <c r="P285" s="24">
        <f>SUM(P286:P292)</f>
        <v>0</v>
      </c>
      <c r="Q285" s="52">
        <f>O285/$N285*$M285</f>
        <v>0</v>
      </c>
      <c r="R285" s="52">
        <f>P285/$N285*$M285</f>
        <v>0</v>
      </c>
    </row>
    <row r="286" spans="1:18" ht="26.4" x14ac:dyDescent="0.3">
      <c r="A286" s="3" t="str">
        <f>Autovalutazione!A292</f>
        <v>4.3.1.</v>
      </c>
      <c r="B286" s="6" t="str">
        <f>Autovalutazione!C292</f>
        <v>I dipendenti partecipano alla scelta dei dispositivi di protezione individuale?</v>
      </c>
      <c r="C286" s="38">
        <f>IF(ISBLANK(Autovalutazione!D292),0,1)</f>
        <v>0</v>
      </c>
      <c r="D286" s="293" t="str">
        <f>IF(AND(Autovalutazione!D292="",Autovalutazione!E292=""),"*","")</f>
        <v>*</v>
      </c>
      <c r="E286" s="39" t="str">
        <f>IF(ISBLANK(Autovalutazione!F292),"",Autovalutazione!F292)</f>
        <v/>
      </c>
      <c r="F286" s="235"/>
      <c r="G286" s="235"/>
      <c r="H286" s="235"/>
      <c r="I286" s="235"/>
      <c r="J286" s="235"/>
      <c r="K286" s="235"/>
      <c r="L286" s="229"/>
      <c r="M286" s="37">
        <v>3</v>
      </c>
      <c r="N286" s="27"/>
      <c r="O286" s="28">
        <f t="shared" ref="O286:O292" si="46">C286*M286</f>
        <v>0</v>
      </c>
      <c r="P286" s="43">
        <f t="shared" ref="P286:P292" si="47">L286*M286</f>
        <v>0</v>
      </c>
      <c r="Q286" s="36"/>
      <c r="R286" s="27"/>
    </row>
    <row r="287" spans="1:18" ht="26.4" x14ac:dyDescent="0.3">
      <c r="A287" s="3" t="str">
        <f>Autovalutazione!A293</f>
        <v>4.3.2.</v>
      </c>
      <c r="B287" s="6" t="str">
        <f>Autovalutazione!C293</f>
        <v>L'azienda ha emanato delle direttive interne sull'uso dei dispositivi di protezione individuale?</v>
      </c>
      <c r="C287" s="38">
        <f>IF(ISBLANK(Autovalutazione!D293),0,1)</f>
        <v>0</v>
      </c>
      <c r="D287" s="293" t="str">
        <f>IF(AND(Autovalutazione!D293="",Autovalutazione!E293=""),"*","")</f>
        <v>*</v>
      </c>
      <c r="E287" s="39" t="str">
        <f>IF(ISBLANK(Autovalutazione!F293),"",Autovalutazione!F293)</f>
        <v/>
      </c>
      <c r="F287" s="235"/>
      <c r="G287" s="235"/>
      <c r="H287" s="235"/>
      <c r="I287" s="235"/>
      <c r="J287" s="235"/>
      <c r="K287" s="235"/>
      <c r="L287" s="229"/>
      <c r="M287" s="37">
        <v>3</v>
      </c>
      <c r="N287" s="27"/>
      <c r="O287" s="28">
        <f t="shared" si="46"/>
        <v>0</v>
      </c>
      <c r="P287" s="43">
        <f t="shared" si="47"/>
        <v>0</v>
      </c>
      <c r="Q287" s="36"/>
      <c r="R287" s="27"/>
    </row>
    <row r="288" spans="1:18" ht="26.4" x14ac:dyDescent="0.3">
      <c r="A288" s="3" t="str">
        <f>Autovalutazione!A294</f>
        <v>4.3.3.</v>
      </c>
      <c r="B288" s="6" t="str">
        <f>Autovalutazione!C294</f>
        <v>I superiori danno l'esempio per quanto concerne l'uso dei dispositivi di protezione individuale?</v>
      </c>
      <c r="C288" s="38">
        <f>IF(ISBLANK(Autovalutazione!D294),0,1)</f>
        <v>0</v>
      </c>
      <c r="D288" s="293" t="str">
        <f>IF(AND(Autovalutazione!D294="",Autovalutazione!E294=""),"*","")</f>
        <v>*</v>
      </c>
      <c r="E288" s="39" t="str">
        <f>IF(ISBLANK(Autovalutazione!F294),"",Autovalutazione!F294)</f>
        <v/>
      </c>
      <c r="F288" s="235"/>
      <c r="G288" s="235"/>
      <c r="H288" s="235"/>
      <c r="I288" s="235"/>
      <c r="J288" s="235"/>
      <c r="K288" s="235"/>
      <c r="L288" s="229"/>
      <c r="M288" s="37">
        <v>5</v>
      </c>
      <c r="N288" s="27"/>
      <c r="O288" s="28">
        <f t="shared" si="46"/>
        <v>0</v>
      </c>
      <c r="P288" s="43">
        <f t="shared" si="47"/>
        <v>0</v>
      </c>
      <c r="Q288" s="36"/>
      <c r="R288" s="27"/>
    </row>
    <row r="289" spans="1:18" ht="26.4" x14ac:dyDescent="0.3">
      <c r="A289" s="3" t="str">
        <f>Autovalutazione!A295</f>
        <v>4.3.4.</v>
      </c>
      <c r="B289" s="6" t="str">
        <f>Autovalutazione!C295</f>
        <v>Ai dipendenti viene spiegato a quali pericoli vanno incontro sul lavoro e quali sono le necessarie misure di sicurezza?</v>
      </c>
      <c r="C289" s="38">
        <f>IF(ISBLANK(Autovalutazione!D295),0,1)</f>
        <v>0</v>
      </c>
      <c r="D289" s="293" t="str">
        <f>IF(AND(Autovalutazione!D295="",Autovalutazione!E295=""),"*","")</f>
        <v>*</v>
      </c>
      <c r="E289" s="39" t="str">
        <f>IF(ISBLANK(Autovalutazione!F295),"",Autovalutazione!F295)</f>
        <v/>
      </c>
      <c r="F289" s="235"/>
      <c r="G289" s="235"/>
      <c r="H289" s="235"/>
      <c r="I289" s="235"/>
      <c r="J289" s="235"/>
      <c r="K289" s="235"/>
      <c r="L289" s="229"/>
      <c r="M289" s="37">
        <v>3</v>
      </c>
      <c r="N289" s="27"/>
      <c r="O289" s="28">
        <f t="shared" si="46"/>
        <v>0</v>
      </c>
      <c r="P289" s="43">
        <f t="shared" si="47"/>
        <v>0</v>
      </c>
      <c r="Q289" s="36"/>
      <c r="R289" s="27"/>
    </row>
    <row r="290" spans="1:18" ht="26.4" x14ac:dyDescent="0.3">
      <c r="A290" s="3" t="str">
        <f>Autovalutazione!A296</f>
        <v>4.3.5.</v>
      </c>
      <c r="B290" s="6" t="str">
        <f>Autovalutazione!C296</f>
        <v>Ai dipendenti viene spiegato come usare correttamente e avere cura dei dispositivi di protezione individuale?</v>
      </c>
      <c r="C290" s="38">
        <f>IF(ISBLANK(Autovalutazione!D296),0,1)</f>
        <v>0</v>
      </c>
      <c r="D290" s="293" t="str">
        <f>IF(AND(Autovalutazione!D296="",Autovalutazione!E296=""),"*","")</f>
        <v>*</v>
      </c>
      <c r="E290" s="39" t="str">
        <f>IF(ISBLANK(Autovalutazione!F296),"",Autovalutazione!F296)</f>
        <v/>
      </c>
      <c r="F290" s="235"/>
      <c r="G290" s="235"/>
      <c r="H290" s="235"/>
      <c r="I290" s="235"/>
      <c r="J290" s="235"/>
      <c r="K290" s="235"/>
      <c r="L290" s="229"/>
      <c r="M290" s="37">
        <v>2</v>
      </c>
      <c r="N290" s="27"/>
      <c r="O290" s="28">
        <f t="shared" si="46"/>
        <v>0</v>
      </c>
      <c r="P290" s="43">
        <f t="shared" si="47"/>
        <v>0</v>
      </c>
      <c r="Q290" s="36"/>
      <c r="R290" s="27"/>
    </row>
    <row r="291" spans="1:18" ht="26.4" x14ac:dyDescent="0.3">
      <c r="A291" s="3" t="str">
        <f>Autovalutazione!A297</f>
        <v>4.3.6.</v>
      </c>
      <c r="B291" s="6" t="str">
        <f>Autovalutazione!C297</f>
        <v>L'uso corretto dei dispositivi di protezione è controllato e imposto?</v>
      </c>
      <c r="C291" s="38">
        <f>IF(ISBLANK(Autovalutazione!D297),0,1)</f>
        <v>0</v>
      </c>
      <c r="D291" s="293" t="str">
        <f>IF(AND(Autovalutazione!D297="",Autovalutazione!E297=""),"*","")</f>
        <v>*</v>
      </c>
      <c r="E291" s="39" t="str">
        <f>IF(ISBLANK(Autovalutazione!F297),"",Autovalutazione!F297)</f>
        <v/>
      </c>
      <c r="F291" s="237"/>
      <c r="G291" s="237"/>
      <c r="H291" s="237"/>
      <c r="I291" s="237"/>
      <c r="J291" s="237"/>
      <c r="K291" s="237"/>
      <c r="L291" s="229"/>
      <c r="M291" s="37">
        <v>4</v>
      </c>
      <c r="N291" s="27"/>
      <c r="O291" s="28">
        <f t="shared" si="46"/>
        <v>0</v>
      </c>
      <c r="P291" s="43">
        <f t="shared" si="47"/>
        <v>0</v>
      </c>
      <c r="Q291" s="36"/>
      <c r="R291" s="36"/>
    </row>
    <row r="292" spans="1:18" ht="39.6" x14ac:dyDescent="0.3">
      <c r="A292" s="3" t="str">
        <f>Autovalutazione!A298</f>
        <v>4.3.7.</v>
      </c>
      <c r="B292" s="6" t="str">
        <f>Autovalutazione!C298</f>
        <v>Avete notato se alcuni dispositivi di protezione individuale in determinati posti di lavoro e per determinate attività sono scarsamente utilizzati? Indicare in quali situazioni.</v>
      </c>
      <c r="C292" s="38">
        <f>IF(ISBLANK(Autovalutazione!D298),0,1)</f>
        <v>0</v>
      </c>
      <c r="D292" s="293" t="str">
        <f>IF(AND(Autovalutazione!D298="",Autovalutazione!E298=""),"*","")</f>
        <v>*</v>
      </c>
      <c r="E292" s="39" t="str">
        <f>IF(ISBLANK(Autovalutazione!F298),"",Autovalutazione!F298)</f>
        <v/>
      </c>
      <c r="F292" s="235"/>
      <c r="G292" s="235"/>
      <c r="H292" s="235"/>
      <c r="I292" s="235"/>
      <c r="J292" s="235"/>
      <c r="K292" s="235"/>
      <c r="L292" s="229"/>
      <c r="M292" s="37">
        <v>0</v>
      </c>
      <c r="N292" s="27"/>
      <c r="O292" s="28">
        <f t="shared" si="46"/>
        <v>0</v>
      </c>
      <c r="P292" s="43">
        <f t="shared" si="47"/>
        <v>0</v>
      </c>
      <c r="Q292" s="36"/>
      <c r="R292" s="27"/>
    </row>
    <row r="293" spans="1:18" x14ac:dyDescent="0.3">
      <c r="A293" s="20" t="str">
        <f>Autovalutazione!A299</f>
        <v>4.4.</v>
      </c>
      <c r="B293" s="20" t="str">
        <f>Autovalutazione!B299</f>
        <v>Esercizio normale/esercizio particolare</v>
      </c>
      <c r="C293" s="21">
        <f>O293/N293</f>
        <v>0</v>
      </c>
      <c r="D293" s="23"/>
      <c r="E293" s="23" t="str">
        <f>IF(ISBLANK(Autovalutazione!F299),"",Autovalutazione!F299)</f>
        <v/>
      </c>
      <c r="F293" s="232"/>
      <c r="G293" s="232"/>
      <c r="H293" s="232"/>
      <c r="I293" s="232"/>
      <c r="J293" s="232"/>
      <c r="K293" s="232"/>
      <c r="L293" s="50">
        <f>P293/N293</f>
        <v>0</v>
      </c>
      <c r="M293" s="22">
        <v>2</v>
      </c>
      <c r="N293" s="22">
        <f>SUM(M294:M296)</f>
        <v>4</v>
      </c>
      <c r="O293" s="24">
        <f>SUM(O294:O296)</f>
        <v>0</v>
      </c>
      <c r="P293" s="24">
        <f>SUM(P294:P296)</f>
        <v>0</v>
      </c>
      <c r="Q293" s="52">
        <f>O293/$N293*$M293</f>
        <v>0</v>
      </c>
      <c r="R293" s="52">
        <f>P293/$N293*$M293</f>
        <v>0</v>
      </c>
    </row>
    <row r="294" spans="1:18" ht="118.8" x14ac:dyDescent="0.3">
      <c r="A294" s="3" t="str">
        <f>Autovalutazione!A300</f>
        <v>4.4.1.</v>
      </c>
      <c r="B294" s="6" t="str">
        <f>Autovalutazione!C300</f>
        <v>I dipendenti rispettano le istruzioni del fabbricante o del fornitore in merito all'esercizio normale* e particolare** di impianti, macchinari e apparecchi?
* Esercizio normale: impiego nelle condizioni d'uso previste, esecuzione della funzione prevista.
** Esercizio particolare: tutti gli altri interventi, ossia configurazione / riconfigura-zione, preparazione / registrazione, teach-in, individuazione/eliminazione di guasti, pulizia.</v>
      </c>
      <c r="C294" s="38">
        <f>IF(ISBLANK(Autovalutazione!D300),0,1)</f>
        <v>0</v>
      </c>
      <c r="D294" s="293" t="str">
        <f>IF(AND(Autovalutazione!D300="",Autovalutazione!E300=""),"*","")</f>
        <v>*</v>
      </c>
      <c r="E294" s="39" t="str">
        <f>IF(ISBLANK(Autovalutazione!F300),"",Autovalutazione!F300)</f>
        <v/>
      </c>
      <c r="F294" s="235"/>
      <c r="G294" s="235"/>
      <c r="H294" s="235"/>
      <c r="I294" s="235"/>
      <c r="J294" s="235"/>
      <c r="K294" s="235"/>
      <c r="L294" s="229"/>
      <c r="M294" s="37">
        <v>3</v>
      </c>
      <c r="N294" s="27"/>
      <c r="O294" s="28">
        <f>C294*M294</f>
        <v>0</v>
      </c>
      <c r="P294" s="43">
        <f t="shared" ref="P294:P296" si="48">L294*M294</f>
        <v>0</v>
      </c>
      <c r="Q294" s="36"/>
      <c r="R294" s="27"/>
    </row>
    <row r="295" spans="1:18" ht="26.4" x14ac:dyDescent="0.3">
      <c r="A295" s="3" t="str">
        <f>Autovalutazione!A301</f>
        <v>4.4.2.</v>
      </c>
      <c r="B295" s="6" t="str">
        <f>Autovalutazione!C301</f>
        <v>Esistono direttive interne sul'esercizio normale e particolare di impianti, macchinari e apparecchi?</v>
      </c>
      <c r="C295" s="38">
        <f>IF(ISBLANK(Autovalutazione!D301),0,1)</f>
        <v>0</v>
      </c>
      <c r="D295" s="293" t="str">
        <f>IF(AND(Autovalutazione!D301="",Autovalutazione!E301=""),"*","")</f>
        <v>*</v>
      </c>
      <c r="E295" s="39" t="str">
        <f>IF(ISBLANK(Autovalutazione!F301),"",Autovalutazione!F301)</f>
        <v/>
      </c>
      <c r="F295" s="235"/>
      <c r="G295" s="235"/>
      <c r="H295" s="235"/>
      <c r="I295" s="235"/>
      <c r="J295" s="235"/>
      <c r="K295" s="235"/>
      <c r="L295" s="229"/>
      <c r="M295" s="37">
        <v>1</v>
      </c>
      <c r="N295" s="27"/>
      <c r="O295" s="28">
        <f>C295*M295</f>
        <v>0</v>
      </c>
      <c r="P295" s="43">
        <f t="shared" si="48"/>
        <v>0</v>
      </c>
      <c r="Q295" s="36"/>
      <c r="R295" s="27"/>
    </row>
    <row r="296" spans="1:18" ht="39.6" x14ac:dyDescent="0.3">
      <c r="A296" s="3" t="str">
        <f>Autovalutazione!A302</f>
        <v>4.4.3.</v>
      </c>
      <c r="B296" s="6" t="str">
        <f>Autovalutazione!C302</f>
        <v>Conoscete il rapporto tra il numero di infortuni, quasi-infortuni  e le anomalie di processo nell'esercizio normale e particolare?</v>
      </c>
      <c r="C296" s="38">
        <f>IF(ISBLANK(Autovalutazione!D302),0,1)</f>
        <v>0</v>
      </c>
      <c r="D296" s="293" t="str">
        <f>IF(AND(Autovalutazione!D302="",Autovalutazione!E302=""),"*","")</f>
        <v>*</v>
      </c>
      <c r="E296" s="39" t="str">
        <f>IF(ISBLANK(Autovalutazione!F302),"",Autovalutazione!F302)</f>
        <v/>
      </c>
      <c r="F296" s="237"/>
      <c r="G296" s="237"/>
      <c r="H296" s="237"/>
      <c r="I296" s="237"/>
      <c r="J296" s="237"/>
      <c r="K296" s="237"/>
      <c r="L296" s="229"/>
      <c r="M296" s="37">
        <v>0</v>
      </c>
      <c r="N296" s="27"/>
      <c r="O296" s="28">
        <f>C296*M296</f>
        <v>0</v>
      </c>
      <c r="P296" s="43">
        <f t="shared" si="48"/>
        <v>0</v>
      </c>
      <c r="Q296" s="36"/>
      <c r="R296" s="36"/>
    </row>
    <row r="297" spans="1:18" x14ac:dyDescent="0.3">
      <c r="A297" s="20" t="str">
        <f>Autovalutazione!A303</f>
        <v>4.5.</v>
      </c>
      <c r="B297" s="20" t="str">
        <f>Autovalutazione!B303</f>
        <v>Manutenzione (delle attrezzature di lavoro)</v>
      </c>
      <c r="C297" s="21">
        <f>O297/N297</f>
        <v>0</v>
      </c>
      <c r="D297" s="23"/>
      <c r="E297" s="23" t="str">
        <f>IF(ISBLANK(Autovalutazione!F303),"",Autovalutazione!F303)</f>
        <v/>
      </c>
      <c r="F297" s="232"/>
      <c r="G297" s="232"/>
      <c r="H297" s="232"/>
      <c r="I297" s="232"/>
      <c r="J297" s="232"/>
      <c r="K297" s="232"/>
      <c r="L297" s="50">
        <f>P297/N297</f>
        <v>0</v>
      </c>
      <c r="M297" s="22">
        <v>2</v>
      </c>
      <c r="N297" s="22">
        <f>SUM(M298:M303)</f>
        <v>6</v>
      </c>
      <c r="O297" s="24">
        <f>SUM(O298:O303)</f>
        <v>0</v>
      </c>
      <c r="P297" s="24">
        <f>SUM(P298:P303)</f>
        <v>0</v>
      </c>
      <c r="Q297" s="52">
        <f>O297/$N297*$M297</f>
        <v>0</v>
      </c>
      <c r="R297" s="52">
        <f>P297/$N297*$M297</f>
        <v>0</v>
      </c>
    </row>
    <row r="298" spans="1:18" ht="106.5" customHeight="1" x14ac:dyDescent="0.3">
      <c r="A298" s="3" t="str">
        <f>Autovalutazione!A304</f>
        <v>4.5.1.</v>
      </c>
      <c r="B298" s="6" t="str">
        <f>Autovalutazione!C304</f>
        <v>In azienda c'è una specifica unità organizzativa che si occupa della manutenzione* delle attrezzature di lavoro?
* Attrezzature di lavoro: macchine, impianti, apparecchi, utensili usati durante il lavoro; installazioni e apparecchi tecnici (IAT) che appartengono all'ambiente
di lavoro (ad es. ventilazione, riscaldamento, illuminazione); dispositivi di protezione
individuale (DPI).</v>
      </c>
      <c r="C298" s="38">
        <f>IF(ISBLANK(Autovalutazione!D304),0,1)</f>
        <v>0</v>
      </c>
      <c r="D298" s="293" t="str">
        <f>IF(AND(Autovalutazione!D304="",Autovalutazione!E304=""),"*","")</f>
        <v>*</v>
      </c>
      <c r="E298" s="39" t="str">
        <f>IF(ISBLANK(Autovalutazione!F304),"",Autovalutazione!F304)</f>
        <v/>
      </c>
      <c r="F298" s="235"/>
      <c r="G298" s="235"/>
      <c r="H298" s="235"/>
      <c r="I298" s="235"/>
      <c r="J298" s="235"/>
      <c r="K298" s="235"/>
      <c r="L298" s="229"/>
      <c r="M298" s="37">
        <v>1</v>
      </c>
      <c r="N298" s="27"/>
      <c r="O298" s="28">
        <f t="shared" ref="O298:O303" si="49">C298*M298</f>
        <v>0</v>
      </c>
      <c r="P298" s="43">
        <f t="shared" ref="P298:P303" si="50">L298*M298</f>
        <v>0</v>
      </c>
      <c r="Q298" s="36"/>
      <c r="R298" s="27"/>
    </row>
    <row r="299" spans="1:18" ht="39.6" x14ac:dyDescent="0.3">
      <c r="A299" s="3" t="str">
        <f>Autovalutazione!A305</f>
        <v>4.5.2.</v>
      </c>
      <c r="B299" s="6" t="str">
        <f>Autovalutazione!C305</f>
        <v>I produttori o i fornitori delle attrezzature in dotazione alla vostra azienda si occupano di formare i vostri dipendenti su come svolgere la manutenzione?</v>
      </c>
      <c r="C299" s="38">
        <f>IF(ISBLANK(Autovalutazione!D305),0,1)</f>
        <v>0</v>
      </c>
      <c r="D299" s="293" t="str">
        <f>IF(AND(Autovalutazione!D305="",Autovalutazione!E305=""),"*","")</f>
        <v>*</v>
      </c>
      <c r="E299" s="39" t="str">
        <f>IF(ISBLANK(Autovalutazione!F305),"",Autovalutazione!F305)</f>
        <v/>
      </c>
      <c r="F299" s="235"/>
      <c r="G299" s="235"/>
      <c r="H299" s="235"/>
      <c r="I299" s="235"/>
      <c r="J299" s="235"/>
      <c r="K299" s="235"/>
      <c r="L299" s="229"/>
      <c r="M299" s="37">
        <v>1</v>
      </c>
      <c r="N299" s="27"/>
      <c r="O299" s="28">
        <f t="shared" si="49"/>
        <v>0</v>
      </c>
      <c r="P299" s="43">
        <f t="shared" si="50"/>
        <v>0</v>
      </c>
      <c r="Q299" s="36"/>
      <c r="R299" s="27"/>
    </row>
    <row r="300" spans="1:18" ht="26.4" x14ac:dyDescent="0.3">
      <c r="A300" s="3" t="str">
        <f>Autovalutazione!A306</f>
        <v>4.5.3.</v>
      </c>
      <c r="B300" s="6" t="str">
        <f>Autovalutazione!C306</f>
        <v>Ci sono direttive interne sulla manutenzione delle attrezzature di lavoro?</v>
      </c>
      <c r="C300" s="38">
        <f>IF(ISBLANK(Autovalutazione!D306),0,1)</f>
        <v>0</v>
      </c>
      <c r="D300" s="293" t="str">
        <f>IF(AND(Autovalutazione!D306="",Autovalutazione!E306=""),"*","")</f>
        <v>*</v>
      </c>
      <c r="E300" s="39" t="str">
        <f>IF(ISBLANK(Autovalutazione!F306),"",Autovalutazione!F306)</f>
        <v/>
      </c>
      <c r="F300" s="235"/>
      <c r="G300" s="235"/>
      <c r="H300" s="235"/>
      <c r="I300" s="235"/>
      <c r="J300" s="235"/>
      <c r="K300" s="235"/>
      <c r="L300" s="229"/>
      <c r="M300" s="37">
        <v>1</v>
      </c>
      <c r="N300" s="27"/>
      <c r="O300" s="28">
        <f t="shared" si="49"/>
        <v>0</v>
      </c>
      <c r="P300" s="43">
        <f t="shared" si="50"/>
        <v>0</v>
      </c>
      <c r="Q300" s="36"/>
      <c r="R300" s="27"/>
    </row>
    <row r="301" spans="1:18" ht="26.4" x14ac:dyDescent="0.3">
      <c r="A301" s="3" t="str">
        <f>Autovalutazione!A307</f>
        <v>4.5.4.</v>
      </c>
      <c r="B301" s="6" t="str">
        <f>Autovalutazione!C307</f>
        <v>Durante la manutenzione ci si attiene alle indicazioni del fabbricante e del fornitore (o alle direttive interne)?</v>
      </c>
      <c r="C301" s="38">
        <f>IF(ISBLANK(Autovalutazione!D307),0,1)</f>
        <v>0</v>
      </c>
      <c r="D301" s="293" t="str">
        <f>IF(AND(Autovalutazione!D307="",Autovalutazione!E307=""),"*","")</f>
        <v>*</v>
      </c>
      <c r="E301" s="39" t="str">
        <f>IF(ISBLANK(Autovalutazione!F307),"",Autovalutazione!F307)</f>
        <v/>
      </c>
      <c r="F301" s="235"/>
      <c r="G301" s="235"/>
      <c r="H301" s="235"/>
      <c r="I301" s="235"/>
      <c r="J301" s="235"/>
      <c r="K301" s="235"/>
      <c r="L301" s="229"/>
      <c r="M301" s="37">
        <v>1</v>
      </c>
      <c r="N301" s="27"/>
      <c r="O301" s="28">
        <f t="shared" si="49"/>
        <v>0</v>
      </c>
      <c r="P301" s="43">
        <f t="shared" si="50"/>
        <v>0</v>
      </c>
      <c r="Q301" s="36"/>
      <c r="R301" s="27"/>
    </row>
    <row r="302" spans="1:18" ht="26.4" x14ac:dyDescent="0.3">
      <c r="A302" s="3" t="str">
        <f>Autovalutazione!A308</f>
        <v>4.5.5.</v>
      </c>
      <c r="B302" s="6" t="str">
        <f>Autovalutazione!C308</f>
        <v>Gli interventi di manutenzione vengono pianificati (programma) e discussi con i diretti interessati?</v>
      </c>
      <c r="C302" s="38">
        <f>IF(ISBLANK(Autovalutazione!D308),0,1)</f>
        <v>0</v>
      </c>
      <c r="D302" s="293" t="str">
        <f>IF(AND(Autovalutazione!D308="",Autovalutazione!E308=""),"*","")</f>
        <v>*</v>
      </c>
      <c r="E302" s="39" t="str">
        <f>IF(ISBLANK(Autovalutazione!F308),"",Autovalutazione!F308)</f>
        <v/>
      </c>
      <c r="F302" s="235"/>
      <c r="G302" s="235"/>
      <c r="H302" s="235"/>
      <c r="I302" s="235"/>
      <c r="J302" s="235"/>
      <c r="K302" s="235"/>
      <c r="L302" s="229"/>
      <c r="M302" s="37">
        <v>1</v>
      </c>
      <c r="N302" s="27"/>
      <c r="O302" s="28">
        <f t="shared" si="49"/>
        <v>0</v>
      </c>
      <c r="P302" s="43">
        <f t="shared" si="50"/>
        <v>0</v>
      </c>
      <c r="Q302" s="36"/>
      <c r="R302" s="27"/>
    </row>
    <row r="303" spans="1:18" ht="26.4" x14ac:dyDescent="0.3">
      <c r="A303" s="3" t="str">
        <f>Autovalutazione!A309</f>
        <v>4.5.6.</v>
      </c>
      <c r="B303" s="6" t="str">
        <f>Autovalutazione!C309</f>
        <v>Dopo la manutenzione, l'autorizzazione all'uso delle attrezzature avviene secondo regole ben precise?</v>
      </c>
      <c r="C303" s="38">
        <f>IF(ISBLANK(Autovalutazione!D309),0,1)</f>
        <v>0</v>
      </c>
      <c r="D303" s="293" t="str">
        <f>IF(AND(Autovalutazione!D309="",Autovalutazione!E309=""),"*","")</f>
        <v>*</v>
      </c>
      <c r="E303" s="39" t="str">
        <f>IF(ISBLANK(Autovalutazione!F309),"",Autovalutazione!F309)</f>
        <v/>
      </c>
      <c r="F303" s="237"/>
      <c r="G303" s="237"/>
      <c r="H303" s="237"/>
      <c r="I303" s="237"/>
      <c r="J303" s="237"/>
      <c r="K303" s="237"/>
      <c r="L303" s="229"/>
      <c r="M303" s="37">
        <v>1</v>
      </c>
      <c r="N303" s="27"/>
      <c r="O303" s="28">
        <f t="shared" si="49"/>
        <v>0</v>
      </c>
      <c r="P303" s="43">
        <f t="shared" si="50"/>
        <v>0</v>
      </c>
      <c r="Q303" s="36"/>
      <c r="R303" s="36"/>
    </row>
    <row r="304" spans="1:18" x14ac:dyDescent="0.3">
      <c r="A304" s="20" t="str">
        <f>Autovalutazione!A310</f>
        <v>4.6.</v>
      </c>
      <c r="B304" s="20" t="str">
        <f>Autovalutazione!B310</f>
        <v>Edifici e impianti</v>
      </c>
      <c r="C304" s="21">
        <f>O304/N304</f>
        <v>0</v>
      </c>
      <c r="D304" s="293" t="str">
        <f>IF(AND(Autovalutazione!D310="",Autovalutazione!E310=""),"*","")</f>
        <v>*</v>
      </c>
      <c r="E304" s="23" t="str">
        <f>IF(ISBLANK(Autovalutazione!F310),"",Autovalutazione!F310)</f>
        <v/>
      </c>
      <c r="F304" s="232"/>
      <c r="G304" s="232"/>
      <c r="H304" s="232"/>
      <c r="I304" s="232"/>
      <c r="J304" s="232"/>
      <c r="K304" s="232"/>
      <c r="L304" s="50">
        <f>P304/N304</f>
        <v>0</v>
      </c>
      <c r="M304" s="22">
        <v>1</v>
      </c>
      <c r="N304" s="22">
        <f>SUM(M305:M308)</f>
        <v>9</v>
      </c>
      <c r="O304" s="24">
        <f>SUM(O305:O308)</f>
        <v>0</v>
      </c>
      <c r="P304" s="24">
        <f>SUM(P305:P308)</f>
        <v>0</v>
      </c>
      <c r="Q304" s="52">
        <f>O304/$N304*$M304</f>
        <v>0</v>
      </c>
      <c r="R304" s="52">
        <f>P304/$N304*$M304</f>
        <v>0</v>
      </c>
    </row>
    <row r="305" spans="1:18" ht="26.4" x14ac:dyDescent="0.3">
      <c r="A305" s="3" t="str">
        <f>Autovalutazione!A311</f>
        <v>4.6.1.</v>
      </c>
      <c r="B305" s="6" t="str">
        <f>Autovalutazione!C311</f>
        <v>Nella vostra azienda c'è una specifica unità organizzativa che si occupa della manutenzione di edifici e impianti?</v>
      </c>
      <c r="C305" s="38">
        <f>IF(ISBLANK(Autovalutazione!D311),0,1)</f>
        <v>0</v>
      </c>
      <c r="D305" s="293" t="str">
        <f>IF(AND(Autovalutazione!D311="",Autovalutazione!E311=""),"*","")</f>
        <v>*</v>
      </c>
      <c r="E305" s="39" t="str">
        <f>IF(ISBLANK(Autovalutazione!F311),"",Autovalutazione!F311)</f>
        <v/>
      </c>
      <c r="F305" s="237"/>
      <c r="G305" s="237"/>
      <c r="H305" s="237"/>
      <c r="I305" s="237"/>
      <c r="J305" s="237"/>
      <c r="K305" s="237"/>
      <c r="L305" s="229"/>
      <c r="M305" s="37">
        <v>2</v>
      </c>
      <c r="N305" s="27"/>
      <c r="O305" s="28">
        <f>M305*C305</f>
        <v>0</v>
      </c>
      <c r="P305" s="43">
        <f t="shared" ref="P305:P308" si="51">L305*M305</f>
        <v>0</v>
      </c>
      <c r="Q305" s="36"/>
      <c r="R305" s="27"/>
    </row>
    <row r="306" spans="1:18" ht="26.4" x14ac:dyDescent="0.3">
      <c r="A306" s="3" t="str">
        <f>Autovalutazione!A312</f>
        <v>4.6.2.</v>
      </c>
      <c r="B306" s="6" t="str">
        <f>Autovalutazione!C312</f>
        <v>Sono stati identificati e documentati i pericoli associati alla manutenzione di edifici e impianti?</v>
      </c>
      <c r="C306" s="38">
        <f>IF(ISBLANK(Autovalutazione!D312),0,1)</f>
        <v>0</v>
      </c>
      <c r="D306" s="293" t="str">
        <f>IF(AND(Autovalutazione!D312="",Autovalutazione!E312=""),"*","")</f>
        <v>*</v>
      </c>
      <c r="E306" s="39" t="str">
        <f>IF(ISBLANK(Autovalutazione!F312),"",Autovalutazione!F312)</f>
        <v/>
      </c>
      <c r="F306" s="237"/>
      <c r="G306" s="237"/>
      <c r="H306" s="237"/>
      <c r="I306" s="237"/>
      <c r="J306" s="237"/>
      <c r="K306" s="237"/>
      <c r="L306" s="229"/>
      <c r="M306" s="37">
        <v>3</v>
      </c>
      <c r="N306" s="27"/>
      <c r="O306" s="28">
        <f>M306*C306</f>
        <v>0</v>
      </c>
      <c r="P306" s="43">
        <f t="shared" si="51"/>
        <v>0</v>
      </c>
      <c r="Q306" s="36"/>
      <c r="R306" s="36"/>
    </row>
    <row r="307" spans="1:18" ht="39.6" x14ac:dyDescent="0.3">
      <c r="A307" s="3" t="str">
        <f>Autovalutazione!A313</f>
        <v>4.6.3.</v>
      </c>
      <c r="B307" s="6" t="str">
        <f>Autovalutazione!C313</f>
        <v xml:space="preserve">Esistono norme di sicurezza o regolamenti riguardanti la manutenzione di edifici e impianti? (Ad esempio sull'agibilità delle parti dell'impianto) </v>
      </c>
      <c r="C307" s="38">
        <f>IF(ISBLANK(Autovalutazione!D313),0,1)</f>
        <v>0</v>
      </c>
      <c r="D307" s="293" t="str">
        <f>IF(AND(Autovalutazione!D313="",Autovalutazione!E313=""),"*","")</f>
        <v>*</v>
      </c>
      <c r="E307" s="39" t="str">
        <f>IF(ISBLANK(Autovalutazione!F313),"",Autovalutazione!F313)</f>
        <v/>
      </c>
      <c r="F307" s="235"/>
      <c r="G307" s="235"/>
      <c r="H307" s="235"/>
      <c r="I307" s="235"/>
      <c r="J307" s="235"/>
      <c r="K307" s="235"/>
      <c r="L307" s="229"/>
      <c r="M307" s="37">
        <v>2</v>
      </c>
      <c r="N307" s="27"/>
      <c r="O307" s="28">
        <f>M307*C307</f>
        <v>0</v>
      </c>
      <c r="P307" s="43">
        <f t="shared" si="51"/>
        <v>0</v>
      </c>
      <c r="Q307" s="36"/>
      <c r="R307" s="27"/>
    </row>
    <row r="308" spans="1:18" ht="26.4" x14ac:dyDescent="0.3">
      <c r="A308" s="3" t="str">
        <f>Autovalutazione!A314</f>
        <v>4.6.4.</v>
      </c>
      <c r="B308" s="6" t="str">
        <f>Autovalutazione!C314</f>
        <v>Alcuni dipendenti della vostra azienda ricevono una formazione specifica sulla manutenzione di edifici e impianti?</v>
      </c>
      <c r="C308" s="38">
        <f>IF(ISBLANK(Autovalutazione!D314),0,1)</f>
        <v>0</v>
      </c>
      <c r="D308" s="293" t="str">
        <f>IF(AND(Autovalutazione!D314="",Autovalutazione!E314=""),"*","")</f>
        <v>*</v>
      </c>
      <c r="E308" s="39" t="str">
        <f>IF(ISBLANK(Autovalutazione!F314),"",Autovalutazione!F314)</f>
        <v/>
      </c>
      <c r="F308" s="237"/>
      <c r="G308" s="237"/>
      <c r="H308" s="237"/>
      <c r="I308" s="237"/>
      <c r="J308" s="237"/>
      <c r="K308" s="237"/>
      <c r="L308" s="229"/>
      <c r="M308" s="37">
        <v>2</v>
      </c>
      <c r="N308" s="27"/>
      <c r="O308" s="28">
        <f>M308*C308</f>
        <v>0</v>
      </c>
      <c r="P308" s="43">
        <f t="shared" si="51"/>
        <v>0</v>
      </c>
      <c r="Q308" s="36"/>
      <c r="R308" s="36"/>
    </row>
    <row r="309" spans="1:18" x14ac:dyDescent="0.3">
      <c r="A309" s="20" t="str">
        <f>Autovalutazione!A315</f>
        <v>4.7.</v>
      </c>
      <c r="B309" s="20" t="str">
        <f>Autovalutazione!B315</f>
        <v>Acquisto di attrezzature di lavoro</v>
      </c>
      <c r="C309" s="21">
        <f>O309/N309</f>
        <v>0</v>
      </c>
      <c r="D309" s="293" t="str">
        <f>IF(AND(Autovalutazione!D315="",Autovalutazione!E315=""),"*","")</f>
        <v>*</v>
      </c>
      <c r="E309" s="23" t="str">
        <f>IF(ISBLANK(Autovalutazione!F315),"",Autovalutazione!F315)</f>
        <v/>
      </c>
      <c r="F309" s="232"/>
      <c r="G309" s="232"/>
      <c r="H309" s="232"/>
      <c r="I309" s="232"/>
      <c r="J309" s="232"/>
      <c r="K309" s="232"/>
      <c r="L309" s="50">
        <f>P309/N309</f>
        <v>0</v>
      </c>
      <c r="M309" s="22">
        <v>2</v>
      </c>
      <c r="N309" s="22">
        <f>SUM(M310:M316)</f>
        <v>13</v>
      </c>
      <c r="O309" s="24">
        <f>SUM(O310:O316)</f>
        <v>0</v>
      </c>
      <c r="P309" s="24">
        <f>SUM(P310:P316)</f>
        <v>0</v>
      </c>
      <c r="Q309" s="52">
        <f>O309/$N309*$M309</f>
        <v>0</v>
      </c>
      <c r="R309" s="52">
        <f>P309/$N309*$M309</f>
        <v>0</v>
      </c>
    </row>
    <row r="310" spans="1:18" ht="26.4" x14ac:dyDescent="0.3">
      <c r="A310" s="3" t="str">
        <f>Autovalutazione!A316</f>
        <v>4.7.1.</v>
      </c>
      <c r="B310" s="6" t="str">
        <f>Autovalutazione!C316</f>
        <v>Al momento dell'acquisto delle attrezzature di lavoro si tiene conto della sicurezza sul piano tecnico?</v>
      </c>
      <c r="C310" s="38">
        <f>IF(ISBLANK(Autovalutazione!D316),0,1)</f>
        <v>0</v>
      </c>
      <c r="D310" s="293" t="str">
        <f>IF(AND(Autovalutazione!D316="",Autovalutazione!E316=""),"*","")</f>
        <v>*</v>
      </c>
      <c r="E310" s="39" t="str">
        <f>IF(ISBLANK(Autovalutazione!F316),"",Autovalutazione!F316)</f>
        <v/>
      </c>
      <c r="F310" s="237"/>
      <c r="G310" s="237"/>
      <c r="H310" s="237"/>
      <c r="I310" s="237"/>
      <c r="J310" s="237"/>
      <c r="K310" s="237"/>
      <c r="L310" s="229"/>
      <c r="M310" s="37">
        <v>3</v>
      </c>
      <c r="N310" s="27"/>
      <c r="O310" s="28">
        <f t="shared" ref="O310:O316" si="52">C310*M310</f>
        <v>0</v>
      </c>
      <c r="P310" s="43">
        <f t="shared" ref="P310:P316" si="53">L310*M310</f>
        <v>0</v>
      </c>
      <c r="Q310" s="36"/>
      <c r="R310" s="27"/>
    </row>
    <row r="311" spans="1:18" ht="39.6" x14ac:dyDescent="0.3">
      <c r="A311" s="3" t="str">
        <f>Autovalutazione!A317</f>
        <v>4.7.2.</v>
      </c>
      <c r="B311" s="6" t="str">
        <f>Autovalutazione!C317</f>
        <v>Ai fini dell'acquisto vi servite di liste di controllo, elenchi di parole chiave o direttive interne per valutare la sicurezza del prodotto da acquistare?</v>
      </c>
      <c r="C311" s="38">
        <f>IF(ISBLANK(Autovalutazione!D317),0,1)</f>
        <v>0</v>
      </c>
      <c r="D311" s="293" t="str">
        <f>IF(AND(Autovalutazione!D317="",Autovalutazione!E317=""),"*","")</f>
        <v>*</v>
      </c>
      <c r="E311" s="39" t="str">
        <f>IF(ISBLANK(Autovalutazione!F317),"",Autovalutazione!F317)</f>
        <v/>
      </c>
      <c r="F311" s="235"/>
      <c r="G311" s="235"/>
      <c r="H311" s="235"/>
      <c r="I311" s="235"/>
      <c r="J311" s="235"/>
      <c r="K311" s="235"/>
      <c r="L311" s="229"/>
      <c r="M311" s="37">
        <v>1</v>
      </c>
      <c r="N311" s="27"/>
      <c r="O311" s="28">
        <f t="shared" si="52"/>
        <v>0</v>
      </c>
      <c r="P311" s="43">
        <f t="shared" si="53"/>
        <v>0</v>
      </c>
      <c r="Q311" s="36"/>
      <c r="R311" s="27"/>
    </row>
    <row r="312" spans="1:18" ht="39.6" x14ac:dyDescent="0.3">
      <c r="A312" s="3" t="str">
        <f>Autovalutazione!A318</f>
        <v>4.7.3.</v>
      </c>
      <c r="B312" s="6" t="str">
        <f>Autovalutazione!C318</f>
        <v>Si verifica che le attrezzatura di lavoro, gli impianti, i materiali e le sostanze pericolose siano sicuri prima che questi vengano utilizati dai dipendenti?</v>
      </c>
      <c r="C312" s="38">
        <f>IF(ISBLANK(Autovalutazione!D318),0,1)</f>
        <v>0</v>
      </c>
      <c r="D312" s="293" t="str">
        <f>IF(AND(Autovalutazione!D318="",Autovalutazione!E318=""),"*","")</f>
        <v>*</v>
      </c>
      <c r="E312" s="39" t="str">
        <f>IF(ISBLANK(Autovalutazione!F318),"",Autovalutazione!F318)</f>
        <v/>
      </c>
      <c r="F312" s="235"/>
      <c r="G312" s="235"/>
      <c r="H312" s="235"/>
      <c r="I312" s="235"/>
      <c r="J312" s="235"/>
      <c r="K312" s="235"/>
      <c r="L312" s="229"/>
      <c r="M312" s="37">
        <v>1</v>
      </c>
      <c r="N312" s="27"/>
      <c r="O312" s="28">
        <f t="shared" si="52"/>
        <v>0</v>
      </c>
      <c r="P312" s="43">
        <f t="shared" ref="P312:P313" si="54">L312*M312</f>
        <v>0</v>
      </c>
      <c r="Q312" s="36"/>
      <c r="R312" s="27"/>
    </row>
    <row r="313" spans="1:18" ht="39.6" x14ac:dyDescent="0.3">
      <c r="A313" s="3" t="str">
        <f>Autovalutazione!A319</f>
        <v>4.7.4.</v>
      </c>
      <c r="B313" s="6" t="str">
        <f>Autovalutazione!C319</f>
        <v xml:space="preserve">La verifica delle attrezzature di lavoro, degli impianti, dei materiali e dlele sostanze pericolose prima dell'impiego da parte dei dipendenti viene documentata? </v>
      </c>
      <c r="C313" s="38">
        <f>IF(ISBLANK(Autovalutazione!D319),0,1)</f>
        <v>0</v>
      </c>
      <c r="D313" s="293" t="str">
        <f>IF(AND(Autovalutazione!D319="",Autovalutazione!E319=""),"*","")</f>
        <v>*</v>
      </c>
      <c r="E313" s="39" t="str">
        <f>IF(ISBLANK(Autovalutazione!F319),"",Autovalutazione!F319)</f>
        <v/>
      </c>
      <c r="F313" s="235"/>
      <c r="G313" s="235"/>
      <c r="H313" s="235"/>
      <c r="I313" s="235"/>
      <c r="J313" s="235"/>
      <c r="K313" s="235"/>
      <c r="L313" s="229"/>
      <c r="M313" s="37">
        <v>1</v>
      </c>
      <c r="N313" s="27"/>
      <c r="O313" s="28">
        <f t="shared" si="52"/>
        <v>0</v>
      </c>
      <c r="P313" s="43">
        <f t="shared" si="54"/>
        <v>0</v>
      </c>
      <c r="Q313" s="36"/>
      <c r="R313" s="27"/>
    </row>
    <row r="314" spans="1:18" ht="38.25" customHeight="1" x14ac:dyDescent="0.3">
      <c r="A314" s="3" t="str">
        <f>Autovalutazione!A320</f>
        <v>4.7.5.</v>
      </c>
      <c r="B314" s="6" t="str">
        <f>Autovalutazione!C320</f>
        <v>Al momento dell'offerta chiedete al fornitore di darvi le specifiche tecniche, i rapporti di prova, eventuali certificati o referenze?</v>
      </c>
      <c r="C314" s="38">
        <f>IF(ISBLANK(Autovalutazione!D320),0,1)</f>
        <v>0</v>
      </c>
      <c r="D314" s="293" t="str">
        <f>IF(AND(Autovalutazione!D320="",Autovalutazione!E320=""),"*","")</f>
        <v>*</v>
      </c>
      <c r="E314" s="39" t="str">
        <f>IF(ISBLANK(Autovalutazione!F320),"",Autovalutazione!F320)</f>
        <v/>
      </c>
      <c r="F314" s="235"/>
      <c r="G314" s="235"/>
      <c r="H314" s="235"/>
      <c r="I314" s="235"/>
      <c r="J314" s="235"/>
      <c r="K314" s="235"/>
      <c r="L314" s="229"/>
      <c r="M314" s="37">
        <v>1</v>
      </c>
      <c r="N314" s="27"/>
      <c r="O314" s="28">
        <f t="shared" si="52"/>
        <v>0</v>
      </c>
      <c r="P314" s="43">
        <f t="shared" si="53"/>
        <v>0</v>
      </c>
      <c r="Q314" s="36"/>
      <c r="R314" s="27"/>
    </row>
    <row r="315" spans="1:18" ht="52.8" x14ac:dyDescent="0.3">
      <c r="A315" s="3" t="str">
        <f>Autovalutazione!A321</f>
        <v>4.7.6.</v>
      </c>
      <c r="B315" s="6" t="str">
        <f>Autovalutazione!C321</f>
        <v>Chiedete al fornitore una dichiarazione di conformità o una dichiarazione di incorporazione secondo l'OMacch*?
* Omacch; Ordinanza concernente la sicurezza delle macchine</v>
      </c>
      <c r="C315" s="38">
        <f>IF(ISBLANK(Autovalutazione!D321),0,1)</f>
        <v>0</v>
      </c>
      <c r="D315" s="293" t="str">
        <f>IF(AND(Autovalutazione!D321="",Autovalutazione!E321=""),"*","")</f>
        <v>*</v>
      </c>
      <c r="E315" s="39" t="str">
        <f>IF(ISBLANK(Autovalutazione!F321),"",Autovalutazione!F321)</f>
        <v/>
      </c>
      <c r="F315" s="235"/>
      <c r="G315" s="235"/>
      <c r="H315" s="235"/>
      <c r="I315" s="235"/>
      <c r="J315" s="235"/>
      <c r="K315" s="235"/>
      <c r="L315" s="229"/>
      <c r="M315" s="37">
        <v>3</v>
      </c>
      <c r="N315" s="27"/>
      <c r="O315" s="28">
        <f t="shared" si="52"/>
        <v>0</v>
      </c>
      <c r="P315" s="43">
        <f t="shared" si="53"/>
        <v>0</v>
      </c>
      <c r="Q315" s="36"/>
      <c r="R315" s="27"/>
    </row>
    <row r="316" spans="1:18" ht="26.4" x14ac:dyDescent="0.3">
      <c r="A316" s="3" t="str">
        <f>Autovalutazione!A322</f>
        <v>4.7.7.</v>
      </c>
      <c r="B316" s="6" t="str">
        <f>Autovalutazione!C322</f>
        <v>Si verifica che la dichiarazione di conformità sia completa e la si archivia?</v>
      </c>
      <c r="C316" s="38">
        <f>IF(ISBLANK(Autovalutazione!D322),0,1)</f>
        <v>0</v>
      </c>
      <c r="D316" s="293" t="str">
        <f>IF(AND(Autovalutazione!D322="",Autovalutazione!E322=""),"*","")</f>
        <v>*</v>
      </c>
      <c r="E316" s="39" t="str">
        <f>IF(ISBLANK(Autovalutazione!F322),"",Autovalutazione!F322)</f>
        <v/>
      </c>
      <c r="F316" s="235"/>
      <c r="G316" s="235"/>
      <c r="H316" s="235"/>
      <c r="I316" s="235"/>
      <c r="J316" s="235"/>
      <c r="K316" s="235"/>
      <c r="L316" s="229"/>
      <c r="M316" s="37">
        <v>3</v>
      </c>
      <c r="N316" s="27"/>
      <c r="O316" s="28">
        <f t="shared" si="52"/>
        <v>0</v>
      </c>
      <c r="P316" s="43">
        <f t="shared" si="53"/>
        <v>0</v>
      </c>
      <c r="Q316" s="36"/>
      <c r="R316" s="27"/>
    </row>
    <row r="317" spans="1:18" x14ac:dyDescent="0.3">
      <c r="A317" s="20" t="s">
        <v>1563</v>
      </c>
      <c r="B317" s="20" t="s">
        <v>1564</v>
      </c>
      <c r="C317" s="21">
        <f>O317/N317</f>
        <v>1</v>
      </c>
      <c r="D317" s="23"/>
      <c r="E317" s="23" t="str">
        <f>IF(ISBLANK(Autovalutazione!F323),"",Autovalutazione!F323)</f>
        <v/>
      </c>
      <c r="F317" s="232"/>
      <c r="G317" s="232"/>
      <c r="H317" s="232"/>
      <c r="I317" s="232"/>
      <c r="J317" s="232"/>
      <c r="K317" s="232"/>
      <c r="L317" s="50">
        <f>P317/N317</f>
        <v>0</v>
      </c>
      <c r="M317" s="22">
        <v>10</v>
      </c>
      <c r="N317" s="22">
        <f>M318</f>
        <v>5</v>
      </c>
      <c r="O317" s="24">
        <f>O318</f>
        <v>5</v>
      </c>
      <c r="P317" s="24">
        <f>P318</f>
        <v>0</v>
      </c>
      <c r="Q317" s="52">
        <f>O317/$N317*$M317</f>
        <v>10</v>
      </c>
      <c r="R317" s="52">
        <f>P317/$N317*$M317</f>
        <v>0</v>
      </c>
    </row>
    <row r="318" spans="1:18" x14ac:dyDescent="0.3">
      <c r="A318" s="3" t="s">
        <v>1565</v>
      </c>
      <c r="B318" s="6" t="s">
        <v>1566</v>
      </c>
      <c r="C318" s="38">
        <v>1</v>
      </c>
      <c r="D318" s="293" t="str">
        <f>IF(AND(Autovalutazione!D324="",Autovalutazione!E324=""),"*","")</f>
        <v>*</v>
      </c>
      <c r="E318" s="39" t="str">
        <f>IF(ISBLANK(Autovalutazione!F324),"",Autovalutazione!F324)</f>
        <v/>
      </c>
      <c r="F318" s="237"/>
      <c r="G318" s="237"/>
      <c r="H318" s="237"/>
      <c r="I318" s="237"/>
      <c r="J318" s="237"/>
      <c r="K318" s="237"/>
      <c r="L318" s="229"/>
      <c r="M318" s="37">
        <v>5</v>
      </c>
      <c r="N318" s="27"/>
      <c r="O318" s="28">
        <f>C318*M318</f>
        <v>5</v>
      </c>
      <c r="P318" s="43">
        <f t="shared" ref="P318" si="55">L318*M318</f>
        <v>0</v>
      </c>
      <c r="Q318" s="36"/>
      <c r="R318" s="27"/>
    </row>
    <row r="319" spans="1:18" x14ac:dyDescent="0.3">
      <c r="A319" s="34" t="str">
        <f>Autovalutazione!A324</f>
        <v>5.</v>
      </c>
      <c r="B319" s="7" t="str">
        <f>Autovalutazione!B324</f>
        <v>Individuazione dei pericoli, valutazione dei  rischi</v>
      </c>
      <c r="C319" s="30">
        <f>O319/N319</f>
        <v>3.4090909090909088E-2</v>
      </c>
      <c r="D319" s="18"/>
      <c r="E319" s="18"/>
      <c r="F319" s="18"/>
      <c r="G319" s="18"/>
      <c r="H319" s="18"/>
      <c r="I319" s="18"/>
      <c r="J319" s="18"/>
      <c r="K319" s="18"/>
      <c r="L319" s="231">
        <f>P319/N319</f>
        <v>3.4090909090909088E-2</v>
      </c>
      <c r="M319" s="5"/>
      <c r="N319" s="5">
        <f>SUM(M320,M326,M340,M350)</f>
        <v>11</v>
      </c>
      <c r="O319" s="48">
        <f>SUM(Q320:Q367)</f>
        <v>0.375</v>
      </c>
      <c r="P319" s="48">
        <f>SUM(R320:R367)</f>
        <v>0.375</v>
      </c>
      <c r="Q319" s="35"/>
      <c r="R319" s="35"/>
    </row>
    <row r="320" spans="1:18" x14ac:dyDescent="0.3">
      <c r="A320" s="20" t="str">
        <f>Autovalutazione!A326</f>
        <v>5.1.</v>
      </c>
      <c r="B320" s="20" t="str">
        <f>Autovalutazione!B326</f>
        <v>Ricorso (secondo la direttiva CFSL 6508)</v>
      </c>
      <c r="C320" s="21">
        <f>O320/N320</f>
        <v>0</v>
      </c>
      <c r="D320" s="23"/>
      <c r="E320" s="23"/>
      <c r="F320" s="232"/>
      <c r="G320" s="232"/>
      <c r="H320" s="232"/>
      <c r="I320" s="232"/>
      <c r="J320" s="232"/>
      <c r="K320" s="232"/>
      <c r="L320" s="50">
        <f>P320/N320</f>
        <v>0</v>
      </c>
      <c r="M320" s="22">
        <v>1</v>
      </c>
      <c r="N320" s="46">
        <f>MAX(M321:M325)</f>
        <v>1</v>
      </c>
      <c r="O320" s="42">
        <f>MAX(O321:O325)</f>
        <v>0</v>
      </c>
      <c r="P320" s="42">
        <f>MAX(P321:P325)</f>
        <v>0</v>
      </c>
      <c r="Q320" s="52">
        <f>O320/N320*M320</f>
        <v>0</v>
      </c>
      <c r="R320" s="52">
        <f>P320/N320*$M320</f>
        <v>0</v>
      </c>
    </row>
    <row r="321" spans="1:18" ht="99" customHeight="1" x14ac:dyDescent="0.3">
      <c r="A321" s="3" t="str">
        <f>Autovalutazione!A327</f>
        <v>5.1.1.a</v>
      </c>
      <c r="B321" s="6" t="str">
        <f>Autovalutazione!C327</f>
        <v>Come avete disciplinato il ricorso ai medici del lavoro e agli altri specialisti della sicurezza sul lavoro:
Soluzione interna? 
Se sì, indicare il nome dei medici del lavoro competenti e degli specialisti nel documento „Figure chiave per la sicurezza sul lavoro“.</v>
      </c>
      <c r="C321" s="38">
        <f>IF(ISBLANK(Autovalutazione!D327),0,1)</f>
        <v>0</v>
      </c>
      <c r="D321" s="293" t="str">
        <f>IF(AND(Autovalutazione!D327="",Autovalutazione!E327=""),"*","")</f>
        <v>*</v>
      </c>
      <c r="E321" s="39" t="str">
        <f>IF(ISBLANK(Autovalutazione!F327),"",Autovalutazione!F327)</f>
        <v/>
      </c>
      <c r="F321" s="237"/>
      <c r="G321" s="237"/>
      <c r="H321" s="237"/>
      <c r="I321" s="237"/>
      <c r="J321" s="237"/>
      <c r="K321" s="237"/>
      <c r="L321" s="229"/>
      <c r="M321" s="37">
        <v>1</v>
      </c>
      <c r="N321" s="27"/>
      <c r="O321" s="28">
        <f>M321*C321</f>
        <v>0</v>
      </c>
      <c r="P321" s="43">
        <f t="shared" ref="P321:P325" si="56">L321*M321</f>
        <v>0</v>
      </c>
      <c r="Q321" s="36"/>
      <c r="R321" s="27"/>
    </row>
    <row r="322" spans="1:18" ht="26.4" x14ac:dyDescent="0.3">
      <c r="A322" s="3" t="str">
        <f>Autovalutazione!A328</f>
        <v>5.1.1.b</v>
      </c>
      <c r="B322" s="6" t="str">
        <f>Autovalutazione!C328</f>
        <v>Adesione a una soluzione settoriale? Se sì, nome della soluzione.</v>
      </c>
      <c r="C322" s="38">
        <f>IF(ISBLANK(Autovalutazione!D328),0,1)</f>
        <v>0</v>
      </c>
      <c r="D322" s="293" t="str">
        <f>IF(AND(Autovalutazione!D328="",Autovalutazione!E328=""),"*","")</f>
        <v>*</v>
      </c>
      <c r="E322" s="39" t="str">
        <f>IF(ISBLANK(Autovalutazione!F328),"",Autovalutazione!F328)</f>
        <v/>
      </c>
      <c r="F322" s="235"/>
      <c r="G322" s="235"/>
      <c r="H322" s="235"/>
      <c r="I322" s="235"/>
      <c r="J322" s="235"/>
      <c r="K322" s="235"/>
      <c r="L322" s="229"/>
      <c r="M322" s="37">
        <v>1</v>
      </c>
      <c r="N322" s="27"/>
      <c r="O322" s="28">
        <f>M322*C322</f>
        <v>0</v>
      </c>
      <c r="P322" s="43">
        <f t="shared" si="56"/>
        <v>0</v>
      </c>
      <c r="Q322" s="36"/>
      <c r="R322" s="27"/>
    </row>
    <row r="323" spans="1:18" ht="26.4" x14ac:dyDescent="0.3">
      <c r="A323" s="3" t="str">
        <f>Autovalutazione!A329</f>
        <v>5.1.1.c</v>
      </c>
      <c r="B323" s="6" t="str">
        <f>Autovalutazione!C329</f>
        <v>Adesione a una soluzione per gruppi di aziende? Se sì, nome della soluzione.</v>
      </c>
      <c r="C323" s="38">
        <f>IF(ISBLANK(Autovalutazione!D329),0,1)</f>
        <v>0</v>
      </c>
      <c r="D323" s="293" t="str">
        <f>IF(AND(Autovalutazione!D329="",Autovalutazione!E329=""),"*","")</f>
        <v>*</v>
      </c>
      <c r="E323" s="39" t="str">
        <f>IF(ISBLANK(Autovalutazione!F329),"",Autovalutazione!F329)</f>
        <v/>
      </c>
      <c r="F323" s="235"/>
      <c r="G323" s="235"/>
      <c r="H323" s="235"/>
      <c r="I323" s="235"/>
      <c r="J323" s="235"/>
      <c r="K323" s="235"/>
      <c r="L323" s="229"/>
      <c r="M323" s="37">
        <v>1</v>
      </c>
      <c r="N323" s="27"/>
      <c r="O323" s="28">
        <f>M323*C323</f>
        <v>0</v>
      </c>
      <c r="P323" s="43">
        <f t="shared" si="56"/>
        <v>0</v>
      </c>
      <c r="Q323" s="36"/>
      <c r="R323" s="27"/>
    </row>
    <row r="324" spans="1:18" ht="26.4" x14ac:dyDescent="0.3">
      <c r="A324" s="3" t="str">
        <f>Autovalutazione!A330</f>
        <v>5.1.1.d</v>
      </c>
      <c r="B324" s="6" t="str">
        <f>Autovalutazione!C330</f>
        <v>Adesione a una soluzione modello? Se sì, nome della soluzione.</v>
      </c>
      <c r="C324" s="38">
        <f>IF(ISBLANK(Autovalutazione!D330),0,1)</f>
        <v>0</v>
      </c>
      <c r="D324" s="293" t="str">
        <f>IF(AND(Autovalutazione!D330="",Autovalutazione!E330=""),"*","")</f>
        <v>*</v>
      </c>
      <c r="E324" s="39" t="str">
        <f>IF(ISBLANK(Autovalutazione!F330),"",Autovalutazione!F330)</f>
        <v/>
      </c>
      <c r="F324" s="235"/>
      <c r="G324" s="235"/>
      <c r="H324" s="235"/>
      <c r="I324" s="235"/>
      <c r="J324" s="235"/>
      <c r="K324" s="235"/>
      <c r="L324" s="229"/>
      <c r="M324" s="37">
        <v>1</v>
      </c>
      <c r="N324" s="27"/>
      <c r="O324" s="28">
        <f>M324*C324</f>
        <v>0</v>
      </c>
      <c r="P324" s="43">
        <f t="shared" si="56"/>
        <v>0</v>
      </c>
      <c r="Q324" s="36"/>
      <c r="R324" s="27"/>
    </row>
    <row r="325" spans="1:18" x14ac:dyDescent="0.3">
      <c r="A325" s="3" t="str">
        <f>Autovalutazione!A331</f>
        <v>5.1.1.e</v>
      </c>
      <c r="B325" s="6" t="str">
        <f>Autovalutazione!C331</f>
        <v>Altra soluzione? Se sì, specificare quale.</v>
      </c>
      <c r="C325" s="38">
        <f>IF(ISBLANK(Autovalutazione!D331),0,1)</f>
        <v>0</v>
      </c>
      <c r="D325" s="293" t="str">
        <f>IF(AND(Autovalutazione!D331="",Autovalutazione!E331=""),"*","")</f>
        <v>*</v>
      </c>
      <c r="E325" s="39" t="str">
        <f>IF(ISBLANK(Autovalutazione!F331),"",Autovalutazione!F331)</f>
        <v/>
      </c>
      <c r="F325" s="235"/>
      <c r="G325" s="235"/>
      <c r="H325" s="235"/>
      <c r="I325" s="235"/>
      <c r="J325" s="235"/>
      <c r="K325" s="235"/>
      <c r="L325" s="229"/>
      <c r="M325" s="37">
        <v>1</v>
      </c>
      <c r="N325" s="27"/>
      <c r="O325" s="28">
        <f>M325*C325</f>
        <v>0</v>
      </c>
      <c r="P325" s="43">
        <f t="shared" si="56"/>
        <v>0</v>
      </c>
      <c r="Q325" s="36"/>
      <c r="R325" s="27"/>
    </row>
    <row r="326" spans="1:18" x14ac:dyDescent="0.3">
      <c r="A326" s="20" t="str">
        <f>Autovalutazione!A332</f>
        <v>5.2.</v>
      </c>
      <c r="B326" s="20" t="str">
        <f>Autovalutazione!B332</f>
        <v>Individuazione dei pericoli</v>
      </c>
      <c r="C326" s="21">
        <f>O326/N326</f>
        <v>0</v>
      </c>
      <c r="D326" s="23" t="str">
        <f>IF(ISBLANK(Autovalutazione!E332),"",Autovalutazione!E332)</f>
        <v/>
      </c>
      <c r="E326" s="23" t="str">
        <f>IF(ISBLANK(Autovalutazione!F332),"",Autovalutazione!F332)</f>
        <v/>
      </c>
      <c r="F326" s="232"/>
      <c r="G326" s="232"/>
      <c r="H326" s="232"/>
      <c r="I326" s="232"/>
      <c r="J326" s="232"/>
      <c r="K326" s="232"/>
      <c r="L326" s="50">
        <f>P326/N326</f>
        <v>0</v>
      </c>
      <c r="M326" s="22">
        <v>3</v>
      </c>
      <c r="N326" s="22">
        <f>SUM(M327:M339)</f>
        <v>16</v>
      </c>
      <c r="O326" s="24">
        <f>SUM(O327:O339)</f>
        <v>0</v>
      </c>
      <c r="P326" s="24">
        <f>SUM(P327:P339)</f>
        <v>0</v>
      </c>
      <c r="Q326" s="52">
        <f>O326/$N326*$M326</f>
        <v>0</v>
      </c>
      <c r="R326" s="52">
        <f>P326/$N326*$M326</f>
        <v>0</v>
      </c>
    </row>
    <row r="327" spans="1:18" ht="26.4" x14ac:dyDescent="0.3">
      <c r="A327" s="3" t="str">
        <f>Autovalutazione!A333</f>
        <v>5.2.1.</v>
      </c>
      <c r="B327" s="6" t="str">
        <f>Autovalutazione!C333</f>
        <v>Sono stati identificati e documentati i pericoli per la sicurezza e la salute dei lavoratori? Se sì, con quali metodi?</v>
      </c>
      <c r="C327" s="38">
        <f>IF(ISBLANK(Autovalutazione!D333),0,1)</f>
        <v>0</v>
      </c>
      <c r="D327" s="293" t="str">
        <f>IF(AND(Autovalutazione!D333="",Autovalutazione!E333=""),"*","")</f>
        <v>*</v>
      </c>
      <c r="E327" s="39" t="str">
        <f>IF(ISBLANK(Autovalutazione!F333),"",Autovalutazione!F333)</f>
        <v/>
      </c>
      <c r="F327" s="235"/>
      <c r="G327" s="235"/>
      <c r="H327" s="235"/>
      <c r="I327" s="235"/>
      <c r="J327" s="235"/>
      <c r="K327" s="235"/>
      <c r="L327" s="229"/>
      <c r="M327" s="37">
        <v>3</v>
      </c>
      <c r="N327" s="27"/>
      <c r="O327" s="28">
        <f t="shared" ref="O327:O339" si="57">C327*M327</f>
        <v>0</v>
      </c>
      <c r="P327" s="43">
        <f t="shared" ref="P327:P339" si="58">L327*M327</f>
        <v>0</v>
      </c>
      <c r="Q327" s="36"/>
      <c r="R327" s="27"/>
    </row>
    <row r="328" spans="1:18" ht="26.4" x14ac:dyDescent="0.3">
      <c r="A328" s="3" t="str">
        <f>Autovalutazione!A334</f>
        <v>5.2.2.a</v>
      </c>
      <c r="B328" s="6" t="str">
        <f>Autovalutazione!C334</f>
        <v>Su quali aspetti si concentra l'individuazione dei pericoli:
Attrezzature di lavoro?</v>
      </c>
      <c r="C328" s="38">
        <f>IF(ISBLANK(Autovalutazione!D334),0,1)</f>
        <v>0</v>
      </c>
      <c r="D328" s="293" t="str">
        <f>IF(AND(Autovalutazione!D334="",Autovalutazione!E334=""),"*","")</f>
        <v>*</v>
      </c>
      <c r="E328" s="39" t="str">
        <f>IF(ISBLANK(Autovalutazione!F334),"",Autovalutazione!F334)</f>
        <v/>
      </c>
      <c r="F328" s="235"/>
      <c r="G328" s="235"/>
      <c r="H328" s="235"/>
      <c r="I328" s="235"/>
      <c r="J328" s="235"/>
      <c r="K328" s="235"/>
      <c r="L328" s="229"/>
      <c r="M328" s="37">
        <v>1</v>
      </c>
      <c r="N328" s="27"/>
      <c r="O328" s="28">
        <f t="shared" si="57"/>
        <v>0</v>
      </c>
      <c r="P328" s="43">
        <f t="shared" si="58"/>
        <v>0</v>
      </c>
      <c r="Q328" s="36"/>
      <c r="R328" s="27"/>
    </row>
    <row r="329" spans="1:18" x14ac:dyDescent="0.3">
      <c r="A329" s="3" t="str">
        <f>Autovalutazione!A335</f>
        <v>5.2.2.b</v>
      </c>
      <c r="B329" s="6" t="str">
        <f>Autovalutazione!C335</f>
        <v>Processi, procedure, metodi?</v>
      </c>
      <c r="C329" s="38">
        <f>IF(ISBLANK(Autovalutazione!D335),0,1)</f>
        <v>0</v>
      </c>
      <c r="D329" s="293" t="str">
        <f>IF(AND(Autovalutazione!D335="",Autovalutazione!E335=""),"*","")</f>
        <v>*</v>
      </c>
      <c r="E329" s="39" t="str">
        <f>IF(ISBLANK(Autovalutazione!F335),"",Autovalutazione!F335)</f>
        <v/>
      </c>
      <c r="F329" s="235"/>
      <c r="G329" s="235"/>
      <c r="H329" s="235"/>
      <c r="I329" s="235"/>
      <c r="J329" s="235"/>
      <c r="K329" s="235"/>
      <c r="L329" s="229"/>
      <c r="M329" s="37">
        <v>1</v>
      </c>
      <c r="N329" s="27"/>
      <c r="O329" s="28">
        <f t="shared" si="57"/>
        <v>0</v>
      </c>
      <c r="P329" s="43">
        <f t="shared" si="58"/>
        <v>0</v>
      </c>
      <c r="Q329" s="36"/>
      <c r="R329" s="27"/>
    </row>
    <row r="330" spans="1:18" x14ac:dyDescent="0.3">
      <c r="A330" s="3" t="str">
        <f>Autovalutazione!A336</f>
        <v>5.2.2.c</v>
      </c>
      <c r="B330" s="6" t="str">
        <f>Autovalutazione!C336</f>
        <v>Attività?</v>
      </c>
      <c r="C330" s="38">
        <f>IF(ISBLANK(Autovalutazione!D336),0,1)</f>
        <v>0</v>
      </c>
      <c r="D330" s="293" t="str">
        <f>IF(AND(Autovalutazione!D336="",Autovalutazione!E336=""),"*","")</f>
        <v>*</v>
      </c>
      <c r="E330" s="39" t="str">
        <f>IF(ISBLANK(Autovalutazione!F336),"",Autovalutazione!F336)</f>
        <v/>
      </c>
      <c r="F330" s="237"/>
      <c r="G330" s="237"/>
      <c r="H330" s="237"/>
      <c r="I330" s="237"/>
      <c r="J330" s="237"/>
      <c r="K330" s="237"/>
      <c r="L330" s="229"/>
      <c r="M330" s="37">
        <v>0</v>
      </c>
      <c r="N330" s="27"/>
      <c r="O330" s="28">
        <f t="shared" si="57"/>
        <v>0</v>
      </c>
      <c r="P330" s="43">
        <f t="shared" si="58"/>
        <v>0</v>
      </c>
      <c r="Q330" s="36"/>
      <c r="R330" s="36"/>
    </row>
    <row r="331" spans="1:18" x14ac:dyDescent="0.3">
      <c r="A331" s="3" t="str">
        <f>Autovalutazione!A337</f>
        <v>5.2.2.d</v>
      </c>
      <c r="B331" s="6" t="str">
        <f>Autovalutazione!C337</f>
        <v>Posti di lavoro?</v>
      </c>
      <c r="C331" s="38">
        <f>IF(ISBLANK(Autovalutazione!D337),0,1)</f>
        <v>0</v>
      </c>
      <c r="D331" s="293" t="str">
        <f>IF(AND(Autovalutazione!D337="",Autovalutazione!E337=""),"*","")</f>
        <v>*</v>
      </c>
      <c r="E331" s="39" t="str">
        <f>IF(ISBLANK(Autovalutazione!F337),"",Autovalutazione!F337)</f>
        <v/>
      </c>
      <c r="F331" s="237"/>
      <c r="G331" s="237"/>
      <c r="H331" s="237"/>
      <c r="I331" s="237"/>
      <c r="J331" s="237"/>
      <c r="K331" s="237"/>
      <c r="L331" s="229"/>
      <c r="M331" s="37">
        <v>1</v>
      </c>
      <c r="N331" s="27"/>
      <c r="O331" s="28">
        <f t="shared" si="57"/>
        <v>0</v>
      </c>
      <c r="P331" s="43">
        <f t="shared" si="58"/>
        <v>0</v>
      </c>
      <c r="Q331" s="36"/>
      <c r="R331" s="27"/>
    </row>
    <row r="332" spans="1:18" ht="27" customHeight="1" x14ac:dyDescent="0.3">
      <c r="A332" s="3" t="str">
        <f>Autovalutazione!A338</f>
        <v>5.2.2.e</v>
      </c>
      <c r="B332" s="6" t="str">
        <f>Autovalutazione!C338</f>
        <v>Attività / posti di lavoro con commissionario (per es. aziende terze)?</v>
      </c>
      <c r="C332" s="38">
        <f>IF(ISBLANK(Autovalutazione!D338),0,1)</f>
        <v>0</v>
      </c>
      <c r="D332" s="293" t="str">
        <f>IF(AND(Autovalutazione!D338="",Autovalutazione!E338=""),"*","")</f>
        <v>*</v>
      </c>
      <c r="E332" s="39" t="str">
        <f>IF(ISBLANK(Autovalutazione!F338),"",Autovalutazione!F338)</f>
        <v/>
      </c>
      <c r="F332" s="235"/>
      <c r="G332" s="235"/>
      <c r="H332" s="235"/>
      <c r="I332" s="235"/>
      <c r="J332" s="235"/>
      <c r="K332" s="235"/>
      <c r="L332" s="229"/>
      <c r="M332" s="37">
        <v>1</v>
      </c>
      <c r="N332" s="27"/>
      <c r="O332" s="28">
        <f t="shared" ref="O332" si="59">C332*M332</f>
        <v>0</v>
      </c>
      <c r="P332" s="43">
        <f t="shared" ref="P332" si="60">L332*M332</f>
        <v>0</v>
      </c>
      <c r="Q332" s="36"/>
      <c r="R332" s="27"/>
    </row>
    <row r="333" spans="1:18" x14ac:dyDescent="0.3">
      <c r="A333" s="3" t="str">
        <f>Autovalutazione!A339</f>
        <v>5.2.2.f</v>
      </c>
      <c r="B333" s="6" t="str">
        <f>Autovalutazione!C339</f>
        <v>Prodotti?</v>
      </c>
      <c r="C333" s="38">
        <f>IF(ISBLANK(Autovalutazione!D339),0,1)</f>
        <v>0</v>
      </c>
      <c r="D333" s="293" t="str">
        <f>IF(AND(Autovalutazione!D339="",Autovalutazione!E339=""),"*","")</f>
        <v>*</v>
      </c>
      <c r="E333" s="39" t="str">
        <f>IF(ISBLANK(Autovalutazione!F339),"",Autovalutazione!F339)</f>
        <v/>
      </c>
      <c r="F333" s="235"/>
      <c r="G333" s="235"/>
      <c r="H333" s="235"/>
      <c r="I333" s="235"/>
      <c r="J333" s="235"/>
      <c r="K333" s="235"/>
      <c r="L333" s="229"/>
      <c r="M333" s="37">
        <v>1</v>
      </c>
      <c r="N333" s="27"/>
      <c r="O333" s="28">
        <f t="shared" si="57"/>
        <v>0</v>
      </c>
      <c r="P333" s="43">
        <f t="shared" si="58"/>
        <v>0</v>
      </c>
      <c r="Q333" s="36"/>
      <c r="R333" s="27"/>
    </row>
    <row r="334" spans="1:18" x14ac:dyDescent="0.3">
      <c r="A334" s="3" t="str">
        <f>Autovalutazione!A340</f>
        <v>5.2.2.g</v>
      </c>
      <c r="B334" s="6" t="str">
        <f>Autovalutazione!C340</f>
        <v>Sostanze nocive?</v>
      </c>
      <c r="C334" s="38">
        <f>IF(ISBLANK(Autovalutazione!D340),0,1)</f>
        <v>0</v>
      </c>
      <c r="D334" s="293" t="str">
        <f>IF(AND(Autovalutazione!D340="",Autovalutazione!E340=""),"*","")</f>
        <v>*</v>
      </c>
      <c r="E334" s="39" t="str">
        <f>IF(ISBLANK(Autovalutazione!F340),"",Autovalutazione!F340)</f>
        <v/>
      </c>
      <c r="F334" s="235"/>
      <c r="G334" s="235"/>
      <c r="H334" s="235"/>
      <c r="I334" s="235"/>
      <c r="J334" s="235"/>
      <c r="K334" s="235"/>
      <c r="L334" s="229"/>
      <c r="M334" s="37">
        <v>1</v>
      </c>
      <c r="N334" s="27"/>
      <c r="O334" s="28">
        <f t="shared" si="57"/>
        <v>0</v>
      </c>
      <c r="P334" s="43">
        <f t="shared" si="58"/>
        <v>0</v>
      </c>
      <c r="Q334" s="36"/>
      <c r="R334" s="27"/>
    </row>
    <row r="335" spans="1:18" x14ac:dyDescent="0.3">
      <c r="A335" s="3" t="str">
        <f>Autovalutazione!A341</f>
        <v>5.2.2.h</v>
      </c>
      <c r="B335" s="6" t="str">
        <f>Autovalutazione!C341</f>
        <v>Altri fatti o oggetti? Se sì, specificare quali.</v>
      </c>
      <c r="C335" s="38">
        <f>IF(ISBLANK(Autovalutazione!D341),0,1)</f>
        <v>0</v>
      </c>
      <c r="D335" s="293" t="str">
        <f>IF(AND(Autovalutazione!D341="",Autovalutazione!E341=""),"*","")</f>
        <v>*</v>
      </c>
      <c r="E335" s="39" t="str">
        <f>IF(ISBLANK(Autovalutazione!F341),"",Autovalutazione!F341)</f>
        <v/>
      </c>
      <c r="F335" s="235"/>
      <c r="G335" s="235"/>
      <c r="H335" s="235"/>
      <c r="I335" s="235"/>
      <c r="J335" s="235"/>
      <c r="K335" s="235"/>
      <c r="L335" s="229"/>
      <c r="M335" s="37">
        <v>0</v>
      </c>
      <c r="N335" s="27"/>
      <c r="O335" s="28">
        <f t="shared" si="57"/>
        <v>0</v>
      </c>
      <c r="P335" s="43">
        <f t="shared" si="58"/>
        <v>0</v>
      </c>
      <c r="Q335" s="36"/>
      <c r="R335" s="27"/>
    </row>
    <row r="336" spans="1:18" ht="26.4" x14ac:dyDescent="0.3">
      <c r="A336" s="3" t="str">
        <f>Autovalutazione!A342</f>
        <v>5.2.3.</v>
      </c>
      <c r="B336" s="6" t="str">
        <f>Autovalutazione!C342</f>
        <v>Si verifica regolarmente l'individuazione dei pericoli e la si adegua ai cambiamenti avvenuti nell'azienda?</v>
      </c>
      <c r="C336" s="38">
        <f>IF(ISBLANK(Autovalutazione!D342),0,1)</f>
        <v>0</v>
      </c>
      <c r="D336" s="293" t="str">
        <f>IF(AND(Autovalutazione!D342="",Autovalutazione!E342=""),"*","")</f>
        <v>*</v>
      </c>
      <c r="E336" s="39" t="str">
        <f>IF(ISBLANK(Autovalutazione!F342),"",Autovalutazione!F342)</f>
        <v/>
      </c>
      <c r="F336" s="235"/>
      <c r="G336" s="235"/>
      <c r="H336" s="235"/>
      <c r="I336" s="235"/>
      <c r="J336" s="235"/>
      <c r="K336" s="235"/>
      <c r="L336" s="229"/>
      <c r="M336" s="37">
        <v>3</v>
      </c>
      <c r="N336" s="27"/>
      <c r="O336" s="28">
        <f t="shared" si="57"/>
        <v>0</v>
      </c>
      <c r="P336" s="43">
        <f t="shared" si="58"/>
        <v>0</v>
      </c>
      <c r="Q336" s="36"/>
      <c r="R336" s="27"/>
    </row>
    <row r="337" spans="1:18" ht="26.4" x14ac:dyDescent="0.3">
      <c r="A337" s="3" t="str">
        <f>Autovalutazione!A343</f>
        <v>5.2.4.</v>
      </c>
      <c r="B337" s="6" t="str">
        <f>Autovalutazione!C343</f>
        <v>In azienda chi si occupa dell'individuazione sistematica dei pericoli?</v>
      </c>
      <c r="C337" s="38">
        <f>IF(ISBLANK(Autovalutazione!D343),0,1)</f>
        <v>0</v>
      </c>
      <c r="D337" s="293" t="str">
        <f>IF(AND(Autovalutazione!D343="",Autovalutazione!E343=""),"*","")</f>
        <v>*</v>
      </c>
      <c r="E337" s="39" t="str">
        <f>IF(ISBLANK(Autovalutazione!F343),"",Autovalutazione!F343)</f>
        <v/>
      </c>
      <c r="F337" s="235"/>
      <c r="G337" s="235"/>
      <c r="H337" s="235"/>
      <c r="I337" s="235"/>
      <c r="J337" s="235"/>
      <c r="K337" s="235"/>
      <c r="L337" s="229"/>
      <c r="M337" s="37">
        <v>1</v>
      </c>
      <c r="N337" s="27"/>
      <c r="O337" s="28">
        <f t="shared" si="57"/>
        <v>0</v>
      </c>
      <c r="P337" s="43">
        <f t="shared" si="58"/>
        <v>0</v>
      </c>
      <c r="Q337" s="36"/>
      <c r="R337" s="27"/>
    </row>
    <row r="338" spans="1:18" x14ac:dyDescent="0.3">
      <c r="A338" s="3" t="str">
        <f>Autovalutazione!A344</f>
        <v>5.2.5.</v>
      </c>
      <c r="B338" s="6" t="str">
        <f>Autovalutazione!C344</f>
        <v>I dipendenti partecipano all'individuazione dei pericoli?</v>
      </c>
      <c r="C338" s="38">
        <f>IF(ISBLANK(Autovalutazione!D344),0,1)</f>
        <v>0</v>
      </c>
      <c r="D338" s="293" t="str">
        <f>IF(AND(Autovalutazione!D344="",Autovalutazione!E344=""),"*","")</f>
        <v>*</v>
      </c>
      <c r="E338" s="39" t="str">
        <f>IF(ISBLANK(Autovalutazione!F344),"",Autovalutazione!F344)</f>
        <v/>
      </c>
      <c r="F338" s="235"/>
      <c r="G338" s="235"/>
      <c r="H338" s="235"/>
      <c r="I338" s="235"/>
      <c r="J338" s="235"/>
      <c r="K338" s="235"/>
      <c r="L338" s="229"/>
      <c r="M338" s="37">
        <v>2</v>
      </c>
      <c r="N338" s="27"/>
      <c r="O338" s="28">
        <f t="shared" si="57"/>
        <v>0</v>
      </c>
      <c r="P338" s="43">
        <f t="shared" si="58"/>
        <v>0</v>
      </c>
      <c r="Q338" s="36"/>
      <c r="R338" s="27"/>
    </row>
    <row r="339" spans="1:18" ht="26.4" x14ac:dyDescent="0.3">
      <c r="A339" s="3" t="str">
        <f>Autovalutazione!A345</f>
        <v>5.2.7.</v>
      </c>
      <c r="B339" s="6" t="str">
        <f>Autovalutazione!C345</f>
        <v>Nel definire gli obiettivi di sicurezza e tutela della salute si tiene conto dei risultati dell'individuazione dei pericoli?</v>
      </c>
      <c r="C339" s="38">
        <f>IF(ISBLANK(Autovalutazione!D345),0,1)</f>
        <v>0</v>
      </c>
      <c r="D339" s="293" t="str">
        <f>IF(AND(Autovalutazione!D345="",Autovalutazione!E345=""),"*","")</f>
        <v>*</v>
      </c>
      <c r="E339" s="39" t="str">
        <f>IF(ISBLANK(Autovalutazione!F345),"",Autovalutazione!F345)</f>
        <v/>
      </c>
      <c r="F339" s="235"/>
      <c r="G339" s="235"/>
      <c r="H339" s="235"/>
      <c r="I339" s="235"/>
      <c r="J339" s="235"/>
      <c r="K339" s="235"/>
      <c r="L339" s="229"/>
      <c r="M339" s="37">
        <v>1</v>
      </c>
      <c r="N339" s="27"/>
      <c r="O339" s="28">
        <f t="shared" si="57"/>
        <v>0</v>
      </c>
      <c r="P339" s="43">
        <f t="shared" si="58"/>
        <v>0</v>
      </c>
      <c r="Q339" s="36"/>
      <c r="R339" s="27"/>
    </row>
    <row r="340" spans="1:18" x14ac:dyDescent="0.3">
      <c r="A340" s="20" t="str">
        <f>Autovalutazione!A346</f>
        <v>5.3.</v>
      </c>
      <c r="B340" s="20" t="str">
        <f>Autovalutazione!B346</f>
        <v>Valutazione dei rischi</v>
      </c>
      <c r="C340" s="21">
        <f>O340/N340</f>
        <v>0</v>
      </c>
      <c r="D340" s="23" t="str">
        <f>IF(ISBLANK(Autovalutazione!E346),"",Autovalutazione!E346)</f>
        <v/>
      </c>
      <c r="E340" s="23" t="str">
        <f>IF(ISBLANK(Autovalutazione!F346),"",Autovalutazione!F346)</f>
        <v/>
      </c>
      <c r="F340" s="232"/>
      <c r="G340" s="232"/>
      <c r="H340" s="232"/>
      <c r="I340" s="232"/>
      <c r="J340" s="232"/>
      <c r="K340" s="232"/>
      <c r="L340" s="50">
        <f>P340/N340</f>
        <v>0</v>
      </c>
      <c r="M340" s="22">
        <v>3</v>
      </c>
      <c r="N340" s="24">
        <f>SUM(M341:M349)</f>
        <v>15</v>
      </c>
      <c r="O340" s="24">
        <f>SUM(O341:O349)</f>
        <v>0</v>
      </c>
      <c r="P340" s="24">
        <f>SUM(P341:P349)</f>
        <v>0</v>
      </c>
      <c r="Q340" s="52">
        <f>O340/$N340*$M340</f>
        <v>0</v>
      </c>
      <c r="R340" s="52">
        <f>P340/$N340*$M340</f>
        <v>0</v>
      </c>
    </row>
    <row r="341" spans="1:18" ht="26.4" x14ac:dyDescent="0.3">
      <c r="A341" s="3" t="str">
        <f>Autovalutazione!A347</f>
        <v>5.3.1</v>
      </c>
      <c r="B341" s="6" t="str">
        <f>Autovalutazione!C347</f>
        <v>Nella vostra azienda si svolge una valutazione dei rischi? Se sì, con quale metodo?</v>
      </c>
      <c r="C341" s="38">
        <f>IF(ISBLANK(Autovalutazione!D347),0,1)</f>
        <v>0</v>
      </c>
      <c r="D341" s="293" t="str">
        <f>IF(AND(Autovalutazione!D347="",Autovalutazione!E347=""),"*","")</f>
        <v>*</v>
      </c>
      <c r="E341" s="39" t="str">
        <f>IF(ISBLANK(Autovalutazione!F347),"",Autovalutazione!F347)</f>
        <v/>
      </c>
      <c r="F341" s="235"/>
      <c r="G341" s="235"/>
      <c r="H341" s="235"/>
      <c r="I341" s="235"/>
      <c r="J341" s="235"/>
      <c r="K341" s="235"/>
      <c r="L341" s="229"/>
      <c r="M341" s="37">
        <v>2</v>
      </c>
      <c r="N341" s="27"/>
      <c r="O341" s="28">
        <f t="shared" ref="O341:O349" si="61">C341*M341</f>
        <v>0</v>
      </c>
      <c r="P341" s="43">
        <f t="shared" ref="P341:P349" si="62">L341*M341</f>
        <v>0</v>
      </c>
      <c r="Q341" s="36"/>
      <c r="R341" s="27"/>
    </row>
    <row r="342" spans="1:18" ht="39.6" x14ac:dyDescent="0.3">
      <c r="A342" s="3" t="str">
        <f>Autovalutazione!A348</f>
        <v>5.3.2.a</v>
      </c>
      <c r="B342" s="6" t="str">
        <f>Autovalutazione!C348</f>
        <v>In quali casi si svolge una valutazione dei rischi:
Quando si introducono nuovi processi, nuove attrezzature, nuovi materiali?</v>
      </c>
      <c r="C342" s="38">
        <f>IF(ISBLANK(Autovalutazione!D348),0,1)</f>
        <v>0</v>
      </c>
      <c r="D342" s="293" t="str">
        <f>IF(AND(Autovalutazione!D348="",Autovalutazione!E348=""),"*","")</f>
        <v>*</v>
      </c>
      <c r="E342" s="39" t="str">
        <f>IF(ISBLANK(Autovalutazione!F348),"",Autovalutazione!F348)</f>
        <v/>
      </c>
      <c r="F342" s="237"/>
      <c r="G342" s="237"/>
      <c r="H342" s="237"/>
      <c r="I342" s="237"/>
      <c r="J342" s="237"/>
      <c r="K342" s="237"/>
      <c r="L342" s="229"/>
      <c r="M342" s="37">
        <v>2</v>
      </c>
      <c r="N342" s="27"/>
      <c r="O342" s="28">
        <f t="shared" si="61"/>
        <v>0</v>
      </c>
      <c r="P342" s="43">
        <f t="shared" si="62"/>
        <v>0</v>
      </c>
      <c r="Q342" s="36"/>
      <c r="R342" s="27"/>
    </row>
    <row r="343" spans="1:18" x14ac:dyDescent="0.3">
      <c r="A343" s="3" t="str">
        <f>Autovalutazione!A349</f>
        <v>5.3.2.b</v>
      </c>
      <c r="B343" s="6" t="str">
        <f>Autovalutazione!C349</f>
        <v>Quando si modifica un processo, un'attrezzatura di lavoro?</v>
      </c>
      <c r="C343" s="38">
        <f>IF(ISBLANK(Autovalutazione!D349),0,1)</f>
        <v>0</v>
      </c>
      <c r="D343" s="293" t="str">
        <f>IF(AND(Autovalutazione!D349="",Autovalutazione!E349=""),"*","")</f>
        <v>*</v>
      </c>
      <c r="E343" s="39" t="str">
        <f>IF(ISBLANK(Autovalutazione!F349),"",Autovalutazione!F349)</f>
        <v/>
      </c>
      <c r="F343" s="235"/>
      <c r="G343" s="235"/>
      <c r="H343" s="235"/>
      <c r="I343" s="235"/>
      <c r="J343" s="235"/>
      <c r="K343" s="235"/>
      <c r="L343" s="229"/>
      <c r="M343" s="37">
        <v>2</v>
      </c>
      <c r="N343" s="27"/>
      <c r="O343" s="28">
        <f t="shared" si="61"/>
        <v>0</v>
      </c>
      <c r="P343" s="43">
        <f t="shared" si="62"/>
        <v>0</v>
      </c>
      <c r="Q343" s="36"/>
      <c r="R343" s="27"/>
    </row>
    <row r="344" spans="1:18" x14ac:dyDescent="0.3">
      <c r="A344" s="3" t="str">
        <f>Autovalutazione!A350</f>
        <v>5.3.2.c</v>
      </c>
      <c r="B344" s="6" t="str">
        <f>Autovalutazione!C350</f>
        <v>Se le regole della tecnica sono assenti o carenti?</v>
      </c>
      <c r="C344" s="38">
        <f>IF(ISBLANK(Autovalutazione!D350),0,1)</f>
        <v>0</v>
      </c>
      <c r="D344" s="293" t="str">
        <f>IF(AND(Autovalutazione!D350="",Autovalutazione!E350=""),"*","")</f>
        <v>*</v>
      </c>
      <c r="E344" s="39" t="str">
        <f>IF(ISBLANK(Autovalutazione!F350),"",Autovalutazione!F350)</f>
        <v/>
      </c>
      <c r="F344" s="235"/>
      <c r="G344" s="235"/>
      <c r="H344" s="235"/>
      <c r="I344" s="235"/>
      <c r="J344" s="235"/>
      <c r="K344" s="235"/>
      <c r="L344" s="229"/>
      <c r="M344" s="37">
        <v>1</v>
      </c>
      <c r="N344" s="27"/>
      <c r="O344" s="28">
        <f t="shared" si="61"/>
        <v>0</v>
      </c>
      <c r="P344" s="43">
        <f t="shared" si="62"/>
        <v>0</v>
      </c>
      <c r="Q344" s="36"/>
      <c r="R344" s="27"/>
    </row>
    <row r="345" spans="1:18" ht="26.4" x14ac:dyDescent="0.3">
      <c r="A345" s="3" t="str">
        <f>Autovalutazione!A351</f>
        <v>5.3.3.</v>
      </c>
      <c r="B345" s="6" t="str">
        <f>Autovalutazione!C351</f>
        <v>Si verifica regolarmente la valutazione dei rischi e la si adegua ai cambiamenti avvenuti in azienda?</v>
      </c>
      <c r="C345" s="38">
        <f>IF(ISBLANK(Autovalutazione!D351),0,1)</f>
        <v>0</v>
      </c>
      <c r="D345" s="293" t="str">
        <f>IF(AND(Autovalutazione!D351="",Autovalutazione!E351=""),"*","")</f>
        <v>*</v>
      </c>
      <c r="E345" s="39" t="str">
        <f>IF(ISBLANK(Autovalutazione!F351),"",Autovalutazione!F351)</f>
        <v/>
      </c>
      <c r="F345" s="235"/>
      <c r="G345" s="235"/>
      <c r="H345" s="235"/>
      <c r="I345" s="235"/>
      <c r="J345" s="235"/>
      <c r="K345" s="235"/>
      <c r="L345" s="229"/>
      <c r="M345" s="37">
        <v>2</v>
      </c>
      <c r="N345" s="27"/>
      <c r="O345" s="28">
        <f t="shared" si="61"/>
        <v>0</v>
      </c>
      <c r="P345" s="43">
        <f t="shared" si="62"/>
        <v>0</v>
      </c>
      <c r="Q345" s="36"/>
      <c r="R345" s="27"/>
    </row>
    <row r="346" spans="1:18" ht="26.4" x14ac:dyDescent="0.3">
      <c r="A346" s="3" t="str">
        <f>Autovalutazione!A352</f>
        <v>5.3.4.</v>
      </c>
      <c r="B346" s="6" t="str">
        <f>Autovalutazione!C352</f>
        <v>Chi si occupa nella vostra azienda della valutazione sistematica dei rischi?</v>
      </c>
      <c r="C346" s="38">
        <f>IF(ISBLANK(Autovalutazione!D352),0,1)</f>
        <v>0</v>
      </c>
      <c r="D346" s="293" t="str">
        <f>IF(AND(Autovalutazione!D352="",Autovalutazione!E352=""),"*","")</f>
        <v>*</v>
      </c>
      <c r="E346" s="39" t="str">
        <f>IF(ISBLANK(Autovalutazione!F352),"",Autovalutazione!F352)</f>
        <v/>
      </c>
      <c r="F346" s="235"/>
      <c r="G346" s="235"/>
      <c r="H346" s="235"/>
      <c r="I346" s="235"/>
      <c r="J346" s="235"/>
      <c r="K346" s="235"/>
      <c r="L346" s="229"/>
      <c r="M346" s="37">
        <v>1</v>
      </c>
      <c r="N346" s="27"/>
      <c r="O346" s="28">
        <f t="shared" si="61"/>
        <v>0</v>
      </c>
      <c r="P346" s="43">
        <f t="shared" si="62"/>
        <v>0</v>
      </c>
      <c r="Q346" s="36"/>
      <c r="R346" s="27"/>
    </row>
    <row r="347" spans="1:18" x14ac:dyDescent="0.3">
      <c r="A347" s="3" t="str">
        <f>Autovalutazione!A353</f>
        <v>5.3.5.</v>
      </c>
      <c r="B347" s="6" t="str">
        <f>Autovalutazione!C353</f>
        <v>I dipendenti partecipano alla valutazione dei rischi?</v>
      </c>
      <c r="C347" s="38">
        <f>IF(ISBLANK(Autovalutazione!D353),0,1)</f>
        <v>0</v>
      </c>
      <c r="D347" s="293" t="str">
        <f>IF(AND(Autovalutazione!D353="",Autovalutazione!E353=""),"*","")</f>
        <v>*</v>
      </c>
      <c r="E347" s="39" t="str">
        <f>IF(ISBLANK(Autovalutazione!F353),"",Autovalutazione!F353)</f>
        <v/>
      </c>
      <c r="F347" s="235"/>
      <c r="G347" s="235"/>
      <c r="H347" s="235"/>
      <c r="I347" s="235"/>
      <c r="J347" s="235"/>
      <c r="K347" s="235"/>
      <c r="L347" s="229"/>
      <c r="M347" s="37">
        <v>2</v>
      </c>
      <c r="N347" s="27"/>
      <c r="O347" s="28">
        <f t="shared" si="61"/>
        <v>0</v>
      </c>
      <c r="P347" s="43">
        <f t="shared" si="62"/>
        <v>0</v>
      </c>
      <c r="Q347" s="36"/>
      <c r="R347" s="27"/>
    </row>
    <row r="348" spans="1:18" ht="26.4" x14ac:dyDescent="0.3">
      <c r="A348" s="3" t="str">
        <f>Autovalutazione!A354</f>
        <v>5.3.6.</v>
      </c>
      <c r="B348" s="6" t="str">
        <f>Autovalutazione!C354</f>
        <v>I risultati della valutazione dei rischi sono documentati? Se sì, come?</v>
      </c>
      <c r="C348" s="38">
        <f>IF(ISBLANK(Autovalutazione!D354),0,1)</f>
        <v>0</v>
      </c>
      <c r="D348" s="293" t="str">
        <f>IF(AND(Autovalutazione!D354="",Autovalutazione!E354=""),"*","")</f>
        <v>*</v>
      </c>
      <c r="E348" s="39" t="str">
        <f>IF(ISBLANK(Autovalutazione!F354),"",Autovalutazione!F354)</f>
        <v/>
      </c>
      <c r="F348" s="235"/>
      <c r="G348" s="235"/>
      <c r="H348" s="235"/>
      <c r="I348" s="235"/>
      <c r="J348" s="235"/>
      <c r="K348" s="235"/>
      <c r="L348" s="229"/>
      <c r="M348" s="37">
        <v>2</v>
      </c>
      <c r="N348" s="27"/>
      <c r="O348" s="28">
        <f t="shared" si="61"/>
        <v>0</v>
      </c>
      <c r="P348" s="43">
        <f t="shared" si="62"/>
        <v>0</v>
      </c>
      <c r="Q348" s="36"/>
      <c r="R348" s="27"/>
    </row>
    <row r="349" spans="1:18" ht="26.4" x14ac:dyDescent="0.3">
      <c r="A349" s="3" t="str">
        <f>Autovalutazione!A355</f>
        <v>5.3.7.</v>
      </c>
      <c r="B349" s="6" t="str">
        <f>Autovalutazione!C355</f>
        <v>Nel definire gli obiettivi in materia di sicurezza e tutela della salute si tiene conto dei risultati della valutazione dei rischi?</v>
      </c>
      <c r="C349" s="38">
        <f>IF(ISBLANK(Autovalutazione!D355),0,1)</f>
        <v>0</v>
      </c>
      <c r="D349" s="293" t="str">
        <f>IF(AND(Autovalutazione!D355="",Autovalutazione!E355=""),"*","")</f>
        <v>*</v>
      </c>
      <c r="E349" s="39" t="str">
        <f>IF(ISBLANK(Autovalutazione!F355),"",Autovalutazione!F355)</f>
        <v/>
      </c>
      <c r="F349" s="235"/>
      <c r="G349" s="235"/>
      <c r="H349" s="235"/>
      <c r="I349" s="235"/>
      <c r="J349" s="235"/>
      <c r="K349" s="235"/>
      <c r="L349" s="229"/>
      <c r="M349" s="37">
        <v>1</v>
      </c>
      <c r="N349" s="27"/>
      <c r="O349" s="28">
        <f t="shared" si="61"/>
        <v>0</v>
      </c>
      <c r="P349" s="43">
        <f t="shared" si="62"/>
        <v>0</v>
      </c>
      <c r="Q349" s="36"/>
      <c r="R349" s="27"/>
    </row>
    <row r="350" spans="1:18" x14ac:dyDescent="0.3">
      <c r="A350" s="20" t="str">
        <f>Autovalutazione!A356</f>
        <v>5.4.</v>
      </c>
      <c r="B350" s="20" t="str">
        <f>Autovalutazione!B356</f>
        <v>Analisi degli eventi</v>
      </c>
      <c r="C350" s="21">
        <f>O350/N350</f>
        <v>9.375E-2</v>
      </c>
      <c r="D350" s="23" t="str">
        <f>IF(ISBLANK(Autovalutazione!E356),"",Autovalutazione!E356)</f>
        <v/>
      </c>
      <c r="E350" s="23" t="str">
        <f>IF(ISBLANK(Autovalutazione!F356),"",Autovalutazione!F356)</f>
        <v/>
      </c>
      <c r="F350" s="232"/>
      <c r="G350" s="232"/>
      <c r="H350" s="232"/>
      <c r="I350" s="232"/>
      <c r="J350" s="232"/>
      <c r="K350" s="232"/>
      <c r="L350" s="50">
        <f>P350/N350</f>
        <v>9.375E-2</v>
      </c>
      <c r="M350" s="22">
        <v>4</v>
      </c>
      <c r="N350" s="22">
        <f>SUM(M351:M367)</f>
        <v>32</v>
      </c>
      <c r="O350" s="24">
        <f>SUM(O351:O367)</f>
        <v>3</v>
      </c>
      <c r="P350" s="24">
        <f>SUM(P351:P367)</f>
        <v>3</v>
      </c>
      <c r="Q350" s="52">
        <f>O350/$N350*$M350</f>
        <v>0.375</v>
      </c>
      <c r="R350" s="52">
        <f>P350/$N350*$M350</f>
        <v>0.375</v>
      </c>
    </row>
    <row r="351" spans="1:18" ht="52.8" x14ac:dyDescent="0.3">
      <c r="A351" s="3" t="str">
        <f>Autovalutazione!A357</f>
        <v>5.4.1.a</v>
      </c>
      <c r="B351" s="6" t="str">
        <f>Autovalutazione!C357</f>
        <v>Nella vostra azienda esiste una direttiva secondo la quale gli eventi devono essere notificati entro una determinata scadenza:
Infortuni e malattie professionali?</v>
      </c>
      <c r="C351" s="38">
        <f>IF(ISBLANK(Autovalutazione!D357),0,1)</f>
        <v>0</v>
      </c>
      <c r="D351" s="293" t="str">
        <f>IF(AND(Autovalutazione!D357="",Autovalutazione!E357=""),"*","")</f>
        <v>*</v>
      </c>
      <c r="E351" s="39" t="str">
        <f>IF(ISBLANK(Autovalutazione!F357),"",Autovalutazione!F357)</f>
        <v/>
      </c>
      <c r="F351" s="237"/>
      <c r="G351" s="237"/>
      <c r="H351" s="237"/>
      <c r="I351" s="237"/>
      <c r="J351" s="237"/>
      <c r="K351" s="237"/>
      <c r="L351" s="229"/>
      <c r="M351" s="37">
        <v>3</v>
      </c>
      <c r="N351" s="27"/>
      <c r="O351" s="28">
        <f t="shared" ref="O351:O366" si="63">C351*M351</f>
        <v>0</v>
      </c>
      <c r="P351" s="43">
        <f t="shared" ref="P351:P366" si="64">L351*M351</f>
        <v>0</v>
      </c>
      <c r="Q351" s="36"/>
      <c r="R351" s="36"/>
    </row>
    <row r="352" spans="1:18" x14ac:dyDescent="0.3">
      <c r="A352" s="3" t="str">
        <f>Autovalutazione!A358</f>
        <v>5.4.1.b</v>
      </c>
      <c r="B352" s="6" t="str">
        <f>Autovalutazione!C358</f>
        <v>Infortuni non professionali?</v>
      </c>
      <c r="C352" s="38">
        <f>IF(ISBLANK(Autovalutazione!D358),0,1)</f>
        <v>0</v>
      </c>
      <c r="D352" s="293" t="str">
        <f>IF(AND(Autovalutazione!D358="",Autovalutazione!E358=""),"*","")</f>
        <v>*</v>
      </c>
      <c r="E352" s="39" t="str">
        <f>IF(ISBLANK(Autovalutazione!F358),"",Autovalutazione!F358)</f>
        <v/>
      </c>
      <c r="F352" s="235"/>
      <c r="G352" s="235"/>
      <c r="H352" s="235"/>
      <c r="I352" s="235"/>
      <c r="J352" s="235"/>
      <c r="K352" s="235"/>
      <c r="L352" s="229"/>
      <c r="M352" s="37">
        <v>3</v>
      </c>
      <c r="N352" s="27"/>
      <c r="O352" s="28">
        <f t="shared" si="63"/>
        <v>0</v>
      </c>
      <c r="P352" s="43">
        <f t="shared" si="64"/>
        <v>0</v>
      </c>
      <c r="Q352" s="36"/>
      <c r="R352" s="27"/>
    </row>
    <row r="353" spans="1:18" x14ac:dyDescent="0.3">
      <c r="A353" s="3" t="str">
        <f>Autovalutazione!A359</f>
        <v>5.4.1.c</v>
      </c>
      <c r="B353" s="6" t="str">
        <f>Autovalutazione!C359</f>
        <v>Malattia?</v>
      </c>
      <c r="C353" s="38">
        <f>IF(ISBLANK(Autovalutazione!D359),0,1)</f>
        <v>0</v>
      </c>
      <c r="D353" s="293" t="str">
        <f>IF(AND(Autovalutazione!D359="",Autovalutazione!E359=""),"*","")</f>
        <v>*</v>
      </c>
      <c r="E353" s="39" t="str">
        <f>IF(ISBLANK(Autovalutazione!F359),"",Autovalutazione!F359)</f>
        <v/>
      </c>
      <c r="F353" s="235"/>
      <c r="G353" s="235"/>
      <c r="H353" s="235"/>
      <c r="I353" s="235"/>
      <c r="J353" s="235"/>
      <c r="K353" s="235"/>
      <c r="L353" s="229"/>
      <c r="M353" s="37">
        <v>3</v>
      </c>
      <c r="N353" s="27"/>
      <c r="O353" s="28">
        <f t="shared" si="63"/>
        <v>0</v>
      </c>
      <c r="P353" s="43">
        <f t="shared" si="64"/>
        <v>0</v>
      </c>
      <c r="Q353" s="36"/>
      <c r="R353" s="27"/>
    </row>
    <row r="354" spans="1:18" x14ac:dyDescent="0.3">
      <c r="A354" s="3" t="str">
        <f>Autovalutazione!A360</f>
        <v>5.4.1.d</v>
      </c>
      <c r="B354" s="6" t="str">
        <f>Autovalutazione!C360</f>
        <v>Danni materiali?</v>
      </c>
      <c r="C354" s="38">
        <f>IF(ISBLANK(Autovalutazione!D360),0,1)</f>
        <v>0</v>
      </c>
      <c r="D354" s="293" t="str">
        <f>IF(AND(Autovalutazione!D360="",Autovalutazione!E360=""),"*","")</f>
        <v>*</v>
      </c>
      <c r="E354" s="39" t="str">
        <f>IF(ISBLANK(Autovalutazione!F360),"",Autovalutazione!F360)</f>
        <v/>
      </c>
      <c r="F354" s="237"/>
      <c r="G354" s="237"/>
      <c r="H354" s="237"/>
      <c r="I354" s="237"/>
      <c r="J354" s="237"/>
      <c r="K354" s="237"/>
      <c r="L354" s="229"/>
      <c r="M354" s="37">
        <v>1</v>
      </c>
      <c r="N354" s="27"/>
      <c r="O354" s="28">
        <f t="shared" si="63"/>
        <v>0</v>
      </c>
      <c r="P354" s="43">
        <f t="shared" si="64"/>
        <v>0</v>
      </c>
      <c r="Q354" s="36"/>
      <c r="R354" s="27"/>
    </row>
    <row r="355" spans="1:18" x14ac:dyDescent="0.3">
      <c r="A355" s="3" t="str">
        <f>Autovalutazione!A361</f>
        <v>5.4.1.e</v>
      </c>
      <c r="B355" s="6" t="str">
        <f>Autovalutazione!C361</f>
        <v>Quasi-infortuni?</v>
      </c>
      <c r="C355" s="38">
        <f>IF(ISBLANK(Autovalutazione!D361),0,1)</f>
        <v>0</v>
      </c>
      <c r="D355" s="293" t="str">
        <f>IF(AND(Autovalutazione!D361="",Autovalutazione!E361=""),"*","")</f>
        <v>*</v>
      </c>
      <c r="E355" s="39" t="str">
        <f>IF(ISBLANK(Autovalutazione!F361),"",Autovalutazione!F361)</f>
        <v/>
      </c>
      <c r="F355" s="235"/>
      <c r="G355" s="235"/>
      <c r="H355" s="235"/>
      <c r="I355" s="235"/>
      <c r="J355" s="235"/>
      <c r="K355" s="235"/>
      <c r="L355" s="229"/>
      <c r="M355" s="37">
        <v>2</v>
      </c>
      <c r="N355" s="27"/>
      <c r="O355" s="28">
        <f t="shared" si="63"/>
        <v>0</v>
      </c>
      <c r="P355" s="43">
        <f t="shared" si="64"/>
        <v>0</v>
      </c>
      <c r="Q355" s="36"/>
      <c r="R355" s="27"/>
    </row>
    <row r="356" spans="1:18" x14ac:dyDescent="0.3">
      <c r="A356" s="3" t="str">
        <f>Autovalutazione!A362</f>
        <v>5.4.1.f</v>
      </c>
      <c r="B356" s="6" t="str">
        <f>Autovalutazione!C362</f>
        <v>Anomalie di processo?</v>
      </c>
      <c r="C356" s="38">
        <f>IF(ISBLANK(Autovalutazione!D362),0,1)</f>
        <v>0</v>
      </c>
      <c r="D356" s="293" t="str">
        <f>IF(AND(Autovalutazione!D362="",Autovalutazione!E362=""),"*","")</f>
        <v>*</v>
      </c>
      <c r="E356" s="39" t="str">
        <f>IF(ISBLANK(Autovalutazione!F362),"",Autovalutazione!F362)</f>
        <v/>
      </c>
      <c r="F356" s="235"/>
      <c r="G356" s="235"/>
      <c r="H356" s="235"/>
      <c r="I356" s="235"/>
      <c r="J356" s="235"/>
      <c r="K356" s="235"/>
      <c r="L356" s="229"/>
      <c r="M356" s="37">
        <v>0</v>
      </c>
      <c r="N356" s="27"/>
      <c r="O356" s="28">
        <f t="shared" si="63"/>
        <v>0</v>
      </c>
      <c r="P356" s="43">
        <f t="shared" si="64"/>
        <v>0</v>
      </c>
      <c r="Q356" s="36"/>
      <c r="R356" s="27"/>
    </row>
    <row r="357" spans="1:18" ht="26.4" x14ac:dyDescent="0.3">
      <c r="A357" s="3" t="str">
        <f>Autovalutazione!A363</f>
        <v>5.4.1.g</v>
      </c>
      <c r="B357" s="6" t="str">
        <f>Autovalutazione!C363</f>
        <v>Altri eventi?
Se sì, quali?</v>
      </c>
      <c r="C357" s="38">
        <f>IF(ISBLANK(Autovalutazione!D363),0,1)</f>
        <v>0</v>
      </c>
      <c r="D357" s="293" t="str">
        <f>IF(AND(Autovalutazione!D363="",Autovalutazione!E363=""),"*","")</f>
        <v>*</v>
      </c>
      <c r="E357" s="39" t="str">
        <f>IF(ISBLANK(Autovalutazione!F363),"",Autovalutazione!F363)</f>
        <v/>
      </c>
      <c r="F357" s="235"/>
      <c r="G357" s="235"/>
      <c r="H357" s="235"/>
      <c r="I357" s="235"/>
      <c r="J357" s="235"/>
      <c r="K357" s="235"/>
      <c r="L357" s="229"/>
      <c r="M357" s="37">
        <v>0</v>
      </c>
      <c r="N357" s="27"/>
      <c r="O357" s="28">
        <f t="shared" si="63"/>
        <v>0</v>
      </c>
      <c r="P357" s="43">
        <f t="shared" si="64"/>
        <v>0</v>
      </c>
      <c r="Q357" s="36"/>
      <c r="R357" s="27"/>
    </row>
    <row r="358" spans="1:18" ht="26.4" x14ac:dyDescent="0.3">
      <c r="A358" s="3" t="str">
        <f>Autovalutazione!A364</f>
        <v>5.4.3.</v>
      </c>
      <c r="B358" s="6" t="str">
        <f>Autovalutazione!C364</f>
        <v>È stato designato un ufficio che si occupa di raccogliere e analizzare tutte le notifiche d'infortunio?</v>
      </c>
      <c r="C358" s="38">
        <f>IF(ISBLANK(Autovalutazione!D364),0,1)</f>
        <v>0</v>
      </c>
      <c r="D358" s="293" t="str">
        <f>IF(AND(Autovalutazione!D364="",Autovalutazione!E364=""),"*","")</f>
        <v>*</v>
      </c>
      <c r="E358" s="39" t="str">
        <f>IF(ISBLANK(Autovalutazione!F364),"",Autovalutazione!F364)</f>
        <v/>
      </c>
      <c r="F358" s="235"/>
      <c r="G358" s="235"/>
      <c r="H358" s="235"/>
      <c r="I358" s="235"/>
      <c r="J358" s="235"/>
      <c r="K358" s="235"/>
      <c r="L358" s="229"/>
      <c r="M358" s="37">
        <v>4</v>
      </c>
      <c r="N358" s="27"/>
      <c r="O358" s="28">
        <f t="shared" si="63"/>
        <v>0</v>
      </c>
      <c r="P358" s="43">
        <f t="shared" si="64"/>
        <v>0</v>
      </c>
      <c r="Q358" s="36"/>
      <c r="R358" s="27"/>
    </row>
    <row r="359" spans="1:18" ht="26.4" x14ac:dyDescent="0.3">
      <c r="A359" s="3" t="str">
        <f>Autovalutazione!A365</f>
        <v>5.4.4.</v>
      </c>
      <c r="B359" s="6" t="str">
        <f>Autovalutazione!C365</f>
        <v>È stata stabilita e messa per iscritto una procedura per l'esame degli eventi inattesi?</v>
      </c>
      <c r="C359" s="38">
        <f>IF(ISBLANK(Autovalutazione!D365),0,1)</f>
        <v>0</v>
      </c>
      <c r="D359" s="293" t="str">
        <f>IF(AND(Autovalutazione!D365="",Autovalutazione!E365=""),"*","")</f>
        <v>*</v>
      </c>
      <c r="E359" s="39" t="str">
        <f>IF(ISBLANK(Autovalutazione!F365),"",Autovalutazione!F365)</f>
        <v/>
      </c>
      <c r="F359" s="235"/>
      <c r="G359" s="235"/>
      <c r="H359" s="235"/>
      <c r="I359" s="235"/>
      <c r="J359" s="235"/>
      <c r="K359" s="235"/>
      <c r="L359" s="229"/>
      <c r="M359" s="37">
        <v>3</v>
      </c>
      <c r="N359" s="27"/>
      <c r="O359" s="28">
        <f t="shared" si="63"/>
        <v>0</v>
      </c>
      <c r="P359" s="43">
        <f t="shared" si="64"/>
        <v>0</v>
      </c>
      <c r="Q359" s="36"/>
      <c r="R359" s="27"/>
    </row>
    <row r="360" spans="1:18" ht="39.6" x14ac:dyDescent="0.3">
      <c r="A360" s="3" t="str">
        <f>Autovalutazione!A366</f>
        <v>5.4.5.a</v>
      </c>
      <c r="B360" s="6" t="str">
        <f>Autovalutazione!C366</f>
        <v>Ogni evento viene esaminato regolarmente e sistematicamente:
Infortuni e malattie professionali?</v>
      </c>
      <c r="C360" s="38">
        <f>IF(ISBLANK(Autovalutazione!D366),0,1)</f>
        <v>0</v>
      </c>
      <c r="D360" s="293" t="str">
        <f>IF(AND(Autovalutazione!D366="",Autovalutazione!E366=""),"*","")</f>
        <v>*</v>
      </c>
      <c r="E360" s="39" t="str">
        <f>IF(ISBLANK(Autovalutazione!F366),"",Autovalutazione!F366)</f>
        <v/>
      </c>
      <c r="F360" s="235"/>
      <c r="G360" s="235"/>
      <c r="H360" s="235"/>
      <c r="I360" s="235"/>
      <c r="J360" s="235"/>
      <c r="K360" s="235"/>
      <c r="L360" s="229"/>
      <c r="M360" s="37">
        <v>3</v>
      </c>
      <c r="N360" s="27"/>
      <c r="O360" s="28">
        <f t="shared" si="63"/>
        <v>0</v>
      </c>
      <c r="P360" s="43">
        <f t="shared" si="64"/>
        <v>0</v>
      </c>
      <c r="Q360" s="36"/>
      <c r="R360" s="27"/>
    </row>
    <row r="361" spans="1:18" x14ac:dyDescent="0.3">
      <c r="A361" s="3" t="str">
        <f>Autovalutazione!A367</f>
        <v>5.4.5.b</v>
      </c>
      <c r="B361" s="6" t="str">
        <f>Autovalutazione!C367</f>
        <v>Infortuni non professionali?</v>
      </c>
      <c r="C361" s="38">
        <f>IF(ISBLANK(Autovalutazione!D367),0,1)</f>
        <v>0</v>
      </c>
      <c r="D361" s="293" t="str">
        <f>IF(AND(Autovalutazione!D367="",Autovalutazione!E367=""),"*","")</f>
        <v>*</v>
      </c>
      <c r="E361" s="39" t="str">
        <f>IF(ISBLANK(Autovalutazione!F367),"",Autovalutazione!F367)</f>
        <v/>
      </c>
      <c r="F361" s="235"/>
      <c r="G361" s="235"/>
      <c r="H361" s="235"/>
      <c r="I361" s="235"/>
      <c r="J361" s="235"/>
      <c r="K361" s="235"/>
      <c r="L361" s="229"/>
      <c r="M361" s="37">
        <v>2</v>
      </c>
      <c r="N361" s="27"/>
      <c r="O361" s="28">
        <f t="shared" si="63"/>
        <v>0</v>
      </c>
      <c r="P361" s="43">
        <f t="shared" si="64"/>
        <v>0</v>
      </c>
      <c r="Q361" s="36"/>
      <c r="R361" s="27"/>
    </row>
    <row r="362" spans="1:18" x14ac:dyDescent="0.3">
      <c r="A362" s="3" t="str">
        <f>Autovalutazione!A368</f>
        <v>5.4.5.c</v>
      </c>
      <c r="B362" s="6" t="str">
        <f>Autovalutazione!C368</f>
        <v>Malattia?</v>
      </c>
      <c r="C362" s="38">
        <f>IF(ISBLANK(Autovalutazione!D368),0,1)</f>
        <v>0</v>
      </c>
      <c r="D362" s="293" t="str">
        <f>IF(AND(Autovalutazione!D368="",Autovalutazione!E368=""),"*","")</f>
        <v>*</v>
      </c>
      <c r="E362" s="39" t="str">
        <f>IF(ISBLANK(Autovalutazione!F368),"",Autovalutazione!F368)</f>
        <v/>
      </c>
      <c r="F362" s="235"/>
      <c r="G362" s="235"/>
      <c r="H362" s="235"/>
      <c r="I362" s="235"/>
      <c r="J362" s="235"/>
      <c r="K362" s="235"/>
      <c r="L362" s="229"/>
      <c r="M362" s="37">
        <v>1</v>
      </c>
      <c r="N362" s="27"/>
      <c r="O362" s="28">
        <f t="shared" si="63"/>
        <v>0</v>
      </c>
      <c r="P362" s="43">
        <f t="shared" si="64"/>
        <v>0</v>
      </c>
      <c r="Q362" s="36"/>
      <c r="R362" s="27"/>
    </row>
    <row r="363" spans="1:18" x14ac:dyDescent="0.3">
      <c r="A363" s="3" t="str">
        <f>Autovalutazione!A369</f>
        <v>5.4.5.d</v>
      </c>
      <c r="B363" s="6" t="str">
        <f>Autovalutazione!C369</f>
        <v>Danni materiali?</v>
      </c>
      <c r="C363" s="38">
        <f>IF(ISBLANK(Autovalutazione!D369),0,1)</f>
        <v>0</v>
      </c>
      <c r="D363" s="293" t="str">
        <f>IF(AND(Autovalutazione!D369="",Autovalutazione!E369=""),"*","")</f>
        <v>*</v>
      </c>
      <c r="E363" s="39" t="str">
        <f>IF(ISBLANK(Autovalutazione!F369),"",Autovalutazione!F369)</f>
        <v/>
      </c>
      <c r="F363" s="237"/>
      <c r="G363" s="237"/>
      <c r="H363" s="237"/>
      <c r="I363" s="237"/>
      <c r="J363" s="237"/>
      <c r="K363" s="237"/>
      <c r="L363" s="229"/>
      <c r="M363" s="37">
        <v>1</v>
      </c>
      <c r="N363" s="27"/>
      <c r="O363" s="28">
        <f t="shared" si="63"/>
        <v>0</v>
      </c>
      <c r="P363" s="43">
        <f t="shared" si="64"/>
        <v>0</v>
      </c>
      <c r="Q363" s="36"/>
      <c r="R363" s="36"/>
    </row>
    <row r="364" spans="1:18" x14ac:dyDescent="0.3">
      <c r="A364" s="3" t="str">
        <f>Autovalutazione!A370</f>
        <v>5.4.5.e</v>
      </c>
      <c r="B364" s="6" t="str">
        <f>Autovalutazione!C370</f>
        <v>Quasi-infortuni?</v>
      </c>
      <c r="C364" s="38">
        <f>IF(ISBLANK(Autovalutazione!D370),0,1)</f>
        <v>0</v>
      </c>
      <c r="D364" s="293" t="str">
        <f>IF(AND(Autovalutazione!D370="",Autovalutazione!E370=""),"*","")</f>
        <v>*</v>
      </c>
      <c r="E364" s="39" t="str">
        <f>IF(ISBLANK(Autovalutazione!F370),"",Autovalutazione!F370)</f>
        <v/>
      </c>
      <c r="F364" s="238"/>
      <c r="G364" s="238"/>
      <c r="H364" s="238"/>
      <c r="I364" s="238"/>
      <c r="J364" s="238"/>
      <c r="K364" s="238"/>
      <c r="L364" s="229"/>
      <c r="M364" s="37">
        <v>2</v>
      </c>
      <c r="N364" s="27"/>
      <c r="O364" s="28">
        <f t="shared" si="63"/>
        <v>0</v>
      </c>
      <c r="P364" s="43">
        <f t="shared" si="64"/>
        <v>0</v>
      </c>
      <c r="Q364" s="36"/>
      <c r="R364" s="27"/>
    </row>
    <row r="365" spans="1:18" x14ac:dyDescent="0.3">
      <c r="A365" s="3" t="str">
        <f>Autovalutazione!A371</f>
        <v>5.4.5.f</v>
      </c>
      <c r="B365" s="6" t="str">
        <f>Autovalutazione!C371</f>
        <v>Anomalie di processo?</v>
      </c>
      <c r="C365" s="38">
        <f>IF(ISBLANK(Autovalutazione!D371),0,1)</f>
        <v>0</v>
      </c>
      <c r="D365" s="293" t="str">
        <f>IF(AND(Autovalutazione!D371="",Autovalutazione!E371=""),"*","")</f>
        <v>*</v>
      </c>
      <c r="E365" s="39" t="str">
        <f>IF(ISBLANK(Autovalutazione!F371),"",Autovalutazione!F371)</f>
        <v/>
      </c>
      <c r="F365" s="235"/>
      <c r="G365" s="235"/>
      <c r="H365" s="235"/>
      <c r="I365" s="235"/>
      <c r="J365" s="235"/>
      <c r="K365" s="235"/>
      <c r="L365" s="229"/>
      <c r="M365" s="37">
        <v>1</v>
      </c>
      <c r="N365" s="27"/>
      <c r="O365" s="28">
        <f t="shared" si="63"/>
        <v>0</v>
      </c>
      <c r="P365" s="43">
        <f t="shared" si="64"/>
        <v>0</v>
      </c>
      <c r="Q365" s="36"/>
      <c r="R365" s="27"/>
    </row>
    <row r="366" spans="1:18" ht="26.4" x14ac:dyDescent="0.3">
      <c r="A366" s="3" t="str">
        <f>Autovalutazione!A372</f>
        <v>5.4.5.g</v>
      </c>
      <c r="B366" s="6" t="str">
        <f>Autovalutazione!C372</f>
        <v>Altri eventi?
Se sì, quali?</v>
      </c>
      <c r="C366" s="38">
        <f>IF(ISBLANK(Autovalutazione!D372),0,1)</f>
        <v>0</v>
      </c>
      <c r="D366" s="293" t="str">
        <f>IF(AND(Autovalutazione!D372="",Autovalutazione!E372=""),"*","")</f>
        <v>*</v>
      </c>
      <c r="E366" s="39" t="str">
        <f>IF(ISBLANK(Autovalutazione!F372),"",Autovalutazione!F372)</f>
        <v/>
      </c>
      <c r="F366" s="235"/>
      <c r="G366" s="235"/>
      <c r="H366" s="235"/>
      <c r="I366" s="235"/>
      <c r="J366" s="235"/>
      <c r="K366" s="235"/>
      <c r="L366" s="229"/>
      <c r="M366" s="37">
        <v>0</v>
      </c>
      <c r="N366" s="27"/>
      <c r="O366" s="28">
        <f t="shared" si="63"/>
        <v>0</v>
      </c>
      <c r="P366" s="43">
        <f t="shared" si="64"/>
        <v>0</v>
      </c>
      <c r="Q366" s="36"/>
      <c r="R366" s="27"/>
    </row>
    <row r="367" spans="1:18" ht="26.4" x14ac:dyDescent="0.3">
      <c r="A367" s="3" t="str">
        <f>Autovalutazione!A373</f>
        <v>5.4.6.</v>
      </c>
      <c r="B367" s="6" t="str">
        <f>Autovalutazione!C373</f>
        <v>Dopo aver notificato un infortunio alla Suva, questo viene considerato liquidato?</v>
      </c>
      <c r="C367" s="38">
        <f>IF(ISBLANK(Autovalutazione!D373),0,1)</f>
        <v>0</v>
      </c>
      <c r="D367" s="293" t="str">
        <f>IF(AND(Autovalutazione!D373="",Autovalutazione!E373=""),"*","")</f>
        <v>*</v>
      </c>
      <c r="E367" s="39" t="str">
        <f>IF(ISBLANK(Autovalutazione!F373),"",Autovalutazione!F373)</f>
        <v/>
      </c>
      <c r="F367" s="235"/>
      <c r="G367" s="235"/>
      <c r="H367" s="235"/>
      <c r="I367" s="235"/>
      <c r="J367" s="235"/>
      <c r="K367" s="235"/>
      <c r="L367" s="229"/>
      <c r="M367" s="37">
        <v>3</v>
      </c>
      <c r="N367" s="27"/>
      <c r="O367" s="47">
        <f>(1-C367)*M367</f>
        <v>3</v>
      </c>
      <c r="P367" s="47">
        <f>(1-L367)*M367</f>
        <v>3</v>
      </c>
      <c r="Q367" s="36"/>
      <c r="R367" s="27"/>
    </row>
    <row r="368" spans="1:18" x14ac:dyDescent="0.3">
      <c r="A368" s="34" t="str">
        <f>Autovalutazione!A375</f>
        <v>6.</v>
      </c>
      <c r="B368" s="7" t="str">
        <f>Autovalutazione!B375</f>
        <v>Misure</v>
      </c>
      <c r="C368" s="30">
        <f>O368/N368</f>
        <v>0</v>
      </c>
      <c r="D368" s="18"/>
      <c r="E368" s="18"/>
      <c r="F368" s="18"/>
      <c r="G368" s="18"/>
      <c r="H368" s="18"/>
      <c r="I368" s="18"/>
      <c r="J368" s="18"/>
      <c r="K368" s="18"/>
      <c r="L368" s="231">
        <f>P368/N368</f>
        <v>0</v>
      </c>
      <c r="M368" s="5"/>
      <c r="N368" s="5">
        <f>SUM(M369,M380,M392)</f>
        <v>5</v>
      </c>
      <c r="O368" s="48">
        <f>SUM(Q369:Q391)</f>
        <v>0</v>
      </c>
      <c r="P368" s="48">
        <f>SUM(R369:R391)</f>
        <v>0</v>
      </c>
      <c r="Q368" s="35"/>
      <c r="R368" s="35"/>
    </row>
    <row r="369" spans="1:18" x14ac:dyDescent="0.3">
      <c r="A369" s="20" t="str">
        <f>Autovalutazione!A377</f>
        <v>6.1.</v>
      </c>
      <c r="B369" s="20" t="str">
        <f>Autovalutazione!B377</f>
        <v>Ricerca delle misure</v>
      </c>
      <c r="C369" s="21">
        <f>O369/N369</f>
        <v>0</v>
      </c>
      <c r="D369" s="23"/>
      <c r="E369" s="23"/>
      <c r="F369" s="232"/>
      <c r="G369" s="232"/>
      <c r="H369" s="232"/>
      <c r="I369" s="232"/>
      <c r="J369" s="232"/>
      <c r="K369" s="232"/>
      <c r="L369" s="50">
        <f>P369/N369</f>
        <v>0</v>
      </c>
      <c r="M369" s="22">
        <v>3</v>
      </c>
      <c r="N369" s="22">
        <f>SUM(M370:M379)</f>
        <v>15</v>
      </c>
      <c r="O369" s="24">
        <f>SUM(O370:O379)</f>
        <v>0</v>
      </c>
      <c r="P369" s="24">
        <f>SUM(P370:P379)</f>
        <v>0</v>
      </c>
      <c r="Q369" s="52">
        <f>O369/$N369*$M369</f>
        <v>0</v>
      </c>
      <c r="R369" s="52">
        <f>P369/$N369*$M369</f>
        <v>0</v>
      </c>
    </row>
    <row r="370" spans="1:18" ht="26.4" x14ac:dyDescent="0.3">
      <c r="A370" s="3" t="str">
        <f>Autovalutazione!A378</f>
        <v>6.1.1.</v>
      </c>
      <c r="B370" s="6" t="str">
        <f>Autovalutazione!C378</f>
        <v>Dopo aver individuato un pericolo si adotta in ogni caso un provvedimento?</v>
      </c>
      <c r="C370" s="38">
        <f>IF(ISBLANK(Autovalutazione!D378),0,1)</f>
        <v>0</v>
      </c>
      <c r="D370" s="293" t="str">
        <f>IF(AND(Autovalutazione!D378="",Autovalutazione!E378=""),"*","")</f>
        <v>*</v>
      </c>
      <c r="E370" s="39" t="str">
        <f>IF(ISBLANK(Autovalutazione!F378),"",Autovalutazione!F378)</f>
        <v/>
      </c>
      <c r="F370" s="235"/>
      <c r="G370" s="235"/>
      <c r="H370" s="235"/>
      <c r="I370" s="235"/>
      <c r="J370" s="235"/>
      <c r="K370" s="235"/>
      <c r="L370" s="229"/>
      <c r="M370" s="37">
        <v>5</v>
      </c>
      <c r="N370" s="27"/>
      <c r="O370" s="28">
        <f t="shared" ref="O370:O379" si="65">C370*M370</f>
        <v>0</v>
      </c>
      <c r="P370" s="43">
        <f t="shared" ref="P370:P379" si="66">L370*M370</f>
        <v>0</v>
      </c>
      <c r="Q370" s="36"/>
      <c r="R370" s="27"/>
    </row>
    <row r="371" spans="1:18" ht="26.4" x14ac:dyDescent="0.3">
      <c r="A371" s="3" t="str">
        <f>Autovalutazione!A379</f>
        <v>6.1.2.</v>
      </c>
      <c r="B371" s="6" t="str">
        <f>Autovalutazione!C379</f>
        <v>Le misure di sicurezza vengono adottate in base a determinate strategie (obiettivi, mezzi, metodi)?</v>
      </c>
      <c r="C371" s="38">
        <f>IF(ISBLANK(Autovalutazione!D379),0,1)</f>
        <v>0</v>
      </c>
      <c r="D371" s="293" t="str">
        <f>IF(AND(Autovalutazione!D379="",Autovalutazione!E379=""),"*","")</f>
        <v>*</v>
      </c>
      <c r="E371" s="39" t="str">
        <f>IF(ISBLANK(Autovalutazione!F379),"",Autovalutazione!F379)</f>
        <v/>
      </c>
      <c r="F371" s="237"/>
      <c r="G371" s="237"/>
      <c r="H371" s="237"/>
      <c r="I371" s="237"/>
      <c r="J371" s="237"/>
      <c r="K371" s="237"/>
      <c r="L371" s="229"/>
      <c r="M371" s="37">
        <v>4</v>
      </c>
      <c r="N371" s="27"/>
      <c r="O371" s="28">
        <f t="shared" si="65"/>
        <v>0</v>
      </c>
      <c r="P371" s="43">
        <f t="shared" si="66"/>
        <v>0</v>
      </c>
      <c r="Q371" s="36"/>
      <c r="R371" s="27"/>
    </row>
    <row r="372" spans="1:18" ht="26.4" x14ac:dyDescent="0.3">
      <c r="A372" s="3" t="str">
        <f>Autovalutazione!A380</f>
        <v>6.1.3.a</v>
      </c>
      <c r="B372" s="6" t="str">
        <f>Autovalutazione!C380</f>
        <v>Chi partecipa alla ricerca delle misure:
Superiori?</v>
      </c>
      <c r="C372" s="38">
        <f>IF(ISBLANK(Autovalutazione!D380),0,1)</f>
        <v>0</v>
      </c>
      <c r="D372" s="293" t="str">
        <f>IF(AND(Autovalutazione!D380="",Autovalutazione!E380=""),"*","")</f>
        <v>*</v>
      </c>
      <c r="E372" s="39" t="str">
        <f>IF(ISBLANK(Autovalutazione!F380),"",Autovalutazione!F380)</f>
        <v/>
      </c>
      <c r="F372" s="237"/>
      <c r="G372" s="237"/>
      <c r="H372" s="237"/>
      <c r="I372" s="237"/>
      <c r="J372" s="237"/>
      <c r="K372" s="237"/>
      <c r="L372" s="229"/>
      <c r="M372" s="37">
        <v>1</v>
      </c>
      <c r="N372" s="27"/>
      <c r="O372" s="28">
        <f t="shared" si="65"/>
        <v>0</v>
      </c>
      <c r="P372" s="43">
        <f t="shared" si="66"/>
        <v>0</v>
      </c>
      <c r="Q372" s="36"/>
      <c r="R372" s="36"/>
    </row>
    <row r="373" spans="1:18" x14ac:dyDescent="0.3">
      <c r="A373" s="3" t="str">
        <f>Autovalutazione!A381</f>
        <v>6.1.3.b</v>
      </c>
      <c r="B373" s="6" t="str">
        <f>Autovalutazione!C381</f>
        <v>Dipendenti?</v>
      </c>
      <c r="C373" s="38">
        <f>IF(ISBLANK(Autovalutazione!D381),0,1)</f>
        <v>0</v>
      </c>
      <c r="D373" s="293" t="str">
        <f>IF(AND(Autovalutazione!D381="",Autovalutazione!E381=""),"*","")</f>
        <v>*</v>
      </c>
      <c r="E373" s="39" t="str">
        <f>IF(ISBLANK(Autovalutazione!F381),"",Autovalutazione!F381)</f>
        <v/>
      </c>
      <c r="F373" s="235"/>
      <c r="G373" s="235"/>
      <c r="H373" s="235"/>
      <c r="I373" s="235"/>
      <c r="J373" s="235"/>
      <c r="K373" s="235"/>
      <c r="L373" s="229"/>
      <c r="M373" s="37">
        <v>1</v>
      </c>
      <c r="N373" s="27"/>
      <c r="O373" s="28">
        <f t="shared" si="65"/>
        <v>0</v>
      </c>
      <c r="P373" s="43">
        <f t="shared" si="66"/>
        <v>0</v>
      </c>
      <c r="Q373" s="36"/>
      <c r="R373" s="27"/>
    </row>
    <row r="374" spans="1:18" x14ac:dyDescent="0.3">
      <c r="A374" s="3" t="str">
        <f>Autovalutazione!A382</f>
        <v>6.1.3.c</v>
      </c>
      <c r="B374" s="6" t="str">
        <f>Autovalutazione!C382</f>
        <v>Addetti alla sicurezza?</v>
      </c>
      <c r="C374" s="38">
        <f>IF(ISBLANK(Autovalutazione!D382),0,1)</f>
        <v>0</v>
      </c>
      <c r="D374" s="293" t="str">
        <f>IF(AND(Autovalutazione!D382="",Autovalutazione!E382=""),"*","")</f>
        <v>*</v>
      </c>
      <c r="E374" s="39" t="str">
        <f>IF(ISBLANK(Autovalutazione!F382),"",Autovalutazione!F382)</f>
        <v/>
      </c>
      <c r="F374" s="235"/>
      <c r="G374" s="235"/>
      <c r="H374" s="235"/>
      <c r="I374" s="235"/>
      <c r="J374" s="235"/>
      <c r="K374" s="235"/>
      <c r="L374" s="229"/>
      <c r="M374" s="37">
        <v>1</v>
      </c>
      <c r="N374" s="27"/>
      <c r="O374" s="28">
        <f t="shared" si="65"/>
        <v>0</v>
      </c>
      <c r="P374" s="43">
        <f t="shared" si="66"/>
        <v>0</v>
      </c>
      <c r="Q374" s="36"/>
      <c r="R374" s="27"/>
    </row>
    <row r="375" spans="1:18" x14ac:dyDescent="0.3">
      <c r="A375" s="3" t="str">
        <f>Autovalutazione!A383</f>
        <v>6.1.3.d</v>
      </c>
      <c r="B375" s="6" t="str">
        <f>Autovalutazione!C383</f>
        <v>Soggetti dell'organizzazione della sicurezza?</v>
      </c>
      <c r="C375" s="38">
        <f>IF(ISBLANK(Autovalutazione!D383),0,1)</f>
        <v>0</v>
      </c>
      <c r="D375" s="293" t="str">
        <f>IF(AND(Autovalutazione!D383="",Autovalutazione!E383=""),"*","")</f>
        <v>*</v>
      </c>
      <c r="E375" s="39" t="str">
        <f>IF(ISBLANK(Autovalutazione!F383),"",Autovalutazione!F383)</f>
        <v/>
      </c>
      <c r="F375" s="237"/>
      <c r="G375" s="237"/>
      <c r="H375" s="237"/>
      <c r="I375" s="237"/>
      <c r="J375" s="237"/>
      <c r="K375" s="237"/>
      <c r="L375" s="229"/>
      <c r="M375" s="37">
        <v>0</v>
      </c>
      <c r="N375" s="27"/>
      <c r="O375" s="28">
        <f t="shared" si="65"/>
        <v>0</v>
      </c>
      <c r="P375" s="43">
        <f t="shared" si="66"/>
        <v>0</v>
      </c>
      <c r="Q375" s="36"/>
      <c r="R375" s="27"/>
    </row>
    <row r="376" spans="1:18" x14ac:dyDescent="0.3">
      <c r="A376" s="3" t="str">
        <f>Autovalutazione!A384</f>
        <v>6.1.3.e</v>
      </c>
      <c r="B376" s="6" t="str">
        <f>Autovalutazione!C384</f>
        <v>Altri? Se sì, chi?</v>
      </c>
      <c r="C376" s="38">
        <f>IF(ISBLANK(Autovalutazione!D384),0,1)</f>
        <v>0</v>
      </c>
      <c r="D376" s="293" t="str">
        <f>IF(AND(Autovalutazione!D384="",Autovalutazione!E384=""),"*","")</f>
        <v>*</v>
      </c>
      <c r="E376" s="39" t="str">
        <f>IF(ISBLANK(Autovalutazione!F384),"",Autovalutazione!F384)</f>
        <v/>
      </c>
      <c r="F376" s="235"/>
      <c r="G376" s="235"/>
      <c r="H376" s="235"/>
      <c r="I376" s="235"/>
      <c r="J376" s="235"/>
      <c r="K376" s="235"/>
      <c r="L376" s="229"/>
      <c r="M376" s="37">
        <v>0</v>
      </c>
      <c r="N376" s="27"/>
      <c r="O376" s="28">
        <f t="shared" si="65"/>
        <v>0</v>
      </c>
      <c r="P376" s="43">
        <f t="shared" si="66"/>
        <v>0</v>
      </c>
      <c r="Q376" s="36"/>
      <c r="R376" s="27"/>
    </row>
    <row r="377" spans="1:18" ht="26.4" x14ac:dyDescent="0.3">
      <c r="A377" s="3" t="str">
        <f>Autovalutazione!A385</f>
        <v>6.1.4.</v>
      </c>
      <c r="B377" s="6" t="str">
        <f>Autovalutazione!C385</f>
        <v>Le misure da adottare hanno tutte un termine e il loro rispetto è controllato?</v>
      </c>
      <c r="C377" s="38">
        <f>IF(ISBLANK(Autovalutazione!D385),0,1)</f>
        <v>0</v>
      </c>
      <c r="D377" s="293" t="str">
        <f>IF(AND(Autovalutazione!D385="",Autovalutazione!E385=""),"*","")</f>
        <v>*</v>
      </c>
      <c r="E377" s="39" t="str">
        <f>IF(ISBLANK(Autovalutazione!F385),"",Autovalutazione!F385)</f>
        <v/>
      </c>
      <c r="F377" s="235"/>
      <c r="G377" s="235"/>
      <c r="H377" s="235"/>
      <c r="I377" s="235"/>
      <c r="J377" s="235"/>
      <c r="K377" s="235"/>
      <c r="L377" s="229"/>
      <c r="M377" s="37">
        <v>1</v>
      </c>
      <c r="N377" s="27"/>
      <c r="O377" s="28">
        <f t="shared" si="65"/>
        <v>0</v>
      </c>
      <c r="P377" s="43">
        <f t="shared" si="66"/>
        <v>0</v>
      </c>
      <c r="Q377" s="36"/>
      <c r="R377" s="27"/>
    </row>
    <row r="378" spans="1:18" x14ac:dyDescent="0.3">
      <c r="A378" s="3" t="str">
        <f>Autovalutazione!A386</f>
        <v>6.1.5.</v>
      </c>
      <c r="B378" s="6" t="str">
        <f>Autovalutazione!C386</f>
        <v>Si verifica l'efficacia delle misure adottate?</v>
      </c>
      <c r="C378" s="38">
        <f>IF(ISBLANK(Autovalutazione!D386),0,1)</f>
        <v>0</v>
      </c>
      <c r="D378" s="293" t="str">
        <f>IF(AND(Autovalutazione!D386="",Autovalutazione!E386=""),"*","")</f>
        <v>*</v>
      </c>
      <c r="E378" s="39" t="str">
        <f>IF(ISBLANK(Autovalutazione!F386),"",Autovalutazione!F386)</f>
        <v/>
      </c>
      <c r="F378" s="235"/>
      <c r="G378" s="235"/>
      <c r="H378" s="235"/>
      <c r="I378" s="235"/>
      <c r="J378" s="235"/>
      <c r="K378" s="235"/>
      <c r="L378" s="229"/>
      <c r="M378" s="37">
        <v>1</v>
      </c>
      <c r="N378" s="27"/>
      <c r="O378" s="28">
        <f t="shared" si="65"/>
        <v>0</v>
      </c>
      <c r="P378" s="43">
        <f t="shared" si="66"/>
        <v>0</v>
      </c>
      <c r="Q378" s="36"/>
      <c r="R378" s="27"/>
    </row>
    <row r="379" spans="1:18" ht="39.6" x14ac:dyDescent="0.3">
      <c r="A379" s="3" t="str">
        <f>Autovalutazione!A387</f>
        <v>6.1.6.</v>
      </c>
      <c r="B379" s="6" t="str">
        <f>Autovalutazione!C387</f>
        <v>Al momento di definire gli obiettivi in materia di sicurezza e tutela della salute si tiene conto delle possibili conseguenze delle misure adottate?</v>
      </c>
      <c r="C379" s="38">
        <f>IF(ISBLANK(Autovalutazione!D387),0,1)</f>
        <v>0</v>
      </c>
      <c r="D379" s="293" t="str">
        <f>IF(AND(Autovalutazione!D387="",Autovalutazione!E387=""),"*","")</f>
        <v>*</v>
      </c>
      <c r="E379" s="39" t="str">
        <f>IF(ISBLANK(Autovalutazione!F387),"",Autovalutazione!F387)</f>
        <v/>
      </c>
      <c r="F379" s="235"/>
      <c r="G379" s="235"/>
      <c r="H379" s="235"/>
      <c r="I379" s="235"/>
      <c r="J379" s="235"/>
      <c r="K379" s="235"/>
      <c r="L379" s="229"/>
      <c r="M379" s="37">
        <v>1</v>
      </c>
      <c r="N379" s="27"/>
      <c r="O379" s="28">
        <f t="shared" si="65"/>
        <v>0</v>
      </c>
      <c r="P379" s="43">
        <f t="shared" si="66"/>
        <v>0</v>
      </c>
      <c r="Q379" s="36"/>
      <c r="R379" s="27"/>
    </row>
    <row r="380" spans="1:18" x14ac:dyDescent="0.3">
      <c r="A380" s="20" t="str">
        <f>Autovalutazione!A388</f>
        <v>6.2.</v>
      </c>
      <c r="B380" s="20" t="str">
        <f>Autovalutazione!B388</f>
        <v>Programmi per la sicurezza</v>
      </c>
      <c r="C380" s="21">
        <f>O380/N380</f>
        <v>0</v>
      </c>
      <c r="D380" s="23" t="str">
        <f>IF(ISBLANK(Autovalutazione!E388),"",Autovalutazione!E388)</f>
        <v/>
      </c>
      <c r="E380" s="23" t="str">
        <f>IF(ISBLANK(Autovalutazione!F388),"",Autovalutazione!F388)</f>
        <v/>
      </c>
      <c r="F380" s="232"/>
      <c r="G380" s="232"/>
      <c r="H380" s="232"/>
      <c r="I380" s="232"/>
      <c r="J380" s="232"/>
      <c r="K380" s="232"/>
      <c r="L380" s="50">
        <f>P380/N380</f>
        <v>0</v>
      </c>
      <c r="M380" s="22">
        <v>2</v>
      </c>
      <c r="N380" s="22">
        <f>SUM(M381:M391)</f>
        <v>18</v>
      </c>
      <c r="O380" s="24">
        <f>SUM(O381:O391)</f>
        <v>0</v>
      </c>
      <c r="P380" s="24">
        <f>SUM(P381:P391)</f>
        <v>0</v>
      </c>
      <c r="Q380" s="52">
        <f>O380/$N380*$M380</f>
        <v>0</v>
      </c>
      <c r="R380" s="52">
        <f>P380/$N380*$M380</f>
        <v>0</v>
      </c>
    </row>
    <row r="381" spans="1:18" ht="39.6" x14ac:dyDescent="0.3">
      <c r="A381" s="3" t="str">
        <f>Autovalutazione!A389</f>
        <v>6.2.1.a</v>
      </c>
      <c r="B381" s="6" t="str">
        <f>Autovalutazione!C389</f>
        <v>Nella vostra azienda, negli ultimi due anni sono stati svolti, iniziati programmati dei programmi a favore:
della sicurezza sul lavoro?</v>
      </c>
      <c r="C381" s="38">
        <f>IF(ISBLANK(Autovalutazione!D389),0,1)</f>
        <v>0</v>
      </c>
      <c r="D381" s="293" t="str">
        <f>IF(AND(Autovalutazione!D389="",Autovalutazione!E389=""),"*","")</f>
        <v>*</v>
      </c>
      <c r="E381" s="39" t="str">
        <f>IF(ISBLANK(Autovalutazione!F389),"",Autovalutazione!F389)</f>
        <v/>
      </c>
      <c r="F381" s="235"/>
      <c r="G381" s="235"/>
      <c r="H381" s="235"/>
      <c r="I381" s="235"/>
      <c r="J381" s="235"/>
      <c r="K381" s="235"/>
      <c r="L381" s="229"/>
      <c r="M381" s="37">
        <v>6</v>
      </c>
      <c r="N381" s="27"/>
      <c r="O381" s="28">
        <f t="shared" ref="O381:O391" si="67">M381*C381</f>
        <v>0</v>
      </c>
      <c r="P381" s="43">
        <f>L381*M381</f>
        <v>0</v>
      </c>
      <c r="Q381" s="36"/>
      <c r="R381" s="27"/>
    </row>
    <row r="382" spans="1:18" x14ac:dyDescent="0.3">
      <c r="A382" s="3" t="str">
        <f>Autovalutazione!A390</f>
        <v>6.2.1.b</v>
      </c>
      <c r="B382" s="6" t="str">
        <f>Autovalutazione!C390</f>
        <v>della sicurezza nel tempo libero?</v>
      </c>
      <c r="C382" s="38">
        <f>IF(ISBLANK(Autovalutazione!D390),0,1)</f>
        <v>0</v>
      </c>
      <c r="D382" s="293" t="str">
        <f>IF(AND(Autovalutazione!D390="",Autovalutazione!E390=""),"*","")</f>
        <v>*</v>
      </c>
      <c r="E382" s="39" t="str">
        <f>IF(ISBLANK(Autovalutazione!F390),"",Autovalutazione!F390)</f>
        <v/>
      </c>
      <c r="F382" s="235"/>
      <c r="G382" s="235"/>
      <c r="H382" s="235"/>
      <c r="I382" s="235"/>
      <c r="J382" s="235"/>
      <c r="K382" s="235"/>
      <c r="L382" s="229"/>
      <c r="M382" s="37">
        <v>4</v>
      </c>
      <c r="N382" s="27"/>
      <c r="O382" s="28">
        <f t="shared" si="67"/>
        <v>0</v>
      </c>
      <c r="P382" s="43">
        <f t="shared" ref="P382:P391" si="68">L382*M382</f>
        <v>0</v>
      </c>
      <c r="Q382" s="36"/>
      <c r="R382" s="27"/>
    </row>
    <row r="383" spans="1:18" x14ac:dyDescent="0.3">
      <c r="A383" s="3" t="str">
        <f>Autovalutazione!A391</f>
        <v>6.2.1.c</v>
      </c>
      <c r="B383" s="6" t="str">
        <f>Autovalutazione!C391</f>
        <v>della promozione della salute?</v>
      </c>
      <c r="C383" s="38">
        <f>IF(ISBLANK(Autovalutazione!D391),0,1)</f>
        <v>0</v>
      </c>
      <c r="D383" s="293" t="str">
        <f>IF(AND(Autovalutazione!D391="",Autovalutazione!E391=""),"*","")</f>
        <v>*</v>
      </c>
      <c r="E383" s="39" t="str">
        <f>IF(ISBLANK(Autovalutazione!F391),"",Autovalutazione!F391)</f>
        <v/>
      </c>
      <c r="F383" s="237"/>
      <c r="G383" s="237"/>
      <c r="H383" s="237"/>
      <c r="I383" s="237"/>
      <c r="J383" s="237"/>
      <c r="K383" s="237"/>
      <c r="L383" s="229"/>
      <c r="M383" s="37">
        <v>2</v>
      </c>
      <c r="N383" s="27"/>
      <c r="O383" s="28">
        <f t="shared" si="67"/>
        <v>0</v>
      </c>
      <c r="P383" s="43">
        <f t="shared" si="68"/>
        <v>0</v>
      </c>
      <c r="Q383" s="36"/>
      <c r="R383" s="27"/>
    </row>
    <row r="384" spans="1:18" ht="39.6" x14ac:dyDescent="0.3">
      <c r="A384" s="3" t="str">
        <f>Autovalutazione!A392</f>
        <v>6.2.2.a</v>
      </c>
      <c r="B384" s="6" t="str">
        <f>Autovalutazione!C392</f>
        <v>Nella vostra azienda, negli ultimi due anni sono stati svolti, iniziati programmati i seguenti programmi?
Ponteggi sicuri?</v>
      </c>
      <c r="C384" s="38">
        <f>IF(ISBLANK(Autovalutazione!D392),0,1)</f>
        <v>0</v>
      </c>
      <c r="D384" s="293" t="str">
        <f>IF(AND(Autovalutazione!D392="",Autovalutazione!E392=""),"*","")</f>
        <v>*</v>
      </c>
      <c r="E384" s="39" t="str">
        <f>IF(ISBLANK(Autovalutazione!F392),"",Autovalutazione!F392)</f>
        <v/>
      </c>
      <c r="F384" s="235"/>
      <c r="G384" s="235"/>
      <c r="H384" s="235"/>
      <c r="I384" s="235"/>
      <c r="J384" s="235"/>
      <c r="K384" s="235"/>
      <c r="L384" s="229"/>
      <c r="M384" s="37">
        <v>0</v>
      </c>
      <c r="N384" s="27"/>
      <c r="O384" s="28">
        <f t="shared" si="67"/>
        <v>0</v>
      </c>
      <c r="P384" s="43">
        <f t="shared" si="68"/>
        <v>0</v>
      </c>
      <c r="Q384" s="36"/>
      <c r="R384" s="27"/>
    </row>
    <row r="385" spans="1:18" x14ac:dyDescent="0.3">
      <c r="A385" s="3" t="str">
        <f>Autovalutazione!A393</f>
        <v>6.2.2.b</v>
      </c>
      <c r="B385" s="6" t="str">
        <f>Autovalutazione!C393</f>
        <v>Presse sicure?</v>
      </c>
      <c r="C385" s="38">
        <f>IF(ISBLANK(Autovalutazione!D393),0,1)</f>
        <v>0</v>
      </c>
      <c r="D385" s="293" t="str">
        <f>IF(AND(Autovalutazione!D393="",Autovalutazione!E393=""),"*","")</f>
        <v>*</v>
      </c>
      <c r="E385" s="39" t="str">
        <f>IF(ISBLANK(Autovalutazione!F393),"",Autovalutazione!F393)</f>
        <v/>
      </c>
      <c r="F385" s="235"/>
      <c r="G385" s="235"/>
      <c r="H385" s="235"/>
      <c r="I385" s="235"/>
      <c r="J385" s="235"/>
      <c r="K385" s="235"/>
      <c r="L385" s="229"/>
      <c r="M385" s="37">
        <v>1</v>
      </c>
      <c r="N385" s="27"/>
      <c r="O385" s="28">
        <f t="shared" si="67"/>
        <v>0</v>
      </c>
      <c r="P385" s="43">
        <f t="shared" si="68"/>
        <v>0</v>
      </c>
      <c r="Q385" s="36"/>
      <c r="R385" s="27"/>
    </row>
    <row r="386" spans="1:18" x14ac:dyDescent="0.3">
      <c r="A386" s="3" t="str">
        <f>Autovalutazione!A394</f>
        <v>6.2.2.c</v>
      </c>
      <c r="B386" s="6" t="str">
        <f>Autovalutazione!C394</f>
        <v>STOP alla manipolazione dei dispositivi di protezione?</v>
      </c>
      <c r="C386" s="38">
        <f>IF(ISBLANK(Autovalutazione!D394),0,1)</f>
        <v>0</v>
      </c>
      <c r="D386" s="293" t="str">
        <f>IF(AND(Autovalutazione!D394="",Autovalutazione!E394=""),"*","")</f>
        <v>*</v>
      </c>
      <c r="E386" s="39" t="str">
        <f>IF(ISBLANK(Autovalutazione!F394),"",Autovalutazione!F394)</f>
        <v/>
      </c>
      <c r="F386" s="235"/>
      <c r="G386" s="235"/>
      <c r="H386" s="235"/>
      <c r="I386" s="235"/>
      <c r="J386" s="235"/>
      <c r="K386" s="235"/>
      <c r="L386" s="229"/>
      <c r="M386" s="37">
        <v>1</v>
      </c>
      <c r="N386" s="27"/>
      <c r="O386" s="28">
        <f t="shared" si="67"/>
        <v>0</v>
      </c>
      <c r="P386" s="43">
        <f t="shared" si="68"/>
        <v>0</v>
      </c>
      <c r="Q386" s="36"/>
      <c r="R386" s="27"/>
    </row>
    <row r="387" spans="1:18" x14ac:dyDescent="0.3">
      <c r="A387" s="3" t="str">
        <f>Autovalutazione!A395</f>
        <v>6.2.2.d</v>
      </c>
      <c r="B387" s="6" t="str">
        <f>Autovalutazione!C395</f>
        <v>inciampare.ch?</v>
      </c>
      <c r="C387" s="38">
        <f>IF(ISBLANK(Autovalutazione!D395),0,1)</f>
        <v>0</v>
      </c>
      <c r="D387" s="293" t="str">
        <f>IF(AND(Autovalutazione!D395="",Autovalutazione!E395=""),"*","")</f>
        <v>*</v>
      </c>
      <c r="E387" s="39" t="str">
        <f>IF(ISBLANK(Autovalutazione!F395),"",Autovalutazione!F395)</f>
        <v/>
      </c>
      <c r="F387" s="235"/>
      <c r="G387" s="235"/>
      <c r="H387" s="235"/>
      <c r="I387" s="235"/>
      <c r="J387" s="235"/>
      <c r="K387" s="235"/>
      <c r="L387" s="229"/>
      <c r="M387" s="37">
        <v>1</v>
      </c>
      <c r="N387" s="27"/>
      <c r="O387" s="28">
        <f t="shared" si="67"/>
        <v>0</v>
      </c>
      <c r="P387" s="43">
        <f t="shared" si="68"/>
        <v>0</v>
      </c>
      <c r="Q387" s="36"/>
      <c r="R387" s="27"/>
    </row>
    <row r="388" spans="1:18" x14ac:dyDescent="0.3">
      <c r="A388" s="3" t="str">
        <f>Autovalutazione!A396</f>
        <v>6.2.2.e</v>
      </c>
      <c r="B388" s="6" t="str">
        <f>Autovalutazione!C396</f>
        <v>Amianto?</v>
      </c>
      <c r="C388" s="38">
        <f>IF(ISBLANK(Autovalutazione!D396),0,1)</f>
        <v>0</v>
      </c>
      <c r="D388" s="293" t="str">
        <f>IF(AND(Autovalutazione!D396="",Autovalutazione!E396=""),"*","")</f>
        <v>*</v>
      </c>
      <c r="E388" s="39" t="str">
        <f>IF(ISBLANK(Autovalutazione!F396),"",Autovalutazione!F396)</f>
        <v/>
      </c>
      <c r="F388" s="235"/>
      <c r="G388" s="235"/>
      <c r="H388" s="235"/>
      <c r="I388" s="235"/>
      <c r="J388" s="235"/>
      <c r="K388" s="235"/>
      <c r="L388" s="229"/>
      <c r="M388" s="37">
        <v>1</v>
      </c>
      <c r="N388" s="27"/>
      <c r="O388" s="28">
        <f t="shared" si="67"/>
        <v>0</v>
      </c>
      <c r="P388" s="43">
        <f t="shared" si="68"/>
        <v>0</v>
      </c>
      <c r="Q388" s="36"/>
      <c r="R388" s="27"/>
    </row>
    <row r="389" spans="1:18" x14ac:dyDescent="0.3">
      <c r="A389" s="3" t="str">
        <f>Autovalutazione!A397</f>
        <v>6.2.2.f</v>
      </c>
      <c r="B389" s="6" t="str">
        <f>Autovalutazione!C397</f>
        <v>Manutenzione?</v>
      </c>
      <c r="C389" s="38">
        <f>IF(ISBLANK(Autovalutazione!D397),0,1)</f>
        <v>0</v>
      </c>
      <c r="D389" s="293" t="str">
        <f>IF(AND(Autovalutazione!D397="",Autovalutazione!E397=""),"*","")</f>
        <v>*</v>
      </c>
      <c r="E389" s="39" t="str">
        <f>IF(ISBLANK(Autovalutazione!F397),"",Autovalutazione!F397)</f>
        <v/>
      </c>
      <c r="F389" s="235"/>
      <c r="G389" s="235"/>
      <c r="H389" s="235"/>
      <c r="I389" s="235"/>
      <c r="J389" s="235"/>
      <c r="K389" s="235"/>
      <c r="L389" s="229"/>
      <c r="M389" s="37">
        <v>0</v>
      </c>
      <c r="N389" s="27"/>
      <c r="O389" s="28">
        <f t="shared" si="67"/>
        <v>0</v>
      </c>
      <c r="P389" s="43">
        <f t="shared" si="68"/>
        <v>0</v>
      </c>
      <c r="Q389" s="36"/>
      <c r="R389" s="27"/>
    </row>
    <row r="390" spans="1:18" x14ac:dyDescent="0.3">
      <c r="A390" s="3" t="str">
        <f>Autovalutazione!A398</f>
        <v>6.2.2.g</v>
      </c>
      <c r="B390" s="6" t="str">
        <f>Autovalutazione!C398</f>
        <v>Tirocinio in sicurezza?</v>
      </c>
      <c r="C390" s="38">
        <f>IF(ISBLANK(Autovalutazione!D398),0,1)</f>
        <v>0</v>
      </c>
      <c r="D390" s="293" t="str">
        <f>IF(AND(Autovalutazione!D398="",Autovalutazione!E398=""),"*","")</f>
        <v>*</v>
      </c>
      <c r="E390" s="39" t="str">
        <f>IF(ISBLANK(Autovalutazione!F398),"",Autovalutazione!F398)</f>
        <v/>
      </c>
      <c r="F390" s="235"/>
      <c r="G390" s="235"/>
      <c r="H390" s="235"/>
      <c r="I390" s="235"/>
      <c r="J390" s="235"/>
      <c r="K390" s="235"/>
      <c r="L390" s="229"/>
      <c r="M390" s="37">
        <v>1</v>
      </c>
      <c r="N390" s="27"/>
      <c r="O390" s="28">
        <f t="shared" si="67"/>
        <v>0</v>
      </c>
      <c r="P390" s="43">
        <f t="shared" si="68"/>
        <v>0</v>
      </c>
      <c r="Q390" s="36"/>
      <c r="R390" s="27"/>
    </row>
    <row r="391" spans="1:18" x14ac:dyDescent="0.3">
      <c r="A391" s="3" t="str">
        <f>Autovalutazione!A399</f>
        <v>6.2.2.h</v>
      </c>
      <c r="B391" s="6" t="str">
        <f>Autovalutazione!C399</f>
        <v>Altri programmi di sucurezza? Se sì, quali?</v>
      </c>
      <c r="C391" s="38">
        <f>IF(ISBLANK(Autovalutazione!D399),0,1)</f>
        <v>0</v>
      </c>
      <c r="D391" s="293" t="str">
        <f>IF(AND(Autovalutazione!D399="",Autovalutazione!E399=""),"*","")</f>
        <v>*</v>
      </c>
      <c r="E391" s="39" t="str">
        <f>IF(ISBLANK(Autovalutazione!F399),"",Autovalutazione!F399)</f>
        <v/>
      </c>
      <c r="F391" s="237"/>
      <c r="G391" s="237"/>
      <c r="H391" s="237"/>
      <c r="I391" s="237"/>
      <c r="J391" s="237"/>
      <c r="K391" s="237"/>
      <c r="L391" s="229"/>
      <c r="M391" s="37">
        <v>1</v>
      </c>
      <c r="N391" s="27"/>
      <c r="O391" s="28">
        <f t="shared" si="67"/>
        <v>0</v>
      </c>
      <c r="P391" s="43">
        <f t="shared" si="68"/>
        <v>0</v>
      </c>
      <c r="Q391" s="36"/>
      <c r="R391" s="36"/>
    </row>
    <row r="392" spans="1:18" x14ac:dyDescent="0.3">
      <c r="A392" s="34" t="str">
        <f>Autovalutazione!A401</f>
        <v>7.</v>
      </c>
      <c r="B392" s="7" t="str">
        <f>Autovalutazione!B401</f>
        <v>Organizzazione per i casi di emergenza</v>
      </c>
      <c r="C392" s="30">
        <f>O392/N392</f>
        <v>0</v>
      </c>
      <c r="D392" s="18"/>
      <c r="E392" s="18"/>
      <c r="F392" s="18"/>
      <c r="G392" s="18"/>
      <c r="H392" s="18"/>
      <c r="I392" s="18"/>
      <c r="J392" s="18"/>
      <c r="K392" s="18"/>
      <c r="L392" s="231">
        <f>P392/N392</f>
        <v>0</v>
      </c>
      <c r="M392" s="5"/>
      <c r="N392" s="5">
        <f>SUM(M393,M410,M423)</f>
        <v>3</v>
      </c>
      <c r="O392" s="48">
        <f>SUM(Q393:Q428)</f>
        <v>0</v>
      </c>
      <c r="P392" s="48">
        <f>SUM(R393:R428)</f>
        <v>0</v>
      </c>
      <c r="Q392" s="35"/>
      <c r="R392" s="35"/>
    </row>
    <row r="393" spans="1:18" x14ac:dyDescent="0.3">
      <c r="A393" s="20" t="str">
        <f>Autovalutazione!A403</f>
        <v>7.1.</v>
      </c>
      <c r="B393" s="20" t="str">
        <f>Autovalutazione!B403</f>
        <v>Piano di emergenza</v>
      </c>
      <c r="C393" s="21">
        <f>O393/N393</f>
        <v>0</v>
      </c>
      <c r="D393" s="23"/>
      <c r="E393" s="23"/>
      <c r="F393" s="232"/>
      <c r="G393" s="232"/>
      <c r="H393" s="232"/>
      <c r="I393" s="232"/>
      <c r="J393" s="232"/>
      <c r="K393" s="232"/>
      <c r="L393" s="50">
        <f>P393/N393</f>
        <v>0</v>
      </c>
      <c r="M393" s="22">
        <v>1</v>
      </c>
      <c r="N393" s="22">
        <f>SUM(M394:M409)</f>
        <v>23</v>
      </c>
      <c r="O393" s="24">
        <f>SUM(O394:O409)</f>
        <v>0</v>
      </c>
      <c r="P393" s="24">
        <f>SUM(P394:P409)</f>
        <v>0</v>
      </c>
      <c r="Q393" s="52">
        <f>O393/$N393*$M393</f>
        <v>0</v>
      </c>
      <c r="R393" s="52">
        <f>P393/$N393*$M393</f>
        <v>0</v>
      </c>
    </row>
    <row r="394" spans="1:18" ht="26.4" x14ac:dyDescent="0.3">
      <c r="A394" s="3" t="str">
        <f>Autovalutazione!A404</f>
        <v>7.1.1.</v>
      </c>
      <c r="B394" s="6" t="str">
        <f>Autovalutazione!C404</f>
        <v>C'è un piano per far fronte alle emergenze adeguato ai rischi aziendali?</v>
      </c>
      <c r="C394" s="38">
        <f>IF(ISBLANK(Autovalutazione!D404),0,1)</f>
        <v>0</v>
      </c>
      <c r="D394" s="293" t="str">
        <f>IF(AND(Autovalutazione!D404="",Autovalutazione!E404=""),"*","")</f>
        <v>*</v>
      </c>
      <c r="E394" s="39" t="str">
        <f>IF(ISBLANK(Autovalutazione!F404),"",Autovalutazione!F404)</f>
        <v/>
      </c>
      <c r="F394" s="235"/>
      <c r="G394" s="235"/>
      <c r="H394" s="235"/>
      <c r="I394" s="235"/>
      <c r="J394" s="235"/>
      <c r="K394" s="235"/>
      <c r="L394" s="229"/>
      <c r="M394" s="37">
        <v>3</v>
      </c>
      <c r="N394" s="27"/>
      <c r="O394" s="28">
        <f t="shared" ref="O394:O409" si="69">C394*M394</f>
        <v>0</v>
      </c>
      <c r="P394" s="43">
        <f t="shared" ref="P394:P409" si="70">L394*M394</f>
        <v>0</v>
      </c>
      <c r="Q394" s="36"/>
      <c r="R394" s="27"/>
    </row>
    <row r="395" spans="1:18" ht="26.4" x14ac:dyDescent="0.3">
      <c r="A395" s="3" t="str">
        <f>Autovalutazione!A405</f>
        <v>7.1.2.</v>
      </c>
      <c r="B395" s="6" t="str">
        <f>Autovalutazione!C405</f>
        <v>È garantito un soccorso immediato e competente in caso di infortuni e malattie acute?</v>
      </c>
      <c r="C395" s="38">
        <f>IF(ISBLANK(Autovalutazione!D405),0,1)</f>
        <v>0</v>
      </c>
      <c r="D395" s="293" t="str">
        <f>IF(AND(Autovalutazione!D405="",Autovalutazione!E405=""),"*","")</f>
        <v>*</v>
      </c>
      <c r="E395" s="39" t="str">
        <f>IF(ISBLANK(Autovalutazione!F405),"",Autovalutazione!F405)</f>
        <v/>
      </c>
      <c r="F395" s="237"/>
      <c r="G395" s="237"/>
      <c r="H395" s="237"/>
      <c r="I395" s="237"/>
      <c r="J395" s="237"/>
      <c r="K395" s="237"/>
      <c r="L395" s="229"/>
      <c r="M395" s="37">
        <v>3</v>
      </c>
      <c r="N395" s="27"/>
      <c r="O395" s="28">
        <f t="shared" si="69"/>
        <v>0</v>
      </c>
      <c r="P395" s="43">
        <f t="shared" si="70"/>
        <v>0</v>
      </c>
      <c r="Q395" s="36"/>
      <c r="R395" s="27"/>
    </row>
    <row r="396" spans="1:18" ht="39.6" x14ac:dyDescent="0.3">
      <c r="A396" s="3" t="str">
        <f>Autovalutazione!A406</f>
        <v>7.1.3.a</v>
      </c>
      <c r="B396" s="6" t="str">
        <f>Autovalutazione!C406</f>
        <v>I seguenti soggetti sanno quali sono i potenziali rischi cui è esposta la vostra azienda, conoscono le sostanze da voi stoccate e manipolate: Medici?</v>
      </c>
      <c r="C396" s="38">
        <f>IF(ISBLANK(Autovalutazione!D406),0,1)</f>
        <v>0</v>
      </c>
      <c r="D396" s="293" t="str">
        <f>IF(AND(Autovalutazione!D406="",Autovalutazione!E406=""),"*","")</f>
        <v>*</v>
      </c>
      <c r="E396" s="39" t="str">
        <f>IF(ISBLANK(Autovalutazione!F406),"",Autovalutazione!F406)</f>
        <v/>
      </c>
      <c r="F396" s="235"/>
      <c r="G396" s="235"/>
      <c r="H396" s="235"/>
      <c r="I396" s="235"/>
      <c r="J396" s="235"/>
      <c r="K396" s="235"/>
      <c r="L396" s="229"/>
      <c r="M396" s="37">
        <v>0</v>
      </c>
      <c r="N396" s="27"/>
      <c r="O396" s="28">
        <f t="shared" si="69"/>
        <v>0</v>
      </c>
      <c r="P396" s="43">
        <f t="shared" si="70"/>
        <v>0</v>
      </c>
      <c r="Q396" s="36"/>
      <c r="R396" s="27"/>
    </row>
    <row r="397" spans="1:18" x14ac:dyDescent="0.3">
      <c r="A397" s="3" t="str">
        <f>Autovalutazione!A407</f>
        <v>7.1.3.b</v>
      </c>
      <c r="B397" s="6" t="str">
        <f>Autovalutazione!C407</f>
        <v>Ospedali/ambulanza?</v>
      </c>
      <c r="C397" s="38">
        <f>IF(ISBLANK(Autovalutazione!D407),0,1)</f>
        <v>0</v>
      </c>
      <c r="D397" s="293" t="str">
        <f>IF(AND(Autovalutazione!D407="",Autovalutazione!E407=""),"*","")</f>
        <v>*</v>
      </c>
      <c r="E397" s="39" t="str">
        <f>IF(ISBLANK(Autovalutazione!F407),"",Autovalutazione!F407)</f>
        <v/>
      </c>
      <c r="F397" s="235"/>
      <c r="G397" s="235"/>
      <c r="H397" s="235"/>
      <c r="I397" s="235"/>
      <c r="J397" s="235"/>
      <c r="K397" s="235"/>
      <c r="L397" s="229"/>
      <c r="M397" s="37">
        <v>0</v>
      </c>
      <c r="N397" s="27"/>
      <c r="O397" s="28">
        <f t="shared" si="69"/>
        <v>0</v>
      </c>
      <c r="P397" s="43">
        <f t="shared" si="70"/>
        <v>0</v>
      </c>
      <c r="Q397" s="36"/>
      <c r="R397" s="27"/>
    </row>
    <row r="398" spans="1:18" x14ac:dyDescent="0.3">
      <c r="A398" s="3" t="str">
        <f>Autovalutazione!A408</f>
        <v>7.1.3.c</v>
      </c>
      <c r="B398" s="6" t="str">
        <f>Autovalutazione!C408</f>
        <v>Pompieri?</v>
      </c>
      <c r="C398" s="38">
        <f>IF(ISBLANK(Autovalutazione!D408),0,1)</f>
        <v>0</v>
      </c>
      <c r="D398" s="293" t="str">
        <f>IF(AND(Autovalutazione!D408="",Autovalutazione!E408=""),"*","")</f>
        <v>*</v>
      </c>
      <c r="E398" s="39" t="str">
        <f>IF(ISBLANK(Autovalutazione!F408),"",Autovalutazione!F408)</f>
        <v/>
      </c>
      <c r="F398" s="235"/>
      <c r="G398" s="235"/>
      <c r="H398" s="235"/>
      <c r="I398" s="235"/>
      <c r="J398" s="235"/>
      <c r="K398" s="235"/>
      <c r="L398" s="229"/>
      <c r="M398" s="37">
        <v>0</v>
      </c>
      <c r="N398" s="27"/>
      <c r="O398" s="28">
        <f t="shared" si="69"/>
        <v>0</v>
      </c>
      <c r="P398" s="43">
        <f t="shared" si="70"/>
        <v>0</v>
      </c>
      <c r="Q398" s="36"/>
      <c r="R398" s="27"/>
    </row>
    <row r="399" spans="1:18" x14ac:dyDescent="0.3">
      <c r="A399" s="3" t="str">
        <f>Autovalutazione!A409</f>
        <v>7.1.3.d</v>
      </c>
      <c r="B399" s="6" t="str">
        <f>Autovalutazione!C409</f>
        <v>Polizia?</v>
      </c>
      <c r="C399" s="38">
        <f>IF(ISBLANK(Autovalutazione!D409),0,1)</f>
        <v>0</v>
      </c>
      <c r="D399" s="293" t="str">
        <f>IF(AND(Autovalutazione!D409="",Autovalutazione!E409=""),"*","")</f>
        <v>*</v>
      </c>
      <c r="E399" s="39" t="str">
        <f>IF(ISBLANK(Autovalutazione!F409),"",Autovalutazione!F409)</f>
        <v/>
      </c>
      <c r="F399" s="235"/>
      <c r="G399" s="235"/>
      <c r="H399" s="235"/>
      <c r="I399" s="235"/>
      <c r="J399" s="235"/>
      <c r="K399" s="235"/>
      <c r="L399" s="229"/>
      <c r="M399" s="37">
        <v>0</v>
      </c>
      <c r="N399" s="27"/>
      <c r="O399" s="28">
        <f t="shared" si="69"/>
        <v>0</v>
      </c>
      <c r="P399" s="43">
        <f t="shared" si="70"/>
        <v>0</v>
      </c>
      <c r="Q399" s="36"/>
      <c r="R399" s="27"/>
    </row>
    <row r="400" spans="1:18" ht="26.4" x14ac:dyDescent="0.3">
      <c r="A400" s="3" t="str">
        <f>Autovalutazione!A410</f>
        <v>7.1.4.</v>
      </c>
      <c r="B400" s="6" t="str">
        <f>Autovalutazione!C410</f>
        <v>Nella vostra azienda esiste un sistema di avvertimento o di allerta in caso di emergenza?</v>
      </c>
      <c r="C400" s="38">
        <f>IF(ISBLANK(Autovalutazione!D410),0,1)</f>
        <v>0</v>
      </c>
      <c r="D400" s="293" t="str">
        <f>IF(AND(Autovalutazione!D410="",Autovalutazione!E410=""),"*","")</f>
        <v>*</v>
      </c>
      <c r="E400" s="39" t="str">
        <f>IF(ISBLANK(Autovalutazione!F410),"",Autovalutazione!F410)</f>
        <v/>
      </c>
      <c r="F400" s="237"/>
      <c r="G400" s="237"/>
      <c r="H400" s="237"/>
      <c r="I400" s="237"/>
      <c r="J400" s="237"/>
      <c r="K400" s="237"/>
      <c r="L400" s="229"/>
      <c r="M400" s="37">
        <v>3</v>
      </c>
      <c r="N400" s="27"/>
      <c r="O400" s="28">
        <f t="shared" si="69"/>
        <v>0</v>
      </c>
      <c r="P400" s="43">
        <f t="shared" si="70"/>
        <v>0</v>
      </c>
      <c r="Q400" s="36"/>
      <c r="R400" s="36"/>
    </row>
    <row r="401" spans="1:18" ht="26.4" x14ac:dyDescent="0.3">
      <c r="A401" s="3" t="str">
        <f>Autovalutazione!A411</f>
        <v>7.1.5.</v>
      </c>
      <c r="B401" s="6" t="str">
        <f>Autovalutazione!C411</f>
        <v>I numeri di emergenza sono visibili accanto ad ogni apparecchio?</v>
      </c>
      <c r="C401" s="38">
        <f>IF(ISBLANK(Autovalutazione!D411),0,1)</f>
        <v>0</v>
      </c>
      <c r="D401" s="293" t="str">
        <f>IF(AND(Autovalutazione!D411="",Autovalutazione!E411=""),"*","")</f>
        <v>*</v>
      </c>
      <c r="E401" s="39" t="str">
        <f>IF(ISBLANK(Autovalutazione!F411),"",Autovalutazione!F411)</f>
        <v/>
      </c>
      <c r="F401" s="235"/>
      <c r="G401" s="235"/>
      <c r="H401" s="235"/>
      <c r="I401" s="235"/>
      <c r="J401" s="235"/>
      <c r="K401" s="235"/>
      <c r="L401" s="229"/>
      <c r="M401" s="37">
        <v>2</v>
      </c>
      <c r="N401" s="27"/>
      <c r="O401" s="28">
        <f t="shared" si="69"/>
        <v>0</v>
      </c>
      <c r="P401" s="43">
        <f t="shared" si="70"/>
        <v>0</v>
      </c>
      <c r="Q401" s="36"/>
      <c r="R401" s="27"/>
    </row>
    <row r="402" spans="1:18" ht="26.4" x14ac:dyDescent="0.3">
      <c r="A402" s="3" t="str">
        <f>Autovalutazione!A412</f>
        <v>7.1.6.</v>
      </c>
      <c r="B402" s="6" t="str">
        <f>Autovalutazione!C412</f>
        <v>È possibile accedere rapidamente e liberamente al materiale di emergenza?</v>
      </c>
      <c r="C402" s="38">
        <f>IF(ISBLANK(Autovalutazione!D412),0,1)</f>
        <v>0</v>
      </c>
      <c r="D402" s="293" t="str">
        <f>IF(AND(Autovalutazione!D412="",Autovalutazione!E412=""),"*","")</f>
        <v>*</v>
      </c>
      <c r="E402" s="39" t="str">
        <f>IF(ISBLANK(Autovalutazione!F412),"",Autovalutazione!F412)</f>
        <v/>
      </c>
      <c r="F402" s="235"/>
      <c r="G402" s="235"/>
      <c r="H402" s="235"/>
      <c r="I402" s="235"/>
      <c r="J402" s="235"/>
      <c r="K402" s="235"/>
      <c r="L402" s="229"/>
      <c r="M402" s="37">
        <v>3</v>
      </c>
      <c r="N402" s="27"/>
      <c r="O402" s="28">
        <f t="shared" si="69"/>
        <v>0</v>
      </c>
      <c r="P402" s="43">
        <f t="shared" si="70"/>
        <v>0</v>
      </c>
      <c r="Q402" s="36"/>
      <c r="R402" s="27"/>
    </row>
    <row r="403" spans="1:18" ht="26.4" x14ac:dyDescent="0.3">
      <c r="A403" s="3" t="str">
        <f>Autovalutazione!A413</f>
        <v>7.1.7.a</v>
      </c>
      <c r="B403" s="6" t="str">
        <f>Autovalutazione!C413</f>
        <v>Il servizio di emergenza è garantito anche nei seguenti casi: 
Lavoro a turni?</v>
      </c>
      <c r="C403" s="38">
        <f>IF(ISBLANK(Autovalutazione!D413),0,1)</f>
        <v>0</v>
      </c>
      <c r="D403" s="293" t="str">
        <f>IF(AND(Autovalutazione!D413="",Autovalutazione!E413=""),"*","")</f>
        <v>*</v>
      </c>
      <c r="E403" s="39" t="str">
        <f>IF(ISBLANK(Autovalutazione!F413),"",Autovalutazione!F413)</f>
        <v/>
      </c>
      <c r="F403" s="235"/>
      <c r="G403" s="235"/>
      <c r="H403" s="235"/>
      <c r="I403" s="235"/>
      <c r="J403" s="235"/>
      <c r="K403" s="235"/>
      <c r="L403" s="229"/>
      <c r="M403" s="37">
        <v>1</v>
      </c>
      <c r="N403" s="27"/>
      <c r="O403" s="28">
        <f t="shared" si="69"/>
        <v>0</v>
      </c>
      <c r="P403" s="43">
        <f t="shared" si="70"/>
        <v>0</v>
      </c>
      <c r="Q403" s="36"/>
      <c r="R403" s="27"/>
    </row>
    <row r="404" spans="1:18" x14ac:dyDescent="0.3">
      <c r="A404" s="3" t="str">
        <f>Autovalutazione!A414</f>
        <v>7.1.7.b</v>
      </c>
      <c r="B404" s="6" t="str">
        <f>Autovalutazione!C414</f>
        <v>Lavoro nel fine settimana?</v>
      </c>
      <c r="C404" s="38">
        <f>IF(ISBLANK(Autovalutazione!D414),0,1)</f>
        <v>0</v>
      </c>
      <c r="D404" s="293" t="str">
        <f>IF(AND(Autovalutazione!D414="",Autovalutazione!E414=""),"*","")</f>
        <v>*</v>
      </c>
      <c r="E404" s="39" t="str">
        <f>IF(ISBLANK(Autovalutazione!F414),"",Autovalutazione!F414)</f>
        <v/>
      </c>
      <c r="F404" s="235"/>
      <c r="G404" s="235"/>
      <c r="H404" s="235"/>
      <c r="I404" s="235"/>
      <c r="J404" s="235"/>
      <c r="K404" s="235"/>
      <c r="L404" s="229"/>
      <c r="M404" s="37">
        <v>1</v>
      </c>
      <c r="N404" s="27"/>
      <c r="O404" s="28">
        <f t="shared" si="69"/>
        <v>0</v>
      </c>
      <c r="P404" s="43">
        <f t="shared" si="70"/>
        <v>0</v>
      </c>
      <c r="Q404" s="36"/>
      <c r="R404" s="27"/>
    </row>
    <row r="405" spans="1:18" x14ac:dyDescent="0.3">
      <c r="A405" s="3" t="str">
        <f>Autovalutazione!A415</f>
        <v>7.1.7.c</v>
      </c>
      <c r="B405" s="6" t="str">
        <f>Autovalutazione!C415</f>
        <v>Lavoro straordinario?</v>
      </c>
      <c r="C405" s="38">
        <f>IF(ISBLANK(Autovalutazione!D415),0,1)</f>
        <v>0</v>
      </c>
      <c r="D405" s="293" t="str">
        <f>IF(AND(Autovalutazione!D415="",Autovalutazione!E415=""),"*","")</f>
        <v>*</v>
      </c>
      <c r="E405" s="39" t="str">
        <f>IF(ISBLANK(Autovalutazione!F415),"",Autovalutazione!F415)</f>
        <v/>
      </c>
      <c r="F405" s="235"/>
      <c r="G405" s="235"/>
      <c r="H405" s="235"/>
      <c r="I405" s="235"/>
      <c r="J405" s="235"/>
      <c r="K405" s="235"/>
      <c r="L405" s="229"/>
      <c r="M405" s="37">
        <v>0</v>
      </c>
      <c r="N405" s="27"/>
      <c r="O405" s="28">
        <f t="shared" si="69"/>
        <v>0</v>
      </c>
      <c r="P405" s="43">
        <f t="shared" si="70"/>
        <v>0</v>
      </c>
      <c r="Q405" s="36"/>
      <c r="R405" s="27"/>
    </row>
    <row r="406" spans="1:18" x14ac:dyDescent="0.3">
      <c r="A406" s="3" t="str">
        <f>Autovalutazione!A416</f>
        <v>7.1.7.d</v>
      </c>
      <c r="B406" s="6" t="str">
        <f>Autovalutazione!C416</f>
        <v>Interventi speciali?</v>
      </c>
      <c r="C406" s="38">
        <f>IF(ISBLANK(Autovalutazione!D416),0,1)</f>
        <v>0</v>
      </c>
      <c r="D406" s="293" t="str">
        <f>IF(AND(Autovalutazione!D416="",Autovalutazione!E416=""),"*","")</f>
        <v>*</v>
      </c>
      <c r="E406" s="39" t="str">
        <f>IF(ISBLANK(Autovalutazione!F416),"",Autovalutazione!F416)</f>
        <v/>
      </c>
      <c r="F406" s="237"/>
      <c r="G406" s="237"/>
      <c r="H406" s="237"/>
      <c r="I406" s="237"/>
      <c r="J406" s="237"/>
      <c r="K406" s="237"/>
      <c r="L406" s="229"/>
      <c r="M406" s="37">
        <v>0</v>
      </c>
      <c r="N406" s="27"/>
      <c r="O406" s="28">
        <f t="shared" si="69"/>
        <v>0</v>
      </c>
      <c r="P406" s="43">
        <f t="shared" si="70"/>
        <v>0</v>
      </c>
      <c r="Q406" s="36"/>
      <c r="R406" s="27"/>
    </row>
    <row r="407" spans="1:18" x14ac:dyDescent="0.3">
      <c r="A407" s="3" t="str">
        <f>Autovalutazione!A417</f>
        <v>7.1.7.e</v>
      </c>
      <c r="B407" s="6" t="str">
        <f>Autovalutazione!C417</f>
        <v>Persone tenute a lavorare da sole?</v>
      </c>
      <c r="C407" s="38">
        <f>IF(ISBLANK(Autovalutazione!D417),0,1)</f>
        <v>0</v>
      </c>
      <c r="D407" s="293" t="str">
        <f>IF(AND(Autovalutazione!D417="",Autovalutazione!E417=""),"*","")</f>
        <v>*</v>
      </c>
      <c r="E407" s="39" t="str">
        <f>IF(ISBLANK(Autovalutazione!F417),"",Autovalutazione!F417)</f>
        <v/>
      </c>
      <c r="F407" s="237"/>
      <c r="G407" s="237"/>
      <c r="H407" s="237"/>
      <c r="I407" s="237"/>
      <c r="J407" s="237"/>
      <c r="K407" s="237"/>
      <c r="L407" s="229"/>
      <c r="M407" s="37">
        <v>3</v>
      </c>
      <c r="N407" s="27"/>
      <c r="O407" s="28">
        <f t="shared" si="69"/>
        <v>0</v>
      </c>
      <c r="P407" s="43">
        <f t="shared" si="70"/>
        <v>0</v>
      </c>
      <c r="Q407" s="36"/>
      <c r="R407" s="36"/>
    </row>
    <row r="408" spans="1:18" ht="26.4" x14ac:dyDescent="0.3">
      <c r="A408" s="3" t="str">
        <f>Autovalutazione!A418</f>
        <v>7.1.8.</v>
      </c>
      <c r="B408" s="6" t="str">
        <f>Autovalutazione!C418</f>
        <v>Gli interventi di primo soccorso sono documentati? Se sì, come?</v>
      </c>
      <c r="C408" s="38">
        <f>IF(ISBLANK(Autovalutazione!D418),0,1)</f>
        <v>0</v>
      </c>
      <c r="D408" s="293" t="str">
        <f>IF(AND(Autovalutazione!D418="",Autovalutazione!E418=""),"*","")</f>
        <v>*</v>
      </c>
      <c r="E408" s="39" t="str">
        <f>IF(ISBLANK(Autovalutazione!F418),"",Autovalutazione!F418)</f>
        <v/>
      </c>
      <c r="F408" s="235"/>
      <c r="G408" s="235"/>
      <c r="H408" s="235"/>
      <c r="I408" s="235"/>
      <c r="J408" s="235"/>
      <c r="K408" s="235"/>
      <c r="L408" s="229"/>
      <c r="M408" s="37">
        <v>1</v>
      </c>
      <c r="N408" s="27"/>
      <c r="O408" s="28">
        <f t="shared" si="69"/>
        <v>0</v>
      </c>
      <c r="P408" s="43">
        <f t="shared" si="70"/>
        <v>0</v>
      </c>
      <c r="Q408" s="36"/>
      <c r="R408" s="27"/>
    </row>
    <row r="409" spans="1:18" ht="26.4" x14ac:dyDescent="0.3">
      <c r="A409" s="3" t="str">
        <f>Autovalutazione!A419</f>
        <v>7.1.9.</v>
      </c>
      <c r="B409" s="6" t="str">
        <f>Autovalutazione!C419</f>
        <v>Tutti i dipendenti, di qualsiasi livello, conoscono la corretta procedura in caso di emergenza?</v>
      </c>
      <c r="C409" s="38">
        <f>IF(ISBLANK(Autovalutazione!D419),0,1)</f>
        <v>0</v>
      </c>
      <c r="D409" s="293" t="str">
        <f>IF(AND(Autovalutazione!D419="",Autovalutazione!E419=""),"*","")</f>
        <v>*</v>
      </c>
      <c r="E409" s="39" t="str">
        <f>IF(ISBLANK(Autovalutazione!F419),"",Autovalutazione!F419)</f>
        <v/>
      </c>
      <c r="F409" s="235"/>
      <c r="G409" s="235"/>
      <c r="H409" s="235"/>
      <c r="I409" s="235"/>
      <c r="J409" s="235"/>
      <c r="K409" s="235"/>
      <c r="L409" s="229"/>
      <c r="M409" s="37">
        <v>3</v>
      </c>
      <c r="N409" s="27"/>
      <c r="O409" s="28">
        <f t="shared" si="69"/>
        <v>0</v>
      </c>
      <c r="P409" s="43">
        <f t="shared" si="70"/>
        <v>0</v>
      </c>
      <c r="Q409" s="36"/>
      <c r="R409" s="27"/>
    </row>
    <row r="410" spans="1:18" x14ac:dyDescent="0.3">
      <c r="A410" s="20" t="str">
        <f>Autovalutazione!A420</f>
        <v>7.2.</v>
      </c>
      <c r="B410" s="20" t="str">
        <f>Autovalutazione!B420</f>
        <v>Condizioni personali</v>
      </c>
      <c r="C410" s="21">
        <f>O410/N410</f>
        <v>0</v>
      </c>
      <c r="D410" s="23" t="str">
        <f>IF(ISBLANK(Autovalutazione!E420),"",Autovalutazione!E420)</f>
        <v/>
      </c>
      <c r="E410" s="23" t="str">
        <f>IF(ISBLANK(Autovalutazione!F420),"",Autovalutazione!F420)</f>
        <v/>
      </c>
      <c r="F410" s="232"/>
      <c r="G410" s="232"/>
      <c r="H410" s="232"/>
      <c r="I410" s="232"/>
      <c r="J410" s="232"/>
      <c r="K410" s="232"/>
      <c r="L410" s="50">
        <f>P410/N410</f>
        <v>0</v>
      </c>
      <c r="M410" s="22">
        <v>1</v>
      </c>
      <c r="N410" s="22">
        <f>SUM(M411:M422)</f>
        <v>9</v>
      </c>
      <c r="O410" s="24">
        <f>SUM(O411:O422)</f>
        <v>0</v>
      </c>
      <c r="P410" s="24">
        <f>SUM(P411:P422)</f>
        <v>0</v>
      </c>
      <c r="Q410" s="52">
        <f>O410/$N410*$M410</f>
        <v>0</v>
      </c>
      <c r="R410" s="52">
        <f>P410/$N410*$M410</f>
        <v>0</v>
      </c>
    </row>
    <row r="411" spans="1:18" ht="26.4" x14ac:dyDescent="0.3">
      <c r="A411" s="3" t="str">
        <f>Autovalutazione!A421</f>
        <v>7.2.1.</v>
      </c>
      <c r="B411" s="6" t="str">
        <f>Autovalutazione!C421</f>
        <v>Il personale dispone di istruzioni scritte su come comportarsi in caso di emergenza?</v>
      </c>
      <c r="C411" s="38">
        <f>IF(ISBLANK(Autovalutazione!D421),0,1)</f>
        <v>0</v>
      </c>
      <c r="D411" s="293" t="str">
        <f>IF(AND(Autovalutazione!D421="",Autovalutazione!E421=""),"*","")</f>
        <v>*</v>
      </c>
      <c r="E411" s="39" t="str">
        <f>IF(ISBLANK(Autovalutazione!F421),"",Autovalutazione!F421)</f>
        <v/>
      </c>
      <c r="F411" s="235"/>
      <c r="G411" s="235"/>
      <c r="H411" s="235"/>
      <c r="I411" s="235"/>
      <c r="J411" s="235"/>
      <c r="K411" s="235"/>
      <c r="L411" s="229"/>
      <c r="M411" s="37">
        <v>1</v>
      </c>
      <c r="N411" s="27"/>
      <c r="O411" s="28">
        <f t="shared" ref="O411:O422" si="71">C411*M411</f>
        <v>0</v>
      </c>
      <c r="P411" s="43">
        <f t="shared" ref="P411:P422" si="72">L411*M411</f>
        <v>0</v>
      </c>
      <c r="Q411" s="36"/>
      <c r="R411" s="27"/>
    </row>
    <row r="412" spans="1:18" ht="26.4" x14ac:dyDescent="0.3">
      <c r="A412" s="3" t="str">
        <f>Autovalutazione!A422</f>
        <v>7.2.2.</v>
      </c>
      <c r="B412" s="6" t="str">
        <f>Autovalutazione!C422</f>
        <v>I dipendenti hanno con sé una tessera di emergenza con le informazioni principali?</v>
      </c>
      <c r="C412" s="38">
        <f>IF(ISBLANK(Autovalutazione!D422),0,1)</f>
        <v>0</v>
      </c>
      <c r="D412" s="293" t="str">
        <f>IF(AND(Autovalutazione!D422="",Autovalutazione!E422=""),"*","")</f>
        <v>*</v>
      </c>
      <c r="E412" s="39" t="str">
        <f>IF(ISBLANK(Autovalutazione!F422),"",Autovalutazione!F422)</f>
        <v/>
      </c>
      <c r="F412" s="235"/>
      <c r="G412" s="235"/>
      <c r="H412" s="235"/>
      <c r="I412" s="235"/>
      <c r="J412" s="235"/>
      <c r="K412" s="235"/>
      <c r="L412" s="229"/>
      <c r="M412" s="37">
        <v>1</v>
      </c>
      <c r="N412" s="27"/>
      <c r="O412" s="28">
        <f t="shared" si="71"/>
        <v>0</v>
      </c>
      <c r="P412" s="43">
        <f t="shared" si="72"/>
        <v>0</v>
      </c>
      <c r="Q412" s="36"/>
      <c r="R412" s="27"/>
    </row>
    <row r="413" spans="1:18" ht="39.6" x14ac:dyDescent="0.3">
      <c r="A413" s="3" t="str">
        <f>Autovalutazione!A423</f>
        <v>7.2.3.a</v>
      </c>
      <c r="B413" s="6" t="str">
        <f>Autovalutazione!C423</f>
        <v>Il comportamento da adottare in caso di emergenza (infortuni, quasi-infortuni, ecc.) viene:
istruito?</v>
      </c>
      <c r="C413" s="38">
        <f>IF(ISBLANK(Autovalutazione!D423),0,1)</f>
        <v>0</v>
      </c>
      <c r="D413" s="293" t="str">
        <f>IF(AND(Autovalutazione!D423="",Autovalutazione!E423=""),"*","")</f>
        <v>*</v>
      </c>
      <c r="E413" s="39" t="str">
        <f>IF(ISBLANK(Autovalutazione!F423),"",Autovalutazione!F423)</f>
        <v/>
      </c>
      <c r="F413" s="237"/>
      <c r="G413" s="237"/>
      <c r="H413" s="237"/>
      <c r="I413" s="237"/>
      <c r="J413" s="237"/>
      <c r="K413" s="237"/>
      <c r="L413" s="229"/>
      <c r="M413" s="37">
        <v>1</v>
      </c>
      <c r="N413" s="27"/>
      <c r="O413" s="28">
        <f t="shared" si="71"/>
        <v>0</v>
      </c>
      <c r="P413" s="43">
        <f t="shared" si="72"/>
        <v>0</v>
      </c>
      <c r="Q413" s="36"/>
      <c r="R413" s="36"/>
    </row>
    <row r="414" spans="1:18" x14ac:dyDescent="0.3">
      <c r="A414" s="3" t="str">
        <f>Autovalutazione!A424</f>
        <v>7.2.3.b</v>
      </c>
      <c r="B414" s="6" t="str">
        <f>Autovalutazione!C424</f>
        <v>praticato?</v>
      </c>
      <c r="C414" s="38">
        <f>IF(ISBLANK(Autovalutazione!D424),0,1)</f>
        <v>0</v>
      </c>
      <c r="D414" s="293" t="str">
        <f>IF(AND(Autovalutazione!D424="",Autovalutazione!E424=""),"*","")</f>
        <v>*</v>
      </c>
      <c r="E414" s="39" t="str">
        <f>IF(ISBLANK(Autovalutazione!F424),"",Autovalutazione!F424)</f>
        <v/>
      </c>
      <c r="F414" s="235"/>
      <c r="G414" s="235"/>
      <c r="H414" s="235"/>
      <c r="I414" s="235"/>
      <c r="J414" s="235"/>
      <c r="K414" s="235"/>
      <c r="L414" s="229"/>
      <c r="M414" s="37">
        <v>1</v>
      </c>
      <c r="N414" s="27"/>
      <c r="O414" s="28">
        <f t="shared" si="71"/>
        <v>0</v>
      </c>
      <c r="P414" s="43">
        <f t="shared" si="72"/>
        <v>0</v>
      </c>
      <c r="Q414" s="36"/>
      <c r="R414" s="27"/>
    </row>
    <row r="415" spans="1:18" x14ac:dyDescent="0.3">
      <c r="A415" s="3" t="str">
        <f>Autovalutazione!A425</f>
        <v>7.2.3.c</v>
      </c>
      <c r="B415" s="6" t="str">
        <f>Autovalutazione!C425</f>
        <v>controllato?</v>
      </c>
      <c r="C415" s="38">
        <f>IF(ISBLANK(Autovalutazione!D425),0,1)</f>
        <v>0</v>
      </c>
      <c r="D415" s="293" t="str">
        <f>IF(AND(Autovalutazione!D425="",Autovalutazione!E425=""),"*","")</f>
        <v>*</v>
      </c>
      <c r="E415" s="39" t="str">
        <f>IF(ISBLANK(Autovalutazione!F425),"",Autovalutazione!F425)</f>
        <v/>
      </c>
      <c r="F415" s="235"/>
      <c r="G415" s="235"/>
      <c r="H415" s="235"/>
      <c r="I415" s="235"/>
      <c r="J415" s="235"/>
      <c r="K415" s="235"/>
      <c r="L415" s="229"/>
      <c r="M415" s="37">
        <v>1</v>
      </c>
      <c r="N415" s="27"/>
      <c r="O415" s="28">
        <f t="shared" si="71"/>
        <v>0</v>
      </c>
      <c r="P415" s="43">
        <f t="shared" si="72"/>
        <v>0</v>
      </c>
      <c r="Q415" s="36"/>
      <c r="R415" s="27"/>
    </row>
    <row r="416" spans="1:18" x14ac:dyDescent="0.3">
      <c r="A416" s="3" t="str">
        <f>Autovalutazione!A426</f>
        <v>7.2.4.</v>
      </c>
      <c r="B416" s="6" t="str">
        <f>Autovalutazione!C426</f>
        <v>L'azienda ha un proprio servizio sanitario?</v>
      </c>
      <c r="C416" s="38">
        <f>IF(ISBLANK(Autovalutazione!D426),0,1)</f>
        <v>0</v>
      </c>
      <c r="D416" s="293" t="str">
        <f>IF(AND(Autovalutazione!D426="",Autovalutazione!E426=""),"*","")</f>
        <v>*</v>
      </c>
      <c r="E416" s="39" t="str">
        <f>IF(ISBLANK(Autovalutazione!F426),"",Autovalutazione!F426)</f>
        <v/>
      </c>
      <c r="F416" s="235"/>
      <c r="G416" s="235"/>
      <c r="H416" s="235"/>
      <c r="I416" s="235"/>
      <c r="J416" s="235"/>
      <c r="K416" s="235"/>
      <c r="L416" s="229"/>
      <c r="M416" s="37">
        <v>0</v>
      </c>
      <c r="N416" s="27"/>
      <c r="O416" s="28">
        <f t="shared" si="71"/>
        <v>0</v>
      </c>
      <c r="P416" s="43">
        <f t="shared" si="72"/>
        <v>0</v>
      </c>
      <c r="Q416" s="36"/>
      <c r="R416" s="27"/>
    </row>
    <row r="417" spans="1:18" ht="39.6" x14ac:dyDescent="0.3">
      <c r="A417" s="3" t="str">
        <f>Autovalutazione!A427</f>
        <v>7.2.5.</v>
      </c>
      <c r="B417" s="6" t="str">
        <f>Autovalutazione!C427</f>
        <v>In azienda ci sono persone formate appositamente a prestare i primi soccorsi in qualsiasi momento? Se sì, indicare il numero.</v>
      </c>
      <c r="C417" s="38">
        <f>IF(ISBLANK(Autovalutazione!D427),0,1)</f>
        <v>0</v>
      </c>
      <c r="D417" s="293" t="str">
        <f>IF(AND(Autovalutazione!D427="",Autovalutazione!E427=""),"*","")</f>
        <v>*</v>
      </c>
      <c r="E417" s="39" t="str">
        <f>IF(ISBLANK(Autovalutazione!F427),"",Autovalutazione!F427)</f>
        <v/>
      </c>
      <c r="F417" s="235"/>
      <c r="G417" s="235"/>
      <c r="H417" s="235"/>
      <c r="I417" s="235"/>
      <c r="J417" s="235"/>
      <c r="K417" s="235"/>
      <c r="L417" s="229"/>
      <c r="M417" s="37">
        <v>2</v>
      </c>
      <c r="N417" s="27"/>
      <c r="O417" s="28">
        <f t="shared" si="71"/>
        <v>0</v>
      </c>
      <c r="P417" s="43">
        <f t="shared" si="72"/>
        <v>0</v>
      </c>
      <c r="Q417" s="36"/>
      <c r="R417" s="27"/>
    </row>
    <row r="418" spans="1:18" ht="26.4" x14ac:dyDescent="0.3">
      <c r="A418" s="3" t="str">
        <f>Autovalutazione!A428</f>
        <v>7.2.6.</v>
      </c>
      <c r="B418" s="6" t="str">
        <f>Autovalutazione!C428</f>
        <v>In azienda c'è una stanza attrezzata per il servizio di pronto soccorso, con attrezzature adeguate in base ai rischi?</v>
      </c>
      <c r="C418" s="38">
        <f>IF(ISBLANK(Autovalutazione!D428),0,1)</f>
        <v>0</v>
      </c>
      <c r="D418" s="293" t="str">
        <f>IF(AND(Autovalutazione!D428="",Autovalutazione!E428=""),"*","")</f>
        <v>*</v>
      </c>
      <c r="E418" s="39" t="str">
        <f>IF(ISBLANK(Autovalutazione!F428),"",Autovalutazione!F428)</f>
        <v/>
      </c>
      <c r="F418" s="235"/>
      <c r="G418" s="235"/>
      <c r="H418" s="235"/>
      <c r="I418" s="235"/>
      <c r="J418" s="235"/>
      <c r="K418" s="235"/>
      <c r="L418" s="229"/>
      <c r="M418" s="37">
        <v>1</v>
      </c>
      <c r="N418" s="27"/>
      <c r="O418" s="28">
        <f t="shared" si="71"/>
        <v>0</v>
      </c>
      <c r="P418" s="43">
        <f t="shared" si="72"/>
        <v>0</v>
      </c>
      <c r="Q418" s="36"/>
      <c r="R418" s="27"/>
    </row>
    <row r="419" spans="1:18" ht="39.6" x14ac:dyDescent="0.3">
      <c r="A419" s="3" t="str">
        <f>Autovalutazione!A429</f>
        <v>7.2.7.a</v>
      </c>
      <c r="B419" s="6" t="str">
        <f>Autovalutazione!C429</f>
        <v>È stato stabilito chi in caso di emergenza (infortunio, incendio, ecc.) informa:
i familiari della vittima?</v>
      </c>
      <c r="C419" s="38">
        <f>IF(ISBLANK(Autovalutazione!D429),0,1)</f>
        <v>0</v>
      </c>
      <c r="D419" s="293" t="str">
        <f>IF(AND(Autovalutazione!D429="",Autovalutazione!E429=""),"*","")</f>
        <v>*</v>
      </c>
      <c r="E419" s="39" t="str">
        <f>IF(ISBLANK(Autovalutazione!F429),"",Autovalutazione!F429)</f>
        <v/>
      </c>
      <c r="F419" s="235"/>
      <c r="G419" s="235"/>
      <c r="H419" s="235"/>
      <c r="I419" s="235"/>
      <c r="J419" s="235"/>
      <c r="K419" s="235"/>
      <c r="L419" s="229"/>
      <c r="M419" s="37">
        <v>1</v>
      </c>
      <c r="N419" s="27"/>
      <c r="O419" s="28">
        <f t="shared" si="71"/>
        <v>0</v>
      </c>
      <c r="P419" s="43">
        <f t="shared" si="72"/>
        <v>0</v>
      </c>
      <c r="Q419" s="36"/>
      <c r="R419" s="27"/>
    </row>
    <row r="420" spans="1:18" x14ac:dyDescent="0.3">
      <c r="A420" s="3" t="str">
        <f>Autovalutazione!A430</f>
        <v>7.2.7.b</v>
      </c>
      <c r="B420" s="6" t="str">
        <f>Autovalutazione!C430</f>
        <v>le assicurazioni?</v>
      </c>
      <c r="C420" s="38">
        <f>IF(ISBLANK(Autovalutazione!D430),0,1)</f>
        <v>0</v>
      </c>
      <c r="D420" s="293" t="str">
        <f>IF(AND(Autovalutazione!D430="",Autovalutazione!E430=""),"*","")</f>
        <v>*</v>
      </c>
      <c r="E420" s="39" t="str">
        <f>IF(ISBLANK(Autovalutazione!F430),"",Autovalutazione!F430)</f>
        <v/>
      </c>
      <c r="F420" s="235"/>
      <c r="G420" s="235"/>
      <c r="H420" s="235"/>
      <c r="I420" s="235"/>
      <c r="J420" s="235"/>
      <c r="K420" s="235"/>
      <c r="L420" s="229"/>
      <c r="M420" s="37">
        <v>0</v>
      </c>
      <c r="N420" s="27"/>
      <c r="O420" s="28">
        <f t="shared" si="71"/>
        <v>0</v>
      </c>
      <c r="P420" s="43">
        <f t="shared" si="72"/>
        <v>0</v>
      </c>
      <c r="Q420" s="36"/>
      <c r="R420" s="27"/>
    </row>
    <row r="421" spans="1:18" x14ac:dyDescent="0.3">
      <c r="A421" s="3" t="str">
        <f>Autovalutazione!A431</f>
        <v>7.2.7.c</v>
      </c>
      <c r="B421" s="6" t="str">
        <f>Autovalutazione!C431</f>
        <v>gli uffici competenti?</v>
      </c>
      <c r="C421" s="38">
        <f>IF(ISBLANK(Autovalutazione!D431),0,1)</f>
        <v>0</v>
      </c>
      <c r="D421" s="293" t="str">
        <f>IF(AND(Autovalutazione!D431="",Autovalutazione!E431=""),"*","")</f>
        <v>*</v>
      </c>
      <c r="E421" s="39" t="str">
        <f>IF(ISBLANK(Autovalutazione!F431),"",Autovalutazione!F431)</f>
        <v/>
      </c>
      <c r="F421" s="237"/>
      <c r="G421" s="237"/>
      <c r="H421" s="237"/>
      <c r="I421" s="237"/>
      <c r="J421" s="237"/>
      <c r="K421" s="237"/>
      <c r="L421" s="229"/>
      <c r="M421" s="37">
        <v>0</v>
      </c>
      <c r="N421" s="27"/>
      <c r="O421" s="28">
        <f t="shared" si="71"/>
        <v>0</v>
      </c>
      <c r="P421" s="43">
        <f t="shared" si="72"/>
        <v>0</v>
      </c>
      <c r="Q421" s="36"/>
      <c r="R421" s="27"/>
    </row>
    <row r="422" spans="1:18" x14ac:dyDescent="0.3">
      <c r="A422" s="3" t="str">
        <f>Autovalutazione!A432</f>
        <v>7.2.7.d</v>
      </c>
      <c r="B422" s="6" t="str">
        <f>Autovalutazione!C432</f>
        <v>i mass-media?</v>
      </c>
      <c r="C422" s="38">
        <f>IF(ISBLANK(Autovalutazione!D432),0,1)</f>
        <v>0</v>
      </c>
      <c r="D422" s="293" t="str">
        <f>IF(AND(Autovalutazione!D432="",Autovalutazione!E432=""),"*","")</f>
        <v>*</v>
      </c>
      <c r="E422" s="39" t="str">
        <f>IF(ISBLANK(Autovalutazione!F432),"",Autovalutazione!F432)</f>
        <v/>
      </c>
      <c r="F422" s="237"/>
      <c r="G422" s="237"/>
      <c r="H422" s="237"/>
      <c r="I422" s="237"/>
      <c r="J422" s="237"/>
      <c r="K422" s="237"/>
      <c r="L422" s="229"/>
      <c r="M422" s="37">
        <v>0</v>
      </c>
      <c r="N422" s="27"/>
      <c r="O422" s="28">
        <f t="shared" si="71"/>
        <v>0</v>
      </c>
      <c r="P422" s="43">
        <f t="shared" si="72"/>
        <v>0</v>
      </c>
      <c r="Q422" s="36"/>
      <c r="R422" s="36"/>
    </row>
    <row r="423" spans="1:18" x14ac:dyDescent="0.3">
      <c r="A423" s="20" t="str">
        <f>Autovalutazione!A433</f>
        <v>7.3.</v>
      </c>
      <c r="B423" s="20" t="str">
        <f>Autovalutazione!B433</f>
        <v>Lotta antincendio</v>
      </c>
      <c r="C423" s="21">
        <f>O423/N423</f>
        <v>0</v>
      </c>
      <c r="D423" s="23" t="str">
        <f>IF(ISBLANK(Autovalutazione!E433),"",Autovalutazione!E433)</f>
        <v/>
      </c>
      <c r="E423" s="23" t="str">
        <f>IF(ISBLANK(Autovalutazione!F433),"",Autovalutazione!F433)</f>
        <v/>
      </c>
      <c r="F423" s="232"/>
      <c r="G423" s="232"/>
      <c r="H423" s="232"/>
      <c r="I423" s="232"/>
      <c r="J423" s="232"/>
      <c r="K423" s="232"/>
      <c r="L423" s="50">
        <f>P423/N423</f>
        <v>0</v>
      </c>
      <c r="M423" s="22">
        <v>1</v>
      </c>
      <c r="N423" s="22">
        <f>SUM(M424:M428)</f>
        <v>9</v>
      </c>
      <c r="O423" s="24">
        <f>SUM(O424:O428)</f>
        <v>0</v>
      </c>
      <c r="P423" s="24">
        <f>SUM(P424:P428)</f>
        <v>0</v>
      </c>
      <c r="Q423" s="52">
        <f>O423/$N423*$M423</f>
        <v>0</v>
      </c>
      <c r="R423" s="52">
        <f>P423/$N423*$M423</f>
        <v>0</v>
      </c>
    </row>
    <row r="424" spans="1:18" ht="26.4" x14ac:dyDescent="0.3">
      <c r="A424" s="3" t="str">
        <f>Autovalutazione!A434</f>
        <v>7.3.1.</v>
      </c>
      <c r="B424" s="6" t="str">
        <f>Autovalutazione!C434</f>
        <v>L'azienda ha un proprio apparato organizzativo per far fronte agli incendi?</v>
      </c>
      <c r="C424" s="38">
        <f>IF(ISBLANK(Autovalutazione!D434),0,1)</f>
        <v>0</v>
      </c>
      <c r="D424" s="293" t="str">
        <f>IF(AND(Autovalutazione!D434="",Autovalutazione!E434=""),"*","")</f>
        <v>*</v>
      </c>
      <c r="E424" s="39" t="str">
        <f>IF(ISBLANK(Autovalutazione!F434),"",Autovalutazione!F434)</f>
        <v/>
      </c>
      <c r="F424" s="235"/>
      <c r="G424" s="235"/>
      <c r="H424" s="235"/>
      <c r="I424" s="235"/>
      <c r="J424" s="235"/>
      <c r="K424" s="235"/>
      <c r="L424" s="229"/>
      <c r="M424" s="37">
        <v>1</v>
      </c>
      <c r="N424" s="27"/>
      <c r="O424" s="28">
        <f>C424*M424</f>
        <v>0</v>
      </c>
      <c r="P424" s="43">
        <f t="shared" ref="P424:P428" si="73">L424*M424</f>
        <v>0</v>
      </c>
      <c r="Q424" s="36"/>
      <c r="R424" s="27"/>
    </row>
    <row r="425" spans="1:18" ht="26.4" x14ac:dyDescent="0.3">
      <c r="A425" s="3" t="str">
        <f>Autovalutazione!A435</f>
        <v>7.3.2.</v>
      </c>
      <c r="B425" s="6" t="str">
        <f>Autovalutazione!C435</f>
        <v>Esiste un'organizzazione adeguata (sistema di allarme) e ci sono adeguati rilevatori antincendio?</v>
      </c>
      <c r="C425" s="38">
        <f>IF(ISBLANK(Autovalutazione!D435),0,1)</f>
        <v>0</v>
      </c>
      <c r="D425" s="293" t="str">
        <f>IF(AND(Autovalutazione!D435="",Autovalutazione!E435=""),"*","")</f>
        <v>*</v>
      </c>
      <c r="E425" s="39" t="str">
        <f>IF(ISBLANK(Autovalutazione!F435),"",Autovalutazione!F435)</f>
        <v/>
      </c>
      <c r="F425" s="235"/>
      <c r="G425" s="235"/>
      <c r="H425" s="235"/>
      <c r="I425" s="235"/>
      <c r="J425" s="235"/>
      <c r="K425" s="235"/>
      <c r="L425" s="229"/>
      <c r="M425" s="37">
        <v>3</v>
      </c>
      <c r="N425" s="27"/>
      <c r="O425" s="28">
        <f>C425*M425</f>
        <v>0</v>
      </c>
      <c r="P425" s="43">
        <f t="shared" si="73"/>
        <v>0</v>
      </c>
      <c r="Q425" s="36"/>
      <c r="R425" s="27"/>
    </row>
    <row r="426" spans="1:18" x14ac:dyDescent="0.3">
      <c r="A426" s="3" t="str">
        <f>Autovalutazione!A436</f>
        <v>7.3.3.</v>
      </c>
      <c r="B426" s="6" t="str">
        <f>Autovalutazione!C436</f>
        <v>I dipendenti sanno come comportarsi in caso d'incendio?</v>
      </c>
      <c r="C426" s="38">
        <f>IF(ISBLANK(Autovalutazione!D436),0,1)</f>
        <v>0</v>
      </c>
      <c r="D426" s="293" t="str">
        <f>IF(AND(Autovalutazione!D436="",Autovalutazione!E436=""),"*","")</f>
        <v>*</v>
      </c>
      <c r="E426" s="39" t="str">
        <f>IF(ISBLANK(Autovalutazione!F436),"",Autovalutazione!F436)</f>
        <v/>
      </c>
      <c r="F426" s="235"/>
      <c r="G426" s="235"/>
      <c r="H426" s="235"/>
      <c r="I426" s="235"/>
      <c r="J426" s="235"/>
      <c r="K426" s="235"/>
      <c r="L426" s="229"/>
      <c r="M426" s="37">
        <v>3</v>
      </c>
      <c r="N426" s="27"/>
      <c r="O426" s="28">
        <f>C426*M426</f>
        <v>0</v>
      </c>
      <c r="P426" s="43">
        <f t="shared" si="73"/>
        <v>0</v>
      </c>
      <c r="Q426" s="36"/>
      <c r="R426" s="27"/>
    </row>
    <row r="427" spans="1:18" ht="26.4" x14ac:dyDescent="0.3">
      <c r="A427" s="3" t="str">
        <f>Autovalutazione!A437</f>
        <v>7.3.4.</v>
      </c>
      <c r="B427" s="6" t="str">
        <f>Autovalutazione!C437</f>
        <v xml:space="preserve">Si svolgono delle esercitazioni? Se sì, quando è avvenuta l'ultima esercitazione? </v>
      </c>
      <c r="C427" s="38">
        <f>IF(ISBLANK(Autovalutazione!D437),0,1)</f>
        <v>0</v>
      </c>
      <c r="D427" s="293" t="str">
        <f>IF(AND(Autovalutazione!D437="",Autovalutazione!E437=""),"*","")</f>
        <v>*</v>
      </c>
      <c r="E427" s="39" t="str">
        <f>IF(ISBLANK(Autovalutazione!F437),"",Autovalutazione!F437)</f>
        <v/>
      </c>
      <c r="F427" s="235"/>
      <c r="G427" s="235"/>
      <c r="H427" s="235"/>
      <c r="I427" s="235"/>
      <c r="J427" s="235"/>
      <c r="K427" s="235"/>
      <c r="L427" s="229"/>
      <c r="M427" s="37">
        <v>1</v>
      </c>
      <c r="N427" s="27"/>
      <c r="O427" s="28">
        <f>C427*M427</f>
        <v>0</v>
      </c>
      <c r="P427" s="43">
        <f t="shared" si="73"/>
        <v>0</v>
      </c>
      <c r="Q427" s="36"/>
      <c r="R427" s="27"/>
    </row>
    <row r="428" spans="1:18" x14ac:dyDescent="0.3">
      <c r="A428" s="3" t="str">
        <f>Autovalutazione!A438</f>
        <v>7.3.5.</v>
      </c>
      <c r="B428" s="6" t="str">
        <f>Autovalutazione!C438</f>
        <v>All'ultima esercitazione hanno preso parte tutti i dipendenti?</v>
      </c>
      <c r="C428" s="38">
        <f>IF(ISBLANK(Autovalutazione!D438),0,1)</f>
        <v>0</v>
      </c>
      <c r="D428" s="293" t="str">
        <f>IF(AND(Autovalutazione!D438="",Autovalutazione!E438=""),"*","")</f>
        <v>*</v>
      </c>
      <c r="E428" s="39" t="str">
        <f>IF(ISBLANK(Autovalutazione!F438),"",Autovalutazione!F438)</f>
        <v/>
      </c>
      <c r="F428" s="235"/>
      <c r="G428" s="235"/>
      <c r="H428" s="235"/>
      <c r="I428" s="235"/>
      <c r="J428" s="235"/>
      <c r="K428" s="235"/>
      <c r="L428" s="229"/>
      <c r="M428" s="37">
        <v>1</v>
      </c>
      <c r="N428" s="27"/>
      <c r="O428" s="28">
        <f>C428*M428</f>
        <v>0</v>
      </c>
      <c r="P428" s="43">
        <f t="shared" si="73"/>
        <v>0</v>
      </c>
      <c r="Q428" s="36"/>
      <c r="R428" s="27"/>
    </row>
    <row r="429" spans="1:18" x14ac:dyDescent="0.3">
      <c r="A429" s="34" t="str">
        <f>Autovalutazione!A440</f>
        <v>8.</v>
      </c>
      <c r="B429" s="7" t="str">
        <f>Autovalutazione!B440</f>
        <v>Partecipazione</v>
      </c>
      <c r="C429" s="30">
        <f>O429/N429</f>
        <v>0</v>
      </c>
      <c r="D429" s="18"/>
      <c r="E429" s="18"/>
      <c r="F429" s="18"/>
      <c r="G429" s="18"/>
      <c r="H429" s="18"/>
      <c r="I429" s="18"/>
      <c r="J429" s="18"/>
      <c r="K429" s="18"/>
      <c r="L429" s="231">
        <f>P429/N429</f>
        <v>0</v>
      </c>
      <c r="M429" s="5"/>
      <c r="N429" s="5">
        <f>SUM(M430,M437)</f>
        <v>6</v>
      </c>
      <c r="O429" s="48">
        <f>SUM(Q430:Q444)</f>
        <v>0</v>
      </c>
      <c r="P429" s="48">
        <f>SUM(R430:R444)</f>
        <v>0</v>
      </c>
      <c r="Q429" s="35"/>
      <c r="R429" s="35"/>
    </row>
    <row r="430" spans="1:18" x14ac:dyDescent="0.3">
      <c r="A430" s="20" t="str">
        <f>Autovalutazione!A442</f>
        <v>8.1.</v>
      </c>
      <c r="B430" s="20" t="str">
        <f>Autovalutazione!B442</f>
        <v>Partecipazione dei lavoratori</v>
      </c>
      <c r="C430" s="21">
        <f>O430/N430</f>
        <v>0</v>
      </c>
      <c r="D430" s="23"/>
      <c r="E430" s="23"/>
      <c r="F430" s="232"/>
      <c r="G430" s="232"/>
      <c r="H430" s="232"/>
      <c r="I430" s="232"/>
      <c r="J430" s="232"/>
      <c r="K430" s="232"/>
      <c r="L430" s="50">
        <f>P430/N430</f>
        <v>0</v>
      </c>
      <c r="M430" s="22">
        <v>3</v>
      </c>
      <c r="N430" s="22">
        <f>SUM(M431:M436)</f>
        <v>9</v>
      </c>
      <c r="O430" s="24">
        <f>SUM(O431:O436)</f>
        <v>0</v>
      </c>
      <c r="P430" s="24">
        <f>SUM(P431:P436)</f>
        <v>0</v>
      </c>
      <c r="Q430" s="52">
        <f>O430/$N430*$M430</f>
        <v>0</v>
      </c>
      <c r="R430" s="52">
        <f>P430/$N430*$M430</f>
        <v>0</v>
      </c>
    </row>
    <row r="431" spans="1:18" ht="66" x14ac:dyDescent="0.3">
      <c r="A431" s="3" t="str">
        <f>Autovalutazione!A443</f>
        <v>8.1.1.</v>
      </c>
      <c r="B431" s="6" t="str">
        <f>Autovalutazione!C443</f>
        <v>L'informazione e lo scambio con i dipendenti è regolamentato secondo la Legge sulla partecipazione*?
* Legge sulla partecipazione: Legge federale sull'informazione e la
consultazione dei lavoratori nelle imprese</v>
      </c>
      <c r="C431" s="38">
        <f>IF(ISBLANK(Autovalutazione!D443),0,1)</f>
        <v>0</v>
      </c>
      <c r="D431" s="293" t="str">
        <f>IF(AND(Autovalutazione!D443="",Autovalutazione!E443=""),"*","")</f>
        <v>*</v>
      </c>
      <c r="E431" s="39" t="str">
        <f>IF(ISBLANK(Autovalutazione!F443),"",Autovalutazione!F443)</f>
        <v/>
      </c>
      <c r="F431" s="235"/>
      <c r="G431" s="235"/>
      <c r="H431" s="235"/>
      <c r="I431" s="235"/>
      <c r="J431" s="235"/>
      <c r="K431" s="235"/>
      <c r="L431" s="229"/>
      <c r="M431" s="37">
        <v>3</v>
      </c>
      <c r="N431" s="27"/>
      <c r="O431" s="28">
        <f t="shared" ref="O431:O436" si="74">C431*M431</f>
        <v>0</v>
      </c>
      <c r="P431" s="43">
        <f t="shared" ref="P431:P436" si="75">L431*M431</f>
        <v>0</v>
      </c>
      <c r="Q431" s="36"/>
      <c r="R431" s="27"/>
    </row>
    <row r="432" spans="1:18" ht="26.4" x14ac:dyDescent="0.3">
      <c r="A432" s="3" t="str">
        <f>Autovalutazione!A444</f>
        <v>8.1.2.a</v>
      </c>
      <c r="B432" s="6" t="str">
        <f>Autovalutazione!C444</f>
        <v>Quale forma rappresentativa esiste in azienda:
Rappresentanza diretta?</v>
      </c>
      <c r="C432" s="38">
        <f>IF(ISBLANK(Autovalutazione!D444),0,1)</f>
        <v>0</v>
      </c>
      <c r="D432" s="293" t="str">
        <f>IF(AND(Autovalutazione!D444="",Autovalutazione!E444=""),"*","")</f>
        <v>*</v>
      </c>
      <c r="E432" s="39" t="str">
        <f>IF(ISBLANK(Autovalutazione!F444),"",Autovalutazione!F444)</f>
        <v/>
      </c>
      <c r="F432" s="235"/>
      <c r="G432" s="235"/>
      <c r="H432" s="235"/>
      <c r="I432" s="235"/>
      <c r="J432" s="235"/>
      <c r="K432" s="235"/>
      <c r="L432" s="229"/>
      <c r="M432" s="37">
        <v>0</v>
      </c>
      <c r="N432" s="27"/>
      <c r="O432" s="28">
        <f t="shared" si="74"/>
        <v>0</v>
      </c>
      <c r="P432" s="43">
        <f t="shared" si="75"/>
        <v>0</v>
      </c>
      <c r="Q432" s="36"/>
      <c r="R432" s="27"/>
    </row>
    <row r="433" spans="1:18" x14ac:dyDescent="0.3">
      <c r="A433" s="3" t="str">
        <f>Autovalutazione!A445</f>
        <v>8.1.2.b</v>
      </c>
      <c r="B433" s="6" t="str">
        <f>Autovalutazione!C445</f>
        <v>Rappresentante eletto dal personale?</v>
      </c>
      <c r="C433" s="38">
        <f>IF(ISBLANK(Autovalutazione!D445),0,1)</f>
        <v>0</v>
      </c>
      <c r="D433" s="293" t="str">
        <f>IF(AND(Autovalutazione!D445="",Autovalutazione!E445=""),"*","")</f>
        <v>*</v>
      </c>
      <c r="E433" s="39" t="str">
        <f>IF(ISBLANK(Autovalutazione!F445),"",Autovalutazione!F445)</f>
        <v/>
      </c>
      <c r="F433" s="235"/>
      <c r="G433" s="235"/>
      <c r="H433" s="235"/>
      <c r="I433" s="235"/>
      <c r="J433" s="235"/>
      <c r="K433" s="235"/>
      <c r="L433" s="229"/>
      <c r="M433" s="37">
        <v>0</v>
      </c>
      <c r="N433" s="27"/>
      <c r="O433" s="28">
        <f t="shared" si="74"/>
        <v>0</v>
      </c>
      <c r="P433" s="43">
        <f t="shared" si="75"/>
        <v>0</v>
      </c>
      <c r="Q433" s="36"/>
      <c r="R433" s="27"/>
    </row>
    <row r="434" spans="1:18" ht="26.4" x14ac:dyDescent="0.3">
      <c r="A434" s="3" t="str">
        <f>Autovalutazione!A446</f>
        <v>8.1.3.</v>
      </c>
      <c r="B434" s="6" t="str">
        <f>Autovalutazione!C446</f>
        <v>Si provvede a informare tempestivamente e in maniera esauriente i dipendenti o i loro rappresentanti?</v>
      </c>
      <c r="C434" s="38">
        <f>IF(ISBLANK(Autovalutazione!D446),0,1)</f>
        <v>0</v>
      </c>
      <c r="D434" s="293" t="str">
        <f>IF(AND(Autovalutazione!D446="",Autovalutazione!E446=""),"*","")</f>
        <v>*</v>
      </c>
      <c r="E434" s="39" t="str">
        <f>IF(ISBLANK(Autovalutazione!F446),"",Autovalutazione!F446)</f>
        <v/>
      </c>
      <c r="F434" s="235"/>
      <c r="G434" s="235"/>
      <c r="H434" s="235"/>
      <c r="I434" s="235"/>
      <c r="J434" s="235"/>
      <c r="K434" s="235"/>
      <c r="L434" s="229"/>
      <c r="M434" s="37">
        <v>3</v>
      </c>
      <c r="N434" s="27"/>
      <c r="O434" s="28">
        <f t="shared" si="74"/>
        <v>0</v>
      </c>
      <c r="P434" s="43">
        <f t="shared" si="75"/>
        <v>0</v>
      </c>
      <c r="Q434" s="36"/>
      <c r="R434" s="27"/>
    </row>
    <row r="435" spans="1:18" ht="39.6" x14ac:dyDescent="0.3">
      <c r="A435" s="3" t="str">
        <f>Autovalutazione!A447</f>
        <v>8.1.4.</v>
      </c>
      <c r="B435" s="6" t="str">
        <f>Autovalutazione!C447</f>
        <v>Sono garantiti i diritti di partecipazione dei lavoratori e dei loro rappresentanti nelle questioni inerenti la sicurezza sul lavoro e la tutela della salute?</v>
      </c>
      <c r="C435" s="38">
        <f>IF(ISBLANK(Autovalutazione!D447),0,1)</f>
        <v>0</v>
      </c>
      <c r="D435" s="293" t="str">
        <f>IF(AND(Autovalutazione!D447="",Autovalutazione!E447=""),"*","")</f>
        <v>*</v>
      </c>
      <c r="E435" s="39" t="str">
        <f>IF(ISBLANK(Autovalutazione!F447),"",Autovalutazione!F447)</f>
        <v/>
      </c>
      <c r="F435" s="237"/>
      <c r="G435" s="237"/>
      <c r="H435" s="237"/>
      <c r="I435" s="237"/>
      <c r="J435" s="237"/>
      <c r="K435" s="237"/>
      <c r="L435" s="229"/>
      <c r="M435" s="37">
        <v>3</v>
      </c>
      <c r="N435" s="27"/>
      <c r="O435" s="28">
        <f t="shared" si="74"/>
        <v>0</v>
      </c>
      <c r="P435" s="43">
        <f t="shared" si="75"/>
        <v>0</v>
      </c>
      <c r="Q435" s="36"/>
      <c r="R435" s="36"/>
    </row>
    <row r="436" spans="1:18" ht="26.4" x14ac:dyDescent="0.3">
      <c r="A436" s="3" t="str">
        <f>Autovalutazione!A448</f>
        <v>8.1.5.</v>
      </c>
      <c r="B436" s="6" t="str">
        <f>Autovalutazione!C448</f>
        <v>I rappresentanti dei lavoratori sono appoggiati dal datore di lavoro?</v>
      </c>
      <c r="C436" s="38">
        <f>IF(ISBLANK(Autovalutazione!D448),0,1)</f>
        <v>0</v>
      </c>
      <c r="D436" s="293" t="str">
        <f>IF(AND(Autovalutazione!D448="",Autovalutazione!E448=""),"*","")</f>
        <v>*</v>
      </c>
      <c r="E436" s="39" t="str">
        <f>IF(ISBLANK(Autovalutazione!F448),"",Autovalutazione!F448)</f>
        <v/>
      </c>
      <c r="F436" s="235"/>
      <c r="G436" s="235"/>
      <c r="H436" s="235"/>
      <c r="I436" s="235"/>
      <c r="J436" s="235"/>
      <c r="K436" s="235"/>
      <c r="L436" s="229"/>
      <c r="M436" s="37">
        <v>0</v>
      </c>
      <c r="N436" s="27"/>
      <c r="O436" s="28">
        <f t="shared" si="74"/>
        <v>0</v>
      </c>
      <c r="P436" s="43">
        <f t="shared" si="75"/>
        <v>0</v>
      </c>
      <c r="Q436" s="36"/>
      <c r="R436" s="27"/>
    </row>
    <row r="437" spans="1:18" x14ac:dyDescent="0.3">
      <c r="A437" s="20" t="str">
        <f>Autovalutazione!A449</f>
        <v>8.2.</v>
      </c>
      <c r="B437" s="20" t="str">
        <f>Autovalutazione!B449</f>
        <v>Proposte, incentivi</v>
      </c>
      <c r="C437" s="21">
        <f>O437/N437</f>
        <v>0</v>
      </c>
      <c r="D437" s="23" t="str">
        <f>IF(ISBLANK(Autovalutazione!E449),"",Autovalutazione!E449)</f>
        <v/>
      </c>
      <c r="E437" s="23" t="str">
        <f>IF(ISBLANK(Autovalutazione!F449),"",Autovalutazione!F449)</f>
        <v/>
      </c>
      <c r="F437" s="232"/>
      <c r="G437" s="232"/>
      <c r="H437" s="232"/>
      <c r="I437" s="232"/>
      <c r="J437" s="232"/>
      <c r="K437" s="232"/>
      <c r="L437" s="50">
        <f>P437/N437</f>
        <v>0</v>
      </c>
      <c r="M437" s="22">
        <v>3</v>
      </c>
      <c r="N437" s="22">
        <f>SUM(M438:M444)</f>
        <v>11</v>
      </c>
      <c r="O437" s="24">
        <f>SUM(O438:O444)</f>
        <v>0</v>
      </c>
      <c r="P437" s="24">
        <f>SUM(P438:P444)</f>
        <v>0</v>
      </c>
      <c r="Q437" s="52">
        <f>O437/$N437*$M437</f>
        <v>0</v>
      </c>
      <c r="R437" s="52">
        <f>P437/$N437*$M437</f>
        <v>0</v>
      </c>
    </row>
    <row r="438" spans="1:18" ht="26.4" x14ac:dyDescent="0.3">
      <c r="A438" s="3" t="str">
        <f>Autovalutazione!A450</f>
        <v>8.2.1.</v>
      </c>
      <c r="B438" s="6" t="str">
        <f>Autovalutazione!C450</f>
        <v>Nella vostra azienda c'è un sistema istituzionalizzato per avanzare proposte?</v>
      </c>
      <c r="C438" s="38">
        <f>IF(ISBLANK(Autovalutazione!D450),0,1)</f>
        <v>0</v>
      </c>
      <c r="D438" s="293" t="str">
        <f>IF(AND(Autovalutazione!D450="",Autovalutazione!E450=""),"*","")</f>
        <v>*</v>
      </c>
      <c r="E438" s="39" t="str">
        <f>IF(ISBLANK(Autovalutazione!F450),"",Autovalutazione!F450)</f>
        <v/>
      </c>
      <c r="F438" s="235"/>
      <c r="G438" s="235"/>
      <c r="H438" s="235"/>
      <c r="I438" s="235"/>
      <c r="J438" s="235"/>
      <c r="K438" s="235"/>
      <c r="L438" s="229"/>
      <c r="M438" s="37">
        <v>1</v>
      </c>
      <c r="N438" s="27"/>
      <c r="O438" s="28">
        <f t="shared" ref="O438:O444" si="76">C438*M438</f>
        <v>0</v>
      </c>
      <c r="P438" s="43">
        <f t="shared" ref="P438:P444" si="77">L438*M438</f>
        <v>0</v>
      </c>
      <c r="Q438" s="36"/>
      <c r="R438" s="27"/>
    </row>
    <row r="439" spans="1:18" ht="26.4" x14ac:dyDescent="0.3">
      <c r="A439" s="3" t="str">
        <f>Autovalutazione!A451</f>
        <v>8.2.2.</v>
      </c>
      <c r="B439" s="6" t="str">
        <f>Autovalutazione!C451</f>
        <v>Si dice esplicitamente che sono gradite proposte in materia di sicurezza e tutela della salute?</v>
      </c>
      <c r="C439" s="38">
        <f>IF(ISBLANK(Autovalutazione!D451),0,1)</f>
        <v>0</v>
      </c>
      <c r="D439" s="293" t="str">
        <f>IF(AND(Autovalutazione!D451="",Autovalutazione!E451=""),"*","")</f>
        <v>*</v>
      </c>
      <c r="E439" s="39" t="str">
        <f>IF(ISBLANK(Autovalutazione!F451),"",Autovalutazione!F451)</f>
        <v/>
      </c>
      <c r="F439" s="235"/>
      <c r="G439" s="235"/>
      <c r="H439" s="235"/>
      <c r="I439" s="235"/>
      <c r="J439" s="235"/>
      <c r="K439" s="235"/>
      <c r="L439" s="229"/>
      <c r="M439" s="37">
        <v>3</v>
      </c>
      <c r="N439" s="27"/>
      <c r="O439" s="28">
        <f t="shared" si="76"/>
        <v>0</v>
      </c>
      <c r="P439" s="43">
        <f t="shared" si="77"/>
        <v>0</v>
      </c>
      <c r="Q439" s="36"/>
      <c r="R439" s="27"/>
    </row>
    <row r="440" spans="1:18" ht="26.4" x14ac:dyDescent="0.3">
      <c r="A440" s="3" t="str">
        <f>Autovalutazione!A452</f>
        <v>8.2.3.</v>
      </c>
      <c r="B440" s="6" t="str">
        <f>Autovalutazione!C452</f>
        <v>Le proposte sono state fatte negli ultimi 12 mesi? Se sì, quanti?</v>
      </c>
      <c r="C440" s="38">
        <f>IF(ISBLANK(Autovalutazione!D452),0,1)</f>
        <v>0</v>
      </c>
      <c r="D440" s="293" t="str">
        <f>IF(AND(Autovalutazione!D452="",Autovalutazione!E452=""),"*","")</f>
        <v>*</v>
      </c>
      <c r="E440" s="39" t="str">
        <f>IF(ISBLANK(Autovalutazione!F452),"",Autovalutazione!F452)</f>
        <v/>
      </c>
      <c r="F440" s="235"/>
      <c r="G440" s="235"/>
      <c r="H440" s="235"/>
      <c r="I440" s="235"/>
      <c r="J440" s="235"/>
      <c r="K440" s="235"/>
      <c r="L440" s="229"/>
      <c r="M440" s="37">
        <v>0</v>
      </c>
      <c r="N440" s="27"/>
      <c r="O440" s="28">
        <f t="shared" si="76"/>
        <v>0</v>
      </c>
      <c r="P440" s="43">
        <f t="shared" si="77"/>
        <v>0</v>
      </c>
      <c r="Q440" s="36"/>
      <c r="R440" s="27"/>
    </row>
    <row r="441" spans="1:18" ht="39.6" x14ac:dyDescent="0.3">
      <c r="A441" s="3" t="str">
        <f>Autovalutazione!A453</f>
        <v>8.2.4.</v>
      </c>
      <c r="B441" s="6" t="str">
        <f>Autovalutazione!C453</f>
        <v>Sono state fatte negli ultimi 12 mesi le proposte che riguardavano la sicurezza e la salute in senso lato? Se sì, quanti?</v>
      </c>
      <c r="C441" s="38">
        <f>IF(ISBLANK(Autovalutazione!D453),0,1)</f>
        <v>0</v>
      </c>
      <c r="D441" s="293" t="str">
        <f>IF(AND(Autovalutazione!D453="",Autovalutazione!E453=""),"*","")</f>
        <v>*</v>
      </c>
      <c r="E441" s="39" t="str">
        <f>IF(ISBLANK(Autovalutazione!F453),"",Autovalutazione!F453)</f>
        <v/>
      </c>
      <c r="F441" s="235"/>
      <c r="G441" s="235"/>
      <c r="H441" s="235"/>
      <c r="I441" s="235"/>
      <c r="J441" s="235"/>
      <c r="K441" s="235"/>
      <c r="L441" s="229"/>
      <c r="M441" s="37">
        <v>2</v>
      </c>
      <c r="N441" s="27"/>
      <c r="O441" s="28">
        <f t="shared" si="76"/>
        <v>0</v>
      </c>
      <c r="P441" s="43">
        <f t="shared" si="77"/>
        <v>0</v>
      </c>
      <c r="Q441" s="36"/>
      <c r="R441" s="27"/>
    </row>
    <row r="442" spans="1:18" ht="26.4" x14ac:dyDescent="0.3">
      <c r="A442" s="3" t="str">
        <f>Autovalutazione!A454</f>
        <v>8.2.5.</v>
      </c>
      <c r="B442" s="6" t="str">
        <f>Autovalutazione!C454</f>
        <v>Le proposte a favore della sicurezza vengono ricompensate? Se sì, in che modo?</v>
      </c>
      <c r="C442" s="38">
        <f>IF(ISBLANK(Autovalutazione!D454),0,1)</f>
        <v>0</v>
      </c>
      <c r="D442" s="293" t="str">
        <f>IF(AND(Autovalutazione!D454="",Autovalutazione!E454=""),"*","")</f>
        <v>*</v>
      </c>
      <c r="E442" s="39" t="str">
        <f>IF(ISBLANK(Autovalutazione!F454),"",Autovalutazione!F454)</f>
        <v/>
      </c>
      <c r="F442" s="235"/>
      <c r="G442" s="235"/>
      <c r="H442" s="235"/>
      <c r="I442" s="235"/>
      <c r="J442" s="235"/>
      <c r="K442" s="235"/>
      <c r="L442" s="229"/>
      <c r="M442" s="37">
        <v>1</v>
      </c>
      <c r="N442" s="27"/>
      <c r="O442" s="28">
        <f t="shared" si="76"/>
        <v>0</v>
      </c>
      <c r="P442" s="43">
        <f t="shared" si="77"/>
        <v>0</v>
      </c>
      <c r="Q442" s="36"/>
      <c r="R442" s="27"/>
    </row>
    <row r="443" spans="1:18" ht="39.6" x14ac:dyDescent="0.3">
      <c r="A443" s="3" t="str">
        <f>Autovalutazione!A455</f>
        <v>8.2.6.</v>
      </c>
      <c r="B443" s="6" t="str">
        <f>Autovalutazione!C455</f>
        <v>La vostra azienda applica un sistema di incentivi per promuovere la sicurezza e la tutela della salute? Se sì, in cosa consistono gli incentivi?</v>
      </c>
      <c r="C443" s="38">
        <f>IF(ISBLANK(Autovalutazione!D455),0,1)</f>
        <v>0</v>
      </c>
      <c r="D443" s="293" t="str">
        <f>IF(AND(Autovalutazione!D455="",Autovalutazione!E455=""),"*","")</f>
        <v>*</v>
      </c>
      <c r="E443" s="39" t="str">
        <f>IF(ISBLANK(Autovalutazione!F455),"",Autovalutazione!F455)</f>
        <v/>
      </c>
      <c r="F443" s="235"/>
      <c r="G443" s="235"/>
      <c r="H443" s="235"/>
      <c r="I443" s="235"/>
      <c r="J443" s="235"/>
      <c r="K443" s="235"/>
      <c r="L443" s="229"/>
      <c r="M443" s="37">
        <v>1</v>
      </c>
      <c r="N443" s="27"/>
      <c r="O443" s="28">
        <f t="shared" si="76"/>
        <v>0</v>
      </c>
      <c r="P443" s="43">
        <f t="shared" si="77"/>
        <v>0</v>
      </c>
      <c r="Q443" s="36"/>
      <c r="R443" s="27"/>
    </row>
    <row r="444" spans="1:18" ht="79.2" x14ac:dyDescent="0.3">
      <c r="A444" s="3" t="str">
        <f>Autovalutazione!A456</f>
        <v>8.2.7.</v>
      </c>
      <c r="B444" s="6" t="str">
        <f>Autovalutazione!C456</f>
        <v xml:space="preserve">Nella vostra azienda esiste un circolo di qualità* o qualcosa di analogo per sfruttare il potenziale creativo del personale? Se sì, quale?
* Circolo di qualità: gruppo di lavoro che si occupa del miglioramento
costante della qualità. </v>
      </c>
      <c r="C444" s="38">
        <f>IF(ISBLANK(Autovalutazione!D456),0,1)</f>
        <v>0</v>
      </c>
      <c r="D444" s="293" t="str">
        <f>IF(AND(Autovalutazione!D456="",Autovalutazione!E456=""),"*","")</f>
        <v>*</v>
      </c>
      <c r="E444" s="39" t="str">
        <f>IF(ISBLANK(Autovalutazione!F456),"",Autovalutazione!F456)</f>
        <v/>
      </c>
      <c r="F444" s="235"/>
      <c r="G444" s="235"/>
      <c r="H444" s="235"/>
      <c r="I444" s="235"/>
      <c r="J444" s="235"/>
      <c r="K444" s="235"/>
      <c r="L444" s="229"/>
      <c r="M444" s="37">
        <v>3</v>
      </c>
      <c r="N444" s="27"/>
      <c r="O444" s="28">
        <f t="shared" si="76"/>
        <v>0</v>
      </c>
      <c r="P444" s="43">
        <f t="shared" si="77"/>
        <v>0</v>
      </c>
      <c r="Q444" s="36"/>
      <c r="R444" s="27"/>
    </row>
    <row r="445" spans="1:18" x14ac:dyDescent="0.3">
      <c r="A445" s="34" t="str">
        <f>Autovalutazione!A458</f>
        <v>9.</v>
      </c>
      <c r="B445" s="7" t="str">
        <f>Autovalutazione!B458</f>
        <v>Tutela della salute</v>
      </c>
      <c r="C445" s="30">
        <f>O445/N445</f>
        <v>0.15833333333333333</v>
      </c>
      <c r="D445" s="18"/>
      <c r="E445" s="18"/>
      <c r="F445" s="18"/>
      <c r="G445" s="18"/>
      <c r="H445" s="18"/>
      <c r="I445" s="18"/>
      <c r="J445" s="18"/>
      <c r="K445" s="18"/>
      <c r="L445" s="231">
        <f>P445/N445</f>
        <v>0.15833333333333333</v>
      </c>
      <c r="M445" s="5"/>
      <c r="N445" s="5">
        <f>SUM(M446,M454,M464,M491,M507,M517,M526,M532,M540,M550)</f>
        <v>11</v>
      </c>
      <c r="O445" s="48">
        <f>SUM(Q446:Q555)</f>
        <v>1.7416666666666665</v>
      </c>
      <c r="P445" s="48">
        <f>SUM(R446:R555)</f>
        <v>1.7416666666666665</v>
      </c>
      <c r="Q445" s="35"/>
      <c r="R445" s="35"/>
    </row>
    <row r="446" spans="1:18" x14ac:dyDescent="0.3">
      <c r="A446" s="20" t="str">
        <f>Autovalutazione!A460</f>
        <v>9.1.</v>
      </c>
      <c r="B446" s="20" t="str">
        <f>Autovalutazione!B460</f>
        <v>Organizzazione del lavoro</v>
      </c>
      <c r="C446" s="21">
        <f>O446/N446</f>
        <v>0.26666666666666666</v>
      </c>
      <c r="D446" s="23"/>
      <c r="E446" s="23"/>
      <c r="F446" s="232"/>
      <c r="G446" s="232"/>
      <c r="H446" s="232"/>
      <c r="I446" s="232"/>
      <c r="J446" s="232"/>
      <c r="K446" s="232"/>
      <c r="L446" s="50">
        <f>P446/N446</f>
        <v>0.26666666666666666</v>
      </c>
      <c r="M446" s="22">
        <v>2</v>
      </c>
      <c r="N446" s="22">
        <f>SUM(M447:M453)</f>
        <v>15</v>
      </c>
      <c r="O446" s="24">
        <f>SUM(O447:O453)</f>
        <v>4</v>
      </c>
      <c r="P446" s="24">
        <f>SUM(P447:P453)</f>
        <v>4</v>
      </c>
      <c r="Q446" s="52">
        <f>O446/$N446*$M446</f>
        <v>0.53333333333333333</v>
      </c>
      <c r="R446" s="52">
        <f>P446/$N446*$M446</f>
        <v>0.53333333333333333</v>
      </c>
    </row>
    <row r="447" spans="1:18" ht="28.5" customHeight="1" x14ac:dyDescent="0.3">
      <c r="A447" s="3" t="str">
        <f>Autovalutazione!A461</f>
        <v>9.1.1.</v>
      </c>
      <c r="B447" s="6" t="str">
        <f>Autovalutazione!C461</f>
        <v>I dipendenti possono ripartirsi il lavoro autonomamente?</v>
      </c>
      <c r="C447" s="38">
        <f>IF(ISBLANK(Autovalutazione!D461),0,1)</f>
        <v>0</v>
      </c>
      <c r="D447" s="293" t="str">
        <f>IF(AND(Autovalutazione!D461="",Autovalutazione!E461=""),"*","")</f>
        <v>*</v>
      </c>
      <c r="E447" s="39" t="str">
        <f>IF(ISBLANK(Autovalutazione!F461),"",Autovalutazione!F461)</f>
        <v/>
      </c>
      <c r="F447" s="235"/>
      <c r="G447" s="235"/>
      <c r="H447" s="235"/>
      <c r="I447" s="235"/>
      <c r="J447" s="235"/>
      <c r="K447" s="235"/>
      <c r="L447" s="229"/>
      <c r="M447" s="37">
        <v>3</v>
      </c>
      <c r="N447" s="27"/>
      <c r="O447" s="28">
        <f>C447*M447</f>
        <v>0</v>
      </c>
      <c r="P447" s="43">
        <f t="shared" ref="P447:P449" si="78">L447*M447</f>
        <v>0</v>
      </c>
      <c r="Q447" s="36"/>
      <c r="R447" s="27"/>
    </row>
    <row r="448" spans="1:18" ht="26.4" x14ac:dyDescent="0.3">
      <c r="A448" s="3" t="str">
        <f>Autovalutazione!A462</f>
        <v>9.1.2.</v>
      </c>
      <c r="B448" s="6" t="str">
        <f>Autovalutazione!C462</f>
        <v>I dipendenti possono interrompere il lavoro senza conseguenze negative?</v>
      </c>
      <c r="C448" s="38">
        <f>IF(ISBLANK(Autovalutazione!D462),0,1)</f>
        <v>0</v>
      </c>
      <c r="D448" s="293" t="str">
        <f>IF(AND(Autovalutazione!D462="",Autovalutazione!E462=""),"*","")</f>
        <v>*</v>
      </c>
      <c r="E448" s="39" t="str">
        <f>IF(ISBLANK(Autovalutazione!F462),"",Autovalutazione!F462)</f>
        <v/>
      </c>
      <c r="F448" s="235"/>
      <c r="G448" s="235"/>
      <c r="H448" s="235"/>
      <c r="I448" s="235"/>
      <c r="J448" s="235"/>
      <c r="K448" s="235"/>
      <c r="L448" s="229"/>
      <c r="M448" s="37">
        <v>3</v>
      </c>
      <c r="N448" s="27"/>
      <c r="O448" s="28">
        <f>C448*M448</f>
        <v>0</v>
      </c>
      <c r="P448" s="43">
        <f t="shared" si="78"/>
        <v>0</v>
      </c>
      <c r="Q448" s="36"/>
      <c r="R448" s="27"/>
    </row>
    <row r="449" spans="1:18" ht="26.4" x14ac:dyDescent="0.3">
      <c r="A449" s="3" t="str">
        <f>Autovalutazione!A463</f>
        <v>9.1.3.</v>
      </c>
      <c r="B449" s="6" t="str">
        <f>Autovalutazione!C463</f>
        <v>I dipendenti possono mettersi d'accordo ogni qualvolta sia necessario?</v>
      </c>
      <c r="C449" s="38">
        <f>IF(ISBLANK(Autovalutazione!D463),0,1)</f>
        <v>0</v>
      </c>
      <c r="D449" s="293" t="str">
        <f>IF(AND(Autovalutazione!D463="",Autovalutazione!E463=""),"*","")</f>
        <v>*</v>
      </c>
      <c r="E449" s="39" t="str">
        <f>IF(ISBLANK(Autovalutazione!F463),"",Autovalutazione!F463)</f>
        <v/>
      </c>
      <c r="F449" s="235"/>
      <c r="G449" s="235"/>
      <c r="H449" s="235"/>
      <c r="I449" s="235"/>
      <c r="J449" s="235"/>
      <c r="K449" s="235"/>
      <c r="L449" s="229"/>
      <c r="M449" s="37">
        <v>3</v>
      </c>
      <c r="N449" s="27"/>
      <c r="O449" s="28">
        <f>C449*M449</f>
        <v>0</v>
      </c>
      <c r="P449" s="43">
        <f t="shared" si="78"/>
        <v>0</v>
      </c>
      <c r="Q449" s="36"/>
      <c r="R449" s="27"/>
    </row>
    <row r="450" spans="1:18" ht="26.4" x14ac:dyDescent="0.3">
      <c r="A450" s="3" t="str">
        <f>Autovalutazione!A464</f>
        <v>9.1.4.</v>
      </c>
      <c r="B450" s="6" t="str">
        <f>Autovalutazione!C464</f>
        <v>Spesso si hanno dubbi su chi è competente di cosa, anche se pensavate che tutto era stato definito?</v>
      </c>
      <c r="C450" s="38">
        <f>IF(ISBLANK(Autovalutazione!D464),0,1)</f>
        <v>0</v>
      </c>
      <c r="D450" s="293" t="str">
        <f>IF(AND(Autovalutazione!D464="",Autovalutazione!E464=""),"*","")</f>
        <v>*</v>
      </c>
      <c r="E450" s="39" t="str">
        <f>IF(ISBLANK(Autovalutazione!F464),"",Autovalutazione!F464)</f>
        <v/>
      </c>
      <c r="F450" s="235"/>
      <c r="G450" s="235"/>
      <c r="H450" s="235"/>
      <c r="I450" s="235"/>
      <c r="J450" s="235"/>
      <c r="K450" s="235"/>
      <c r="L450" s="229"/>
      <c r="M450" s="37">
        <v>1</v>
      </c>
      <c r="N450" s="27"/>
      <c r="O450" s="47">
        <f>(1-C450)*M450</f>
        <v>1</v>
      </c>
      <c r="P450" s="49">
        <f>(1-L450)*M450</f>
        <v>1</v>
      </c>
      <c r="Q450" s="36"/>
      <c r="R450" s="27"/>
    </row>
    <row r="451" spans="1:18" ht="26.4" x14ac:dyDescent="0.3">
      <c r="A451" s="3" t="str">
        <f>Autovalutazione!A465</f>
        <v>9.1.5.</v>
      </c>
      <c r="B451" s="6" t="str">
        <f>Autovalutazione!C465</f>
        <v>Ci sono settori interessati da frequenti disguidi (scambi, sviste, dimenticanze)? Se sì, quali?</v>
      </c>
      <c r="C451" s="38">
        <f>IF(ISBLANK(Autovalutazione!D465),0,1)</f>
        <v>0</v>
      </c>
      <c r="D451" s="293" t="str">
        <f>IF(AND(Autovalutazione!D465="",Autovalutazione!E465=""),"*","")</f>
        <v>*</v>
      </c>
      <c r="E451" s="39" t="str">
        <f>IF(ISBLANK(Autovalutazione!F465),"",Autovalutazione!F465)</f>
        <v/>
      </c>
      <c r="F451" s="235"/>
      <c r="G451" s="235"/>
      <c r="H451" s="235"/>
      <c r="I451" s="235"/>
      <c r="J451" s="235"/>
      <c r="K451" s="235"/>
      <c r="L451" s="229"/>
      <c r="M451" s="37">
        <v>1</v>
      </c>
      <c r="N451" s="27"/>
      <c r="O451" s="47">
        <f>(1-C451)*M451</f>
        <v>1</v>
      </c>
      <c r="P451" s="49">
        <f t="shared" ref="P451:P452" si="79">(1-L451)*M451</f>
        <v>1</v>
      </c>
      <c r="Q451" s="36"/>
      <c r="R451" s="27"/>
    </row>
    <row r="452" spans="1:18" ht="26.4" x14ac:dyDescent="0.3">
      <c r="A452" s="3" t="str">
        <f>Autovalutazione!A466</f>
        <v>9.1.6.</v>
      </c>
      <c r="B452" s="6" t="str">
        <f>Autovalutazione!C466</f>
        <v>Ci sono attività monotone, poco interessanti o poco qualificanti?</v>
      </c>
      <c r="C452" s="38">
        <f>IF(ISBLANK(Autovalutazione!D466),0,1)</f>
        <v>0</v>
      </c>
      <c r="D452" s="293" t="str">
        <f>IF(AND(Autovalutazione!D466="",Autovalutazione!E466=""),"*","")</f>
        <v>*</v>
      </c>
      <c r="E452" s="39" t="str">
        <f>IF(ISBLANK(Autovalutazione!F466),"",Autovalutazione!F466)</f>
        <v/>
      </c>
      <c r="F452" s="235"/>
      <c r="G452" s="235"/>
      <c r="H452" s="235"/>
      <c r="I452" s="235"/>
      <c r="J452" s="235"/>
      <c r="K452" s="235"/>
      <c r="L452" s="229"/>
      <c r="M452" s="37">
        <v>2</v>
      </c>
      <c r="N452" s="27"/>
      <c r="O452" s="47">
        <f>(1-C452)*M452</f>
        <v>2</v>
      </c>
      <c r="P452" s="49">
        <f t="shared" si="79"/>
        <v>2</v>
      </c>
      <c r="Q452" s="36"/>
      <c r="R452" s="27"/>
    </row>
    <row r="453" spans="1:18" ht="56.25" customHeight="1" x14ac:dyDescent="0.3">
      <c r="A453" s="3" t="str">
        <f>Autovalutazione!A467</f>
        <v>9.1.7.</v>
      </c>
      <c r="B453" s="6" t="str">
        <f>Autovalutazione!C467</f>
        <v>Se 9.1.6 è sì, secondo voi si potrebbe migliorare questa situazione ampliando lo spettro di attività o cambiando mansione?</v>
      </c>
      <c r="C453" s="38">
        <f>IF(ISBLANK(Autovalutazione!D467),0,1)</f>
        <v>0</v>
      </c>
      <c r="D453" s="293" t="str">
        <f>IF(AND(Autovalutazione!D467="",Autovalutazione!E467=""),"*","")</f>
        <v>*</v>
      </c>
      <c r="E453" s="39" t="str">
        <f>IF(ISBLANK(Autovalutazione!F467),"",Autovalutazione!F467)</f>
        <v/>
      </c>
      <c r="F453" s="235"/>
      <c r="G453" s="235"/>
      <c r="H453" s="235"/>
      <c r="I453" s="235"/>
      <c r="J453" s="235"/>
      <c r="K453" s="235"/>
      <c r="L453" s="229"/>
      <c r="M453" s="37">
        <v>2</v>
      </c>
      <c r="N453" s="27"/>
      <c r="O453" s="28">
        <f>C453*M453</f>
        <v>0</v>
      </c>
      <c r="P453" s="43">
        <f>L453*M453</f>
        <v>0</v>
      </c>
      <c r="Q453" s="36"/>
      <c r="R453" s="27"/>
    </row>
    <row r="454" spans="1:18" x14ac:dyDescent="0.3">
      <c r="A454" s="20" t="str">
        <f>Autovalutazione!A468</f>
        <v>9.2.</v>
      </c>
      <c r="B454" s="20" t="str">
        <f>Autovalutazione!B468</f>
        <v>Carico di lavoro, insoddisfazione</v>
      </c>
      <c r="C454" s="21">
        <f>O454/N454</f>
        <v>0.875</v>
      </c>
      <c r="D454" s="23" t="str">
        <f>IF(ISBLANK(Autovalutazione!E468),"",Autovalutazione!E468)</f>
        <v/>
      </c>
      <c r="E454" s="23" t="str">
        <f>IF(ISBLANK(Autovalutazione!F468),"",Autovalutazione!F468)</f>
        <v/>
      </c>
      <c r="F454" s="232"/>
      <c r="G454" s="232"/>
      <c r="H454" s="232"/>
      <c r="I454" s="232"/>
      <c r="J454" s="232"/>
      <c r="K454" s="232"/>
      <c r="L454" s="50">
        <f>P454/N454</f>
        <v>0.875</v>
      </c>
      <c r="M454" s="22">
        <v>1</v>
      </c>
      <c r="N454" s="42">
        <f>SUM(M455:M458,MIN(M459:M462),M463)</f>
        <v>8</v>
      </c>
      <c r="O454" s="42">
        <f>SUM(O455:O458,MIN(O459:O462),O463)</f>
        <v>7</v>
      </c>
      <c r="P454" s="42">
        <f>SUM(P455:P458,MIN(P459:P462),P463)</f>
        <v>7</v>
      </c>
      <c r="Q454" s="52">
        <f>O454/N454*M454</f>
        <v>0.875</v>
      </c>
      <c r="R454" s="52">
        <f>P454/N454*$M454</f>
        <v>0.875</v>
      </c>
    </row>
    <row r="455" spans="1:18" ht="39.6" x14ac:dyDescent="0.3">
      <c r="A455" s="3" t="str">
        <f>Autovalutazione!A469</f>
        <v>9.2.1.</v>
      </c>
      <c r="B455" s="6" t="str">
        <f>Autovalutazione!C469</f>
        <v>Ci sono settori nei quali ci si lamenta spesso di stanchezza, mal di testa, disturbi del sonno o disturbi intestinali? Se sì, quali sono?</v>
      </c>
      <c r="C455" s="38">
        <f>IF(ISBLANK(Autovalutazione!D469),0,1)</f>
        <v>0</v>
      </c>
      <c r="D455" s="293" t="str">
        <f>IF(AND(Autovalutazione!D469="",Autovalutazione!E469=""),"*","")</f>
        <v>*</v>
      </c>
      <c r="E455" s="39" t="str">
        <f>IF(ISBLANK(Autovalutazione!F469),"",Autovalutazione!F469)</f>
        <v/>
      </c>
      <c r="F455" s="235"/>
      <c r="G455" s="235"/>
      <c r="H455" s="235"/>
      <c r="I455" s="235"/>
      <c r="J455" s="235"/>
      <c r="K455" s="235"/>
      <c r="L455" s="229"/>
      <c r="M455" s="37">
        <v>3</v>
      </c>
      <c r="N455" s="27"/>
      <c r="O455" s="47">
        <f t="shared" ref="O455:O462" si="80">(1-C455)*M455</f>
        <v>3</v>
      </c>
      <c r="P455" s="49">
        <f>(1-L455)*M455</f>
        <v>3</v>
      </c>
      <c r="Q455" s="36"/>
      <c r="R455" s="27"/>
    </row>
    <row r="456" spans="1:18" ht="26.4" x14ac:dyDescent="0.3">
      <c r="A456" s="3" t="str">
        <f>Autovalutazione!A470</f>
        <v>9.2.2.</v>
      </c>
      <c r="B456" s="6" t="str">
        <f>Autovalutazione!C470</f>
        <v>Qualcuno si lamenta che il lavoro è monotono o il carico unilaterale? Se sì, in quali settori?</v>
      </c>
      <c r="C456" s="38">
        <f>IF(ISBLANK(Autovalutazione!D470),0,1)</f>
        <v>0</v>
      </c>
      <c r="D456" s="293" t="str">
        <f>IF(AND(Autovalutazione!D470="",Autovalutazione!E470=""),"*","")</f>
        <v>*</v>
      </c>
      <c r="E456" s="39" t="str">
        <f>IF(ISBLANK(Autovalutazione!F470),"",Autovalutazione!F470)</f>
        <v/>
      </c>
      <c r="F456" s="235"/>
      <c r="G456" s="235"/>
      <c r="H456" s="235"/>
      <c r="I456" s="235"/>
      <c r="J456" s="235"/>
      <c r="K456" s="235"/>
      <c r="L456" s="229"/>
      <c r="M456" s="37">
        <v>1</v>
      </c>
      <c r="N456" s="27"/>
      <c r="O456" s="47">
        <f t="shared" si="80"/>
        <v>1</v>
      </c>
      <c r="P456" s="49">
        <f t="shared" ref="P456:P462" si="81">(1-L456)*M456</f>
        <v>1</v>
      </c>
      <c r="Q456" s="36"/>
      <c r="R456" s="27"/>
    </row>
    <row r="457" spans="1:18" ht="26.4" x14ac:dyDescent="0.3">
      <c r="A457" s="3" t="str">
        <f>Autovalutazione!A471</f>
        <v>9.2.3.</v>
      </c>
      <c r="B457" s="6" t="str">
        <f>Autovalutazione!C471</f>
        <v>Ci sono lamentele sulle scadenze pressanti, sul ritmo frenetico, sull'eccesso di lavoro o di responsabilità?</v>
      </c>
      <c r="C457" s="38">
        <f>IF(ISBLANK(Autovalutazione!D471),0,1)</f>
        <v>0</v>
      </c>
      <c r="D457" s="293" t="str">
        <f>IF(AND(Autovalutazione!D471="",Autovalutazione!E471=""),"*","")</f>
        <v>*</v>
      </c>
      <c r="E457" s="39" t="str">
        <f>IF(ISBLANK(Autovalutazione!F471),"",Autovalutazione!F471)</f>
        <v/>
      </c>
      <c r="F457" s="237"/>
      <c r="G457" s="237"/>
      <c r="H457" s="237"/>
      <c r="I457" s="237"/>
      <c r="J457" s="237"/>
      <c r="K457" s="237"/>
      <c r="L457" s="229"/>
      <c r="M457" s="37">
        <v>1</v>
      </c>
      <c r="N457" s="27"/>
      <c r="O457" s="47">
        <f t="shared" si="80"/>
        <v>1</v>
      </c>
      <c r="P457" s="49">
        <f t="shared" si="81"/>
        <v>1</v>
      </c>
      <c r="Q457" s="36"/>
      <c r="R457" s="36"/>
    </row>
    <row r="458" spans="1:18" ht="39.6" x14ac:dyDescent="0.3">
      <c r="A458" s="3" t="str">
        <f>Autovalutazione!A472</f>
        <v>9.2.4.</v>
      </c>
      <c r="B458" s="6" t="str">
        <f>Autovalutazione!C472</f>
        <v>Capita di avvertire un senso di insoddisfazione generale, senza trovare una spiegazione concreta a questo (continui lamenti)?</v>
      </c>
      <c r="C458" s="38">
        <f>IF(ISBLANK(Autovalutazione!D472),0,1)</f>
        <v>0</v>
      </c>
      <c r="D458" s="293" t="str">
        <f>IF(AND(Autovalutazione!D472="",Autovalutazione!E472=""),"*","")</f>
        <v>*</v>
      </c>
      <c r="E458" s="39" t="str">
        <f>IF(ISBLANK(Autovalutazione!F472),"",Autovalutazione!F472)</f>
        <v/>
      </c>
      <c r="F458" s="235"/>
      <c r="G458" s="235"/>
      <c r="H458" s="235"/>
      <c r="I458" s="235"/>
      <c r="J458" s="235"/>
      <c r="K458" s="235"/>
      <c r="L458" s="229"/>
      <c r="M458" s="37">
        <v>1</v>
      </c>
      <c r="N458" s="27"/>
      <c r="O458" s="47">
        <f t="shared" si="80"/>
        <v>1</v>
      </c>
      <c r="P458" s="49">
        <f t="shared" si="81"/>
        <v>1</v>
      </c>
      <c r="Q458" s="36"/>
      <c r="R458" s="27"/>
    </row>
    <row r="459" spans="1:18" ht="26.4" x14ac:dyDescent="0.3">
      <c r="A459" s="3" t="str">
        <f>Autovalutazione!A473</f>
        <v>9.2.5.a</v>
      </c>
      <c r="B459" s="6" t="str">
        <f>Autovalutazione!C473</f>
        <v>Vi sono conflitti:
tra i dipendenti?</v>
      </c>
      <c r="C459" s="38">
        <f>IF(ISBLANK(Autovalutazione!D473),0,1)</f>
        <v>0</v>
      </c>
      <c r="D459" s="293" t="str">
        <f>IF(AND(Autovalutazione!D473="",Autovalutazione!E473=""),"*","")</f>
        <v>*</v>
      </c>
      <c r="E459" s="39" t="str">
        <f>IF(ISBLANK(Autovalutazione!F473),"",Autovalutazione!F473)</f>
        <v/>
      </c>
      <c r="F459" s="235"/>
      <c r="G459" s="235"/>
      <c r="H459" s="235"/>
      <c r="I459" s="235"/>
      <c r="J459" s="235"/>
      <c r="K459" s="235"/>
      <c r="L459" s="229"/>
      <c r="M459" s="37">
        <v>1</v>
      </c>
      <c r="N459" s="27"/>
      <c r="O459" s="47">
        <f t="shared" si="80"/>
        <v>1</v>
      </c>
      <c r="P459" s="49">
        <f t="shared" si="81"/>
        <v>1</v>
      </c>
      <c r="Q459" s="36"/>
      <c r="R459" s="27"/>
    </row>
    <row r="460" spans="1:18" x14ac:dyDescent="0.3">
      <c r="A460" s="3" t="str">
        <f>Autovalutazione!A474</f>
        <v>9.2.5.b</v>
      </c>
      <c r="B460" s="6" t="str">
        <f>Autovalutazione!C474</f>
        <v>tra le divisioni?</v>
      </c>
      <c r="C460" s="38">
        <f>IF(ISBLANK(Autovalutazione!D474),0,1)</f>
        <v>0</v>
      </c>
      <c r="D460" s="293" t="str">
        <f>IF(AND(Autovalutazione!D474="",Autovalutazione!E474=""),"*","")</f>
        <v>*</v>
      </c>
      <c r="E460" s="39" t="str">
        <f>IF(ISBLANK(Autovalutazione!F474),"",Autovalutazione!F474)</f>
        <v/>
      </c>
      <c r="F460" s="235"/>
      <c r="G460" s="235"/>
      <c r="H460" s="235"/>
      <c r="I460" s="235"/>
      <c r="J460" s="235"/>
      <c r="K460" s="235"/>
      <c r="L460" s="229"/>
      <c r="M460" s="37">
        <v>1</v>
      </c>
      <c r="N460" s="27"/>
      <c r="O460" s="47">
        <f t="shared" si="80"/>
        <v>1</v>
      </c>
      <c r="P460" s="49">
        <f t="shared" si="81"/>
        <v>1</v>
      </c>
      <c r="Q460" s="36"/>
      <c r="R460" s="27"/>
    </row>
    <row r="461" spans="1:18" x14ac:dyDescent="0.3">
      <c r="A461" s="3" t="str">
        <f>Autovalutazione!A475</f>
        <v>9.2.5.c</v>
      </c>
      <c r="B461" s="6" t="str">
        <f>Autovalutazione!C475</f>
        <v>tra i superiori e i subalterni?</v>
      </c>
      <c r="C461" s="38">
        <f>IF(ISBLANK(Autovalutazione!D475),0,1)</f>
        <v>0</v>
      </c>
      <c r="D461" s="293" t="str">
        <f>IF(AND(Autovalutazione!D475="",Autovalutazione!E475=""),"*","")</f>
        <v>*</v>
      </c>
      <c r="E461" s="39" t="str">
        <f>IF(ISBLANK(Autovalutazione!F475),"",Autovalutazione!F475)</f>
        <v/>
      </c>
      <c r="F461" s="235"/>
      <c r="G461" s="235"/>
      <c r="H461" s="235"/>
      <c r="I461" s="235"/>
      <c r="J461" s="235"/>
      <c r="K461" s="235"/>
      <c r="L461" s="229"/>
      <c r="M461" s="37">
        <v>1</v>
      </c>
      <c r="N461" s="27"/>
      <c r="O461" s="47">
        <f t="shared" si="80"/>
        <v>1</v>
      </c>
      <c r="P461" s="49">
        <f t="shared" si="81"/>
        <v>1</v>
      </c>
      <c r="Q461" s="36"/>
      <c r="R461" s="27"/>
    </row>
    <row r="462" spans="1:18" x14ac:dyDescent="0.3">
      <c r="A462" s="3" t="str">
        <f>Autovalutazione!A476</f>
        <v>9.2.5.d</v>
      </c>
      <c r="B462" s="6" t="str">
        <f>Autovalutazione!C476</f>
        <v>tra i superiori?</v>
      </c>
      <c r="C462" s="38">
        <f>IF(ISBLANK(Autovalutazione!D476),0,1)</f>
        <v>0</v>
      </c>
      <c r="D462" s="293" t="str">
        <f>IF(AND(Autovalutazione!D476="",Autovalutazione!E476=""),"*","")</f>
        <v>*</v>
      </c>
      <c r="E462" s="39" t="str">
        <f>IF(ISBLANK(Autovalutazione!F476),"",Autovalutazione!F476)</f>
        <v/>
      </c>
      <c r="F462" s="235"/>
      <c r="G462" s="235"/>
      <c r="H462" s="235"/>
      <c r="I462" s="235"/>
      <c r="J462" s="235"/>
      <c r="K462" s="235"/>
      <c r="L462" s="229"/>
      <c r="M462" s="37">
        <v>1</v>
      </c>
      <c r="N462" s="27"/>
      <c r="O462" s="47">
        <f t="shared" si="80"/>
        <v>1</v>
      </c>
      <c r="P462" s="49">
        <f t="shared" si="81"/>
        <v>1</v>
      </c>
      <c r="Q462" s="36"/>
      <c r="R462" s="27"/>
    </row>
    <row r="463" spans="1:18" x14ac:dyDescent="0.3">
      <c r="A463" s="3" t="str">
        <f>Autovalutazione!A477</f>
        <v>9.2.6.</v>
      </c>
      <c r="B463" s="6" t="str">
        <f>Autovalutazione!C477</f>
        <v>Si applica un metodo documentato per risolvere i conflitti?</v>
      </c>
      <c r="C463" s="38">
        <f>IF(ISBLANK(Autovalutazione!D477),0,1)</f>
        <v>0</v>
      </c>
      <c r="D463" s="293" t="str">
        <f>IF(AND(Autovalutazione!D477="",Autovalutazione!E477=""),"*","")</f>
        <v>*</v>
      </c>
      <c r="E463" s="39" t="str">
        <f>IF(ISBLANK(Autovalutazione!F477),"",Autovalutazione!F477)</f>
        <v/>
      </c>
      <c r="F463" s="235"/>
      <c r="G463" s="235"/>
      <c r="H463" s="235"/>
      <c r="I463" s="235"/>
      <c r="J463" s="235"/>
      <c r="K463" s="235"/>
      <c r="L463" s="229"/>
      <c r="M463" s="37">
        <v>1</v>
      </c>
      <c r="N463" s="27"/>
      <c r="O463" s="28">
        <f>C463*M463</f>
        <v>0</v>
      </c>
      <c r="P463" s="43">
        <f>L463*M463</f>
        <v>0</v>
      </c>
      <c r="Q463" s="36"/>
      <c r="R463" s="27"/>
    </row>
    <row r="464" spans="1:18" x14ac:dyDescent="0.3">
      <c r="A464" s="20" t="str">
        <f>Autovalutazione!A478</f>
        <v>9.3.</v>
      </c>
      <c r="B464" s="20" t="str">
        <f>Autovalutazione!B478</f>
        <v>Sollecitazioni fisiche</v>
      </c>
      <c r="C464" s="21">
        <f>O464/N464</f>
        <v>1</v>
      </c>
      <c r="D464" s="23" t="str">
        <f>IF(ISBLANK(Autovalutazione!E478),"",Autovalutazione!E478)</f>
        <v/>
      </c>
      <c r="E464" s="23" t="str">
        <f>IF(ISBLANK(Autovalutazione!F478),"",Autovalutazione!F478)</f>
        <v/>
      </c>
      <c r="F464" s="232"/>
      <c r="G464" s="232"/>
      <c r="H464" s="232"/>
      <c r="I464" s="232"/>
      <c r="J464" s="232"/>
      <c r="K464" s="232"/>
      <c r="L464" s="50">
        <f>P464/N464</f>
        <v>1</v>
      </c>
      <c r="M464" s="22">
        <v>0</v>
      </c>
      <c r="N464" s="22">
        <f>SUM(M465:M490)</f>
        <v>26</v>
      </c>
      <c r="O464" s="24">
        <f>SUM(O465:O490)</f>
        <v>26</v>
      </c>
      <c r="P464" s="24">
        <f>SUM(P465:P490)</f>
        <v>26</v>
      </c>
      <c r="Q464" s="52">
        <f>O464/$N464*$M464</f>
        <v>0</v>
      </c>
      <c r="R464" s="52">
        <f>P464/$N464*$M464</f>
        <v>0</v>
      </c>
    </row>
    <row r="465" spans="1:18" ht="52.8" x14ac:dyDescent="0.3">
      <c r="A465" s="3" t="str">
        <f>Autovalutazione!A479</f>
        <v>9.3.1.a</v>
      </c>
      <c r="B465" s="6" t="str">
        <f>Autovalutazione!C479</f>
        <v>Nella vostra azienda i dipendenti sono sottoposti a sollecitazioni di tipo fisico che potrebbero minacciare la loro sicurezza e salute:
Forti sollecitazioni cardio-circolatorie, lavoro fisico gravoso?</v>
      </c>
      <c r="C465" s="38">
        <f>IF(ISBLANK(Autovalutazione!D479),0,1)</f>
        <v>0</v>
      </c>
      <c r="D465" s="293" t="str">
        <f>IF(AND(Autovalutazione!D479="",Autovalutazione!E479=""),"*","")</f>
        <v>*</v>
      </c>
      <c r="E465" s="39" t="str">
        <f>IF(ISBLANK(Autovalutazione!F479),"",Autovalutazione!F479)</f>
        <v/>
      </c>
      <c r="F465" s="235"/>
      <c r="G465" s="235"/>
      <c r="H465" s="235"/>
      <c r="I465" s="235"/>
      <c r="J465" s="235"/>
      <c r="K465" s="235"/>
      <c r="L465" s="229"/>
      <c r="M465" s="37">
        <v>1</v>
      </c>
      <c r="N465" s="27"/>
      <c r="O465" s="47">
        <f t="shared" ref="O465:O490" si="82">(1-C465)*M465</f>
        <v>1</v>
      </c>
      <c r="P465" s="49">
        <f t="shared" ref="P465:P490" si="83">(1-L465)*M465</f>
        <v>1</v>
      </c>
      <c r="Q465" s="36"/>
      <c r="R465" s="27"/>
    </row>
    <row r="466" spans="1:18" x14ac:dyDescent="0.3">
      <c r="A466" s="3" t="str">
        <f>Autovalutazione!A480</f>
        <v>9.3.1.b</v>
      </c>
      <c r="B466" s="6" t="str">
        <f>Autovalutazione!C480</f>
        <v>Forti sollecitazioni all'apparato muscolo-scheletrico?</v>
      </c>
      <c r="C466" s="38">
        <f>IF(ISBLANK(Autovalutazione!D480),0,1)</f>
        <v>0</v>
      </c>
      <c r="D466" s="293" t="str">
        <f>IF(AND(Autovalutazione!D480="",Autovalutazione!E480=""),"*","")</f>
        <v>*</v>
      </c>
      <c r="E466" s="39" t="str">
        <f>IF(ISBLANK(Autovalutazione!F480),"",Autovalutazione!F480)</f>
        <v/>
      </c>
      <c r="F466" s="235"/>
      <c r="G466" s="235"/>
      <c r="H466" s="235"/>
      <c r="I466" s="235"/>
      <c r="J466" s="235"/>
      <c r="K466" s="235"/>
      <c r="L466" s="229"/>
      <c r="M466" s="37">
        <v>1</v>
      </c>
      <c r="N466" s="27"/>
      <c r="O466" s="47">
        <f t="shared" si="82"/>
        <v>1</v>
      </c>
      <c r="P466" s="49">
        <f t="shared" si="83"/>
        <v>1</v>
      </c>
      <c r="Q466" s="36"/>
      <c r="R466" s="27"/>
    </row>
    <row r="467" spans="1:18" x14ac:dyDescent="0.3">
      <c r="A467" s="3" t="str">
        <f>Autovalutazione!A481</f>
        <v>9.3.1.c</v>
      </c>
      <c r="B467" s="6" t="str">
        <f>Autovalutazione!C481</f>
        <v>Carichi unilaterali, sollecitazioni localizzate?</v>
      </c>
      <c r="C467" s="38">
        <f>IF(ISBLANK(Autovalutazione!D481),0,1)</f>
        <v>0</v>
      </c>
      <c r="D467" s="293" t="str">
        <f>IF(AND(Autovalutazione!D481="",Autovalutazione!E481=""),"*","")</f>
        <v>*</v>
      </c>
      <c r="E467" s="39" t="str">
        <f>IF(ISBLANK(Autovalutazione!F481),"",Autovalutazione!F481)</f>
        <v/>
      </c>
      <c r="F467" s="235"/>
      <c r="G467" s="235"/>
      <c r="H467" s="235"/>
      <c r="I467" s="235"/>
      <c r="J467" s="235"/>
      <c r="K467" s="235"/>
      <c r="L467" s="229"/>
      <c r="M467" s="37">
        <v>1</v>
      </c>
      <c r="N467" s="27"/>
      <c r="O467" s="47">
        <f t="shared" si="82"/>
        <v>1</v>
      </c>
      <c r="P467" s="49">
        <f t="shared" si="83"/>
        <v>1</v>
      </c>
      <c r="Q467" s="36"/>
      <c r="R467" s="27"/>
    </row>
    <row r="468" spans="1:18" x14ac:dyDescent="0.3">
      <c r="A468" s="3" t="str">
        <f>Autovalutazione!A482</f>
        <v>9.3.1.d</v>
      </c>
      <c r="B468" s="6" t="str">
        <f>Autovalutazione!C482</f>
        <v>Forti sollecitazioni all'apparato respiratorio?</v>
      </c>
      <c r="C468" s="38">
        <f>IF(ISBLANK(Autovalutazione!D482),0,1)</f>
        <v>0</v>
      </c>
      <c r="D468" s="293" t="str">
        <f>IF(AND(Autovalutazione!D482="",Autovalutazione!E482=""),"*","")</f>
        <v>*</v>
      </c>
      <c r="E468" s="39" t="str">
        <f>IF(ISBLANK(Autovalutazione!F482),"",Autovalutazione!F482)</f>
        <v/>
      </c>
      <c r="F468" s="235"/>
      <c r="G468" s="235"/>
      <c r="H468" s="235"/>
      <c r="I468" s="235"/>
      <c r="J468" s="235"/>
      <c r="K468" s="235"/>
      <c r="L468" s="229"/>
      <c r="M468" s="37">
        <v>1</v>
      </c>
      <c r="N468" s="27"/>
      <c r="O468" s="47">
        <f t="shared" si="82"/>
        <v>1</v>
      </c>
      <c r="P468" s="49">
        <f t="shared" si="83"/>
        <v>1</v>
      </c>
      <c r="Q468" s="36"/>
      <c r="R468" s="27"/>
    </row>
    <row r="469" spans="1:18" x14ac:dyDescent="0.3">
      <c r="A469" s="3" t="str">
        <f>Autovalutazione!A483</f>
        <v>9.3.1.e</v>
      </c>
      <c r="B469" s="6" t="str">
        <f>Autovalutazione!C483</f>
        <v>Elevata percentuale di lavoro statico/lavoro muscolare?</v>
      </c>
      <c r="C469" s="38">
        <f>IF(ISBLANK(Autovalutazione!D483),0,1)</f>
        <v>0</v>
      </c>
      <c r="D469" s="293" t="str">
        <f>IF(AND(Autovalutazione!D483="",Autovalutazione!E483=""),"*","")</f>
        <v>*</v>
      </c>
      <c r="E469" s="39" t="str">
        <f>IF(ISBLANK(Autovalutazione!F483),"",Autovalutazione!F483)</f>
        <v/>
      </c>
      <c r="F469" s="235"/>
      <c r="G469" s="235"/>
      <c r="H469" s="235"/>
      <c r="I469" s="235"/>
      <c r="J469" s="235"/>
      <c r="K469" s="235"/>
      <c r="L469" s="229"/>
      <c r="M469" s="37">
        <v>1</v>
      </c>
      <c r="N469" s="27"/>
      <c r="O469" s="47">
        <f t="shared" si="82"/>
        <v>1</v>
      </c>
      <c r="P469" s="49">
        <f t="shared" si="83"/>
        <v>1</v>
      </c>
      <c r="Q469" s="36"/>
      <c r="R469" s="27"/>
    </row>
    <row r="470" spans="1:18" x14ac:dyDescent="0.3">
      <c r="A470" s="3" t="str">
        <f>Autovalutazione!A484</f>
        <v>9.3.1.f</v>
      </c>
      <c r="B470" s="6" t="str">
        <f>Autovalutazione!C484</f>
        <v>Posture incongrue e forzate?</v>
      </c>
      <c r="C470" s="38">
        <f>IF(ISBLANK(Autovalutazione!D484),0,1)</f>
        <v>0</v>
      </c>
      <c r="D470" s="293" t="str">
        <f>IF(AND(Autovalutazione!D484="",Autovalutazione!E484=""),"*","")</f>
        <v>*</v>
      </c>
      <c r="E470" s="39" t="str">
        <f>IF(ISBLANK(Autovalutazione!F484),"",Autovalutazione!F484)</f>
        <v/>
      </c>
      <c r="F470" s="235"/>
      <c r="G470" s="235"/>
      <c r="H470" s="235"/>
      <c r="I470" s="235"/>
      <c r="J470" s="235"/>
      <c r="K470" s="235"/>
      <c r="L470" s="229"/>
      <c r="M470" s="37">
        <v>1</v>
      </c>
      <c r="N470" s="27"/>
      <c r="O470" s="47">
        <f t="shared" si="82"/>
        <v>1</v>
      </c>
      <c r="P470" s="49">
        <f t="shared" si="83"/>
        <v>1</v>
      </c>
      <c r="Q470" s="36"/>
      <c r="R470" s="27"/>
    </row>
    <row r="471" spans="1:18" x14ac:dyDescent="0.3">
      <c r="A471" s="3" t="str">
        <f>Autovalutazione!A485</f>
        <v>9.3.1.g</v>
      </c>
      <c r="B471" s="6" t="str">
        <f>Autovalutazione!C485</f>
        <v>Sollevare, trasportare e movimentare carichi pesanti?</v>
      </c>
      <c r="C471" s="38">
        <f>IF(ISBLANK(Autovalutazione!D485),0,1)</f>
        <v>0</v>
      </c>
      <c r="D471" s="293" t="str">
        <f>IF(AND(Autovalutazione!D485="",Autovalutazione!E485=""),"*","")</f>
        <v>*</v>
      </c>
      <c r="E471" s="39" t="str">
        <f>IF(ISBLANK(Autovalutazione!F485),"",Autovalutazione!F485)</f>
        <v/>
      </c>
      <c r="F471" s="235"/>
      <c r="G471" s="235"/>
      <c r="H471" s="235"/>
      <c r="I471" s="235"/>
      <c r="J471" s="235"/>
      <c r="K471" s="235"/>
      <c r="L471" s="229"/>
      <c r="M471" s="37">
        <v>1</v>
      </c>
      <c r="N471" s="27"/>
      <c r="O471" s="47">
        <f t="shared" si="82"/>
        <v>1</v>
      </c>
      <c r="P471" s="49">
        <f t="shared" si="83"/>
        <v>1</v>
      </c>
      <c r="Q471" s="36"/>
      <c r="R471" s="27"/>
    </row>
    <row r="472" spans="1:18" x14ac:dyDescent="0.3">
      <c r="A472" s="3" t="str">
        <f>Autovalutazione!A486</f>
        <v>9.3.1.h</v>
      </c>
      <c r="B472" s="6" t="str">
        <f>Autovalutazione!C486</f>
        <v>Rumore?</v>
      </c>
      <c r="C472" s="38">
        <f>IF(ISBLANK(Autovalutazione!D486),0,1)</f>
        <v>0</v>
      </c>
      <c r="D472" s="293" t="str">
        <f>IF(AND(Autovalutazione!D486="",Autovalutazione!E486=""),"*","")</f>
        <v>*</v>
      </c>
      <c r="E472" s="39" t="str">
        <f>IF(ISBLANK(Autovalutazione!F486),"",Autovalutazione!F486)</f>
        <v/>
      </c>
      <c r="F472" s="235"/>
      <c r="G472" s="235"/>
      <c r="H472" s="235"/>
      <c r="I472" s="235"/>
      <c r="J472" s="235"/>
      <c r="K472" s="235"/>
      <c r="L472" s="229"/>
      <c r="M472" s="37">
        <v>1</v>
      </c>
      <c r="N472" s="27"/>
      <c r="O472" s="47">
        <f t="shared" si="82"/>
        <v>1</v>
      </c>
      <c r="P472" s="49">
        <f t="shared" si="83"/>
        <v>1</v>
      </c>
      <c r="Q472" s="36"/>
      <c r="R472" s="27"/>
    </row>
    <row r="473" spans="1:18" x14ac:dyDescent="0.3">
      <c r="A473" s="3" t="str">
        <f>Autovalutazione!A487</f>
        <v>9.3.1.i</v>
      </c>
      <c r="B473" s="6" t="str">
        <f>Autovalutazione!C487</f>
        <v>Virazioni?</v>
      </c>
      <c r="C473" s="38">
        <f>IF(ISBLANK(Autovalutazione!D487),0,1)</f>
        <v>0</v>
      </c>
      <c r="D473" s="293" t="str">
        <f>IF(AND(Autovalutazione!D487="",Autovalutazione!E487=""),"*","")</f>
        <v>*</v>
      </c>
      <c r="E473" s="39" t="str">
        <f>IF(ISBLANK(Autovalutazione!F487),"",Autovalutazione!F487)</f>
        <v/>
      </c>
      <c r="F473" s="235"/>
      <c r="G473" s="235"/>
      <c r="H473" s="235"/>
      <c r="I473" s="235"/>
      <c r="J473" s="235"/>
      <c r="K473" s="235"/>
      <c r="L473" s="229"/>
      <c r="M473" s="37">
        <v>1</v>
      </c>
      <c r="N473" s="27"/>
      <c r="O473" s="47">
        <f t="shared" si="82"/>
        <v>1</v>
      </c>
      <c r="P473" s="49">
        <f t="shared" si="83"/>
        <v>1</v>
      </c>
      <c r="Q473" s="36"/>
      <c r="R473" s="27"/>
    </row>
    <row r="474" spans="1:18" x14ac:dyDescent="0.3">
      <c r="A474" s="3" t="str">
        <f>Autovalutazione!A488</f>
        <v>9.3.1.j</v>
      </c>
      <c r="B474" s="6" t="str">
        <f>Autovalutazione!C488</f>
        <v>Gas si scarico?</v>
      </c>
      <c r="C474" s="38">
        <f>IF(ISBLANK(Autovalutazione!D488),0,1)</f>
        <v>0</v>
      </c>
      <c r="D474" s="293" t="str">
        <f>IF(AND(Autovalutazione!D488="",Autovalutazione!E488=""),"*","")</f>
        <v>*</v>
      </c>
      <c r="E474" s="39" t="str">
        <f>IF(ISBLANK(Autovalutazione!F488),"",Autovalutazione!F488)</f>
        <v/>
      </c>
      <c r="F474" s="237"/>
      <c r="G474" s="237"/>
      <c r="H474" s="237"/>
      <c r="I474" s="237"/>
      <c r="J474" s="237"/>
      <c r="K474" s="237"/>
      <c r="L474" s="229"/>
      <c r="M474" s="37">
        <v>1</v>
      </c>
      <c r="N474" s="27"/>
      <c r="O474" s="47">
        <f t="shared" si="82"/>
        <v>1</v>
      </c>
      <c r="P474" s="49">
        <f t="shared" si="83"/>
        <v>1</v>
      </c>
      <c r="Q474" s="36"/>
      <c r="R474" s="36"/>
    </row>
    <row r="475" spans="1:18" x14ac:dyDescent="0.3">
      <c r="A475" s="3" t="str">
        <f>Autovalutazione!A489</f>
        <v>9.3.1.k</v>
      </c>
      <c r="B475" s="6" t="str">
        <f>Autovalutazione!C489</f>
        <v>Caldo?</v>
      </c>
      <c r="C475" s="38">
        <f>IF(ISBLANK(Autovalutazione!D489),0,1)</f>
        <v>0</v>
      </c>
      <c r="D475" s="293" t="str">
        <f>IF(AND(Autovalutazione!D489="",Autovalutazione!E489=""),"*","")</f>
        <v>*</v>
      </c>
      <c r="E475" s="39" t="str">
        <f>IF(ISBLANK(Autovalutazione!F489),"",Autovalutazione!F489)</f>
        <v/>
      </c>
      <c r="F475" s="235"/>
      <c r="G475" s="235"/>
      <c r="H475" s="235"/>
      <c r="I475" s="235"/>
      <c r="J475" s="235"/>
      <c r="K475" s="235"/>
      <c r="L475" s="229"/>
      <c r="M475" s="37">
        <v>1</v>
      </c>
      <c r="N475" s="27"/>
      <c r="O475" s="47">
        <f t="shared" si="82"/>
        <v>1</v>
      </c>
      <c r="P475" s="49">
        <f t="shared" si="83"/>
        <v>1</v>
      </c>
      <c r="Q475" s="36"/>
      <c r="R475" s="27"/>
    </row>
    <row r="476" spans="1:18" x14ac:dyDescent="0.3">
      <c r="A476" s="3" t="str">
        <f>Autovalutazione!A490</f>
        <v>9.3.1.l</v>
      </c>
      <c r="B476" s="6" t="str">
        <f>Autovalutazione!C490</f>
        <v>Freddo?</v>
      </c>
      <c r="C476" s="38">
        <f>IF(ISBLANK(Autovalutazione!D490),0,1)</f>
        <v>0</v>
      </c>
      <c r="D476" s="293" t="str">
        <f>IF(AND(Autovalutazione!D490="",Autovalutazione!E490=""),"*","")</f>
        <v>*</v>
      </c>
      <c r="E476" s="39" t="str">
        <f>IF(ISBLANK(Autovalutazione!F490),"",Autovalutazione!F490)</f>
        <v/>
      </c>
      <c r="F476" s="235"/>
      <c r="G476" s="235"/>
      <c r="H476" s="235"/>
      <c r="I476" s="235"/>
      <c r="J476" s="235"/>
      <c r="K476" s="235"/>
      <c r="L476" s="229"/>
      <c r="M476" s="37">
        <v>1</v>
      </c>
      <c r="N476" s="27"/>
      <c r="O476" s="47">
        <f t="shared" si="82"/>
        <v>1</v>
      </c>
      <c r="P476" s="49">
        <f t="shared" si="83"/>
        <v>1</v>
      </c>
      <c r="Q476" s="36"/>
      <c r="R476" s="27"/>
    </row>
    <row r="477" spans="1:18" x14ac:dyDescent="0.3">
      <c r="A477" s="3" t="str">
        <f>Autovalutazione!A491</f>
        <v>9.3.1.m</v>
      </c>
      <c r="B477" s="6" t="str">
        <f>Autovalutazione!C491</f>
        <v>Umidità?</v>
      </c>
      <c r="C477" s="38">
        <f>IF(ISBLANK(Autovalutazione!D491),0,1)</f>
        <v>0</v>
      </c>
      <c r="D477" s="293" t="str">
        <f>IF(AND(Autovalutazione!D491="",Autovalutazione!E491=""),"*","")</f>
        <v>*</v>
      </c>
      <c r="E477" s="39" t="str">
        <f>IF(ISBLANK(Autovalutazione!F491),"",Autovalutazione!F491)</f>
        <v/>
      </c>
      <c r="F477" s="237"/>
      <c r="G477" s="237"/>
      <c r="H477" s="237"/>
      <c r="I477" s="237"/>
      <c r="J477" s="237"/>
      <c r="K477" s="237"/>
      <c r="L477" s="229"/>
      <c r="M477" s="37">
        <v>1</v>
      </c>
      <c r="N477" s="27"/>
      <c r="O477" s="47">
        <f t="shared" si="82"/>
        <v>1</v>
      </c>
      <c r="P477" s="49">
        <f t="shared" si="83"/>
        <v>1</v>
      </c>
      <c r="Q477" s="36"/>
      <c r="R477" s="27"/>
    </row>
    <row r="478" spans="1:18" x14ac:dyDescent="0.3">
      <c r="A478" s="3" t="str">
        <f>Autovalutazione!A492</f>
        <v>9.3.1.n</v>
      </c>
      <c r="B478" s="6" t="str">
        <f>Autovalutazione!C492</f>
        <v>Superfici bagnate?</v>
      </c>
      <c r="C478" s="38">
        <f>IF(ISBLANK(Autovalutazione!D492),0,1)</f>
        <v>0</v>
      </c>
      <c r="D478" s="293" t="str">
        <f>IF(AND(Autovalutazione!D492="",Autovalutazione!E492=""),"*","")</f>
        <v>*</v>
      </c>
      <c r="E478" s="39" t="str">
        <f>IF(ISBLANK(Autovalutazione!F492),"",Autovalutazione!F492)</f>
        <v/>
      </c>
      <c r="F478" s="235"/>
      <c r="G478" s="235"/>
      <c r="H478" s="235"/>
      <c r="I478" s="235"/>
      <c r="J478" s="235"/>
      <c r="K478" s="235"/>
      <c r="L478" s="229"/>
      <c r="M478" s="37">
        <v>1</v>
      </c>
      <c r="N478" s="27"/>
      <c r="O478" s="47">
        <f t="shared" si="82"/>
        <v>1</v>
      </c>
      <c r="P478" s="49">
        <f t="shared" si="83"/>
        <v>1</v>
      </c>
      <c r="Q478" s="36"/>
      <c r="R478" s="27"/>
    </row>
    <row r="479" spans="1:18" x14ac:dyDescent="0.3">
      <c r="A479" s="3" t="str">
        <f>Autovalutazione!A493</f>
        <v>9.3.1.o</v>
      </c>
      <c r="B479" s="6" t="str">
        <f>Autovalutazione!C493</f>
        <v>Correnti d'aria?</v>
      </c>
      <c r="C479" s="38">
        <f>IF(ISBLANK(Autovalutazione!D493),0,1)</f>
        <v>0</v>
      </c>
      <c r="D479" s="293" t="str">
        <f>IF(AND(Autovalutazione!D493="",Autovalutazione!E493=""),"*","")</f>
        <v>*</v>
      </c>
      <c r="E479" s="39" t="str">
        <f>IF(ISBLANK(Autovalutazione!F493),"",Autovalutazione!F493)</f>
        <v/>
      </c>
      <c r="F479" s="235"/>
      <c r="G479" s="235"/>
      <c r="H479" s="235"/>
      <c r="I479" s="235"/>
      <c r="J479" s="235"/>
      <c r="K479" s="235"/>
      <c r="L479" s="229"/>
      <c r="M479" s="37">
        <v>1</v>
      </c>
      <c r="N479" s="27"/>
      <c r="O479" s="47">
        <f t="shared" si="82"/>
        <v>1</v>
      </c>
      <c r="P479" s="49">
        <f t="shared" si="83"/>
        <v>1</v>
      </c>
      <c r="Q479" s="36"/>
      <c r="R479" s="27"/>
    </row>
    <row r="480" spans="1:18" x14ac:dyDescent="0.3">
      <c r="A480" s="3" t="str">
        <f>Autovalutazione!A494</f>
        <v>9.3.1.p</v>
      </c>
      <c r="B480" s="6" t="str">
        <f>Autovalutazione!C494</f>
        <v>Vapori?</v>
      </c>
      <c r="C480" s="38">
        <f>IF(ISBLANK(Autovalutazione!D494),0,1)</f>
        <v>0</v>
      </c>
      <c r="D480" s="293" t="str">
        <f>IF(AND(Autovalutazione!D494="",Autovalutazione!E494=""),"*","")</f>
        <v>*</v>
      </c>
      <c r="E480" s="39" t="str">
        <f>IF(ISBLANK(Autovalutazione!F494),"",Autovalutazione!F494)</f>
        <v/>
      </c>
      <c r="F480" s="235"/>
      <c r="G480" s="235"/>
      <c r="H480" s="235"/>
      <c r="I480" s="235"/>
      <c r="J480" s="235"/>
      <c r="K480" s="235"/>
      <c r="L480" s="229"/>
      <c r="M480" s="37">
        <v>1</v>
      </c>
      <c r="N480" s="27"/>
      <c r="O480" s="47">
        <f t="shared" si="82"/>
        <v>1</v>
      </c>
      <c r="P480" s="49">
        <f t="shared" si="83"/>
        <v>1</v>
      </c>
      <c r="Q480" s="36"/>
      <c r="R480" s="27"/>
    </row>
    <row r="481" spans="1:18" x14ac:dyDescent="0.3">
      <c r="A481" s="3" t="str">
        <f>Autovalutazione!A495</f>
        <v>9.3.1.q</v>
      </c>
      <c r="B481" s="6" t="str">
        <f>Autovalutazione!C495</f>
        <v>Polveri?</v>
      </c>
      <c r="C481" s="38">
        <f>IF(ISBLANK(Autovalutazione!D495),0,1)</f>
        <v>0</v>
      </c>
      <c r="D481" s="293" t="str">
        <f>IF(AND(Autovalutazione!D495="",Autovalutazione!E495=""),"*","")</f>
        <v>*</v>
      </c>
      <c r="E481" s="39" t="str">
        <f>IF(ISBLANK(Autovalutazione!F495),"",Autovalutazione!F495)</f>
        <v/>
      </c>
      <c r="F481" s="237"/>
      <c r="G481" s="237"/>
      <c r="H481" s="237"/>
      <c r="I481" s="237"/>
      <c r="J481" s="237"/>
      <c r="K481" s="237"/>
      <c r="L481" s="229"/>
      <c r="M481" s="37">
        <v>1</v>
      </c>
      <c r="N481" s="27"/>
      <c r="O481" s="47">
        <f t="shared" si="82"/>
        <v>1</v>
      </c>
      <c r="P481" s="49">
        <f t="shared" si="83"/>
        <v>1</v>
      </c>
      <c r="Q481" s="36"/>
      <c r="R481" s="36"/>
    </row>
    <row r="482" spans="1:18" x14ac:dyDescent="0.3">
      <c r="A482" s="3" t="str">
        <f>Autovalutazione!A496</f>
        <v>9.3.1.r</v>
      </c>
      <c r="B482" s="6" t="str">
        <f>Autovalutazione!C496</f>
        <v>Nubi?</v>
      </c>
      <c r="C482" s="38">
        <f>IF(ISBLANK(Autovalutazione!D496),0,1)</f>
        <v>0</v>
      </c>
      <c r="D482" s="293" t="str">
        <f>IF(AND(Autovalutazione!D496="",Autovalutazione!E496=""),"*","")</f>
        <v>*</v>
      </c>
      <c r="E482" s="39" t="str">
        <f>IF(ISBLANK(Autovalutazione!F496),"",Autovalutazione!F496)</f>
        <v/>
      </c>
      <c r="F482" s="235"/>
      <c r="G482" s="235"/>
      <c r="H482" s="235"/>
      <c r="I482" s="235"/>
      <c r="J482" s="235"/>
      <c r="K482" s="235"/>
      <c r="L482" s="229"/>
      <c r="M482" s="37">
        <v>1</v>
      </c>
      <c r="N482" s="27"/>
      <c r="O482" s="47">
        <f t="shared" si="82"/>
        <v>1</v>
      </c>
      <c r="P482" s="49">
        <f t="shared" si="83"/>
        <v>1</v>
      </c>
      <c r="Q482" s="36"/>
      <c r="R482" s="27"/>
    </row>
    <row r="483" spans="1:18" x14ac:dyDescent="0.3">
      <c r="A483" s="3" t="str">
        <f>Autovalutazione!A497</f>
        <v>9.3.1.s</v>
      </c>
      <c r="B483" s="6" t="str">
        <f>Autovalutazione!C497</f>
        <v>Fumi?</v>
      </c>
      <c r="C483" s="38">
        <f>IF(ISBLANK(Autovalutazione!D497),0,1)</f>
        <v>0</v>
      </c>
      <c r="D483" s="293" t="str">
        <f>IF(AND(Autovalutazione!D497="",Autovalutazione!E497=""),"*","")</f>
        <v>*</v>
      </c>
      <c r="E483" s="39" t="str">
        <f>IF(ISBLANK(Autovalutazione!F497),"",Autovalutazione!F497)</f>
        <v/>
      </c>
      <c r="F483" s="235"/>
      <c r="G483" s="235"/>
      <c r="H483" s="235"/>
      <c r="I483" s="235"/>
      <c r="J483" s="235"/>
      <c r="K483" s="235"/>
      <c r="L483" s="229"/>
      <c r="M483" s="37">
        <v>1</v>
      </c>
      <c r="N483" s="27"/>
      <c r="O483" s="47">
        <f t="shared" si="82"/>
        <v>1</v>
      </c>
      <c r="P483" s="49">
        <f t="shared" si="83"/>
        <v>1</v>
      </c>
      <c r="Q483" s="36"/>
      <c r="R483" s="27"/>
    </row>
    <row r="484" spans="1:18" x14ac:dyDescent="0.3">
      <c r="A484" s="3" t="str">
        <f>Autovalutazione!A498</f>
        <v>9.3.1.t</v>
      </c>
      <c r="B484" s="6" t="str">
        <f>Autovalutazione!C498</f>
        <v>Gas?</v>
      </c>
      <c r="C484" s="38">
        <f>IF(ISBLANK(Autovalutazione!D498),0,1)</f>
        <v>0</v>
      </c>
      <c r="D484" s="293" t="str">
        <f>IF(AND(Autovalutazione!D498="",Autovalutazione!E498=""),"*","")</f>
        <v>*</v>
      </c>
      <c r="E484" s="39" t="str">
        <f>IF(ISBLANK(Autovalutazione!F498),"",Autovalutazione!F498)</f>
        <v/>
      </c>
      <c r="F484" s="235"/>
      <c r="G484" s="235"/>
      <c r="H484" s="235"/>
      <c r="I484" s="235"/>
      <c r="J484" s="235"/>
      <c r="K484" s="235"/>
      <c r="L484" s="229"/>
      <c r="M484" s="37">
        <v>1</v>
      </c>
      <c r="N484" s="27"/>
      <c r="O484" s="47">
        <f t="shared" si="82"/>
        <v>1</v>
      </c>
      <c r="P484" s="49">
        <f t="shared" si="83"/>
        <v>1</v>
      </c>
      <c r="Q484" s="36"/>
      <c r="R484" s="27"/>
    </row>
    <row r="485" spans="1:18" x14ac:dyDescent="0.3">
      <c r="A485" s="3" t="str">
        <f>Autovalutazione!A499</f>
        <v>9.3.1.u</v>
      </c>
      <c r="B485" s="6" t="str">
        <f>Autovalutazione!C499</f>
        <v>Sostanze?</v>
      </c>
      <c r="C485" s="38">
        <f>IF(ISBLANK(Autovalutazione!D499),0,1)</f>
        <v>0</v>
      </c>
      <c r="D485" s="293" t="str">
        <f>IF(AND(Autovalutazione!D499="",Autovalutazione!E499=""),"*","")</f>
        <v>*</v>
      </c>
      <c r="E485" s="39" t="str">
        <f>IF(ISBLANK(Autovalutazione!F499),"",Autovalutazione!F499)</f>
        <v/>
      </c>
      <c r="F485" s="235"/>
      <c r="G485" s="235"/>
      <c r="H485" s="235"/>
      <c r="I485" s="235"/>
      <c r="J485" s="235"/>
      <c r="K485" s="235"/>
      <c r="L485" s="229"/>
      <c r="M485" s="37">
        <v>1</v>
      </c>
      <c r="N485" s="27"/>
      <c r="O485" s="47">
        <f t="shared" si="82"/>
        <v>1</v>
      </c>
      <c r="P485" s="49">
        <f t="shared" si="83"/>
        <v>1</v>
      </c>
      <c r="Q485" s="36"/>
      <c r="R485" s="27"/>
    </row>
    <row r="486" spans="1:18" x14ac:dyDescent="0.3">
      <c r="A486" s="3" t="str">
        <f>Autovalutazione!A500</f>
        <v>9.3.1.v</v>
      </c>
      <c r="B486" s="6" t="str">
        <f>Autovalutazione!C500</f>
        <v>Radiazioni, campi magnetici?</v>
      </c>
      <c r="C486" s="38">
        <f>IF(ISBLANK(Autovalutazione!D500),0,1)</f>
        <v>0</v>
      </c>
      <c r="D486" s="293" t="str">
        <f>IF(AND(Autovalutazione!D500="",Autovalutazione!E500=""),"*","")</f>
        <v>*</v>
      </c>
      <c r="E486" s="39" t="str">
        <f>IF(ISBLANK(Autovalutazione!F500),"",Autovalutazione!F500)</f>
        <v/>
      </c>
      <c r="F486" s="237"/>
      <c r="G486" s="237"/>
      <c r="H486" s="237"/>
      <c r="I486" s="237"/>
      <c r="J486" s="237"/>
      <c r="K486" s="237"/>
      <c r="L486" s="229"/>
      <c r="M486" s="37">
        <v>1</v>
      </c>
      <c r="N486" s="27"/>
      <c r="O486" s="47">
        <f t="shared" si="82"/>
        <v>1</v>
      </c>
      <c r="P486" s="49">
        <f t="shared" si="83"/>
        <v>1</v>
      </c>
      <c r="Q486" s="36"/>
      <c r="R486" s="36"/>
    </row>
    <row r="487" spans="1:18" x14ac:dyDescent="0.3">
      <c r="A487" s="3" t="str">
        <f>Autovalutazione!A501</f>
        <v>9.3.1.w</v>
      </c>
      <c r="B487" s="6" t="str">
        <f>Autovalutazione!C501</f>
        <v>Odori sgradevoli?</v>
      </c>
      <c r="C487" s="38">
        <f>IF(ISBLANK(Autovalutazione!D501),0,1)</f>
        <v>0</v>
      </c>
      <c r="D487" s="293" t="str">
        <f>IF(AND(Autovalutazione!D501="",Autovalutazione!E501=""),"*","")</f>
        <v>*</v>
      </c>
      <c r="E487" s="39" t="str">
        <f>IF(ISBLANK(Autovalutazione!F501),"",Autovalutazione!F501)</f>
        <v/>
      </c>
      <c r="F487" s="237"/>
      <c r="G487" s="237"/>
      <c r="H487" s="237"/>
      <c r="I487" s="237"/>
      <c r="J487" s="237"/>
      <c r="K487" s="237"/>
      <c r="L487" s="229"/>
      <c r="M487" s="37">
        <v>1</v>
      </c>
      <c r="N487" s="27"/>
      <c r="O487" s="47">
        <f t="shared" si="82"/>
        <v>1</v>
      </c>
      <c r="P487" s="49">
        <f t="shared" si="83"/>
        <v>1</v>
      </c>
      <c r="Q487" s="36"/>
      <c r="R487" s="27"/>
    </row>
    <row r="488" spans="1:18" x14ac:dyDescent="0.3">
      <c r="A488" s="3" t="str">
        <f>Autovalutazione!A502</f>
        <v>9.3.1.x</v>
      </c>
      <c r="B488" s="6" t="str">
        <f>Autovalutazione!C502</f>
        <v>Illuminazione?</v>
      </c>
      <c r="C488" s="38">
        <f>IF(ISBLANK(Autovalutazione!D502),0,1)</f>
        <v>0</v>
      </c>
      <c r="D488" s="293" t="str">
        <f>IF(AND(Autovalutazione!D502="",Autovalutazione!E502=""),"*","")</f>
        <v>*</v>
      </c>
      <c r="E488" s="39" t="str">
        <f>IF(ISBLANK(Autovalutazione!F502),"",Autovalutazione!F502)</f>
        <v/>
      </c>
      <c r="F488" s="235"/>
      <c r="G488" s="235"/>
      <c r="H488" s="235"/>
      <c r="I488" s="235"/>
      <c r="J488" s="235"/>
      <c r="K488" s="235"/>
      <c r="L488" s="229"/>
      <c r="M488" s="37">
        <v>1</v>
      </c>
      <c r="N488" s="27"/>
      <c r="O488" s="47">
        <f t="shared" si="82"/>
        <v>1</v>
      </c>
      <c r="P488" s="49">
        <f t="shared" si="83"/>
        <v>1</v>
      </c>
      <c r="Q488" s="36"/>
      <c r="R488" s="27"/>
    </row>
    <row r="489" spans="1:18" x14ac:dyDescent="0.3">
      <c r="A489" s="3" t="str">
        <f>Autovalutazione!A503</f>
        <v>9.3.1.y</v>
      </c>
      <c r="B489" s="6" t="str">
        <f>Autovalutazione!C503</f>
        <v>Visibilità?</v>
      </c>
      <c r="C489" s="38">
        <f>IF(ISBLANK(Autovalutazione!D503),0,1)</f>
        <v>0</v>
      </c>
      <c r="D489" s="293" t="str">
        <f>IF(AND(Autovalutazione!D503="",Autovalutazione!E503=""),"*","")</f>
        <v>*</v>
      </c>
      <c r="E489" s="39" t="str">
        <f>IF(ISBLANK(Autovalutazione!F503),"",Autovalutazione!F503)</f>
        <v/>
      </c>
      <c r="F489" s="235"/>
      <c r="G489" s="235"/>
      <c r="H489" s="235"/>
      <c r="I489" s="235"/>
      <c r="J489" s="235"/>
      <c r="K489" s="235"/>
      <c r="L489" s="229"/>
      <c r="M489" s="37">
        <v>1</v>
      </c>
      <c r="N489" s="27"/>
      <c r="O489" s="47">
        <f t="shared" si="82"/>
        <v>1</v>
      </c>
      <c r="P489" s="49">
        <f t="shared" si="83"/>
        <v>1</v>
      </c>
      <c r="Q489" s="36"/>
      <c r="R489" s="27"/>
    </row>
    <row r="490" spans="1:18" x14ac:dyDescent="0.3">
      <c r="A490" s="3" t="str">
        <f>Autovalutazione!A504</f>
        <v>9.3.1.z</v>
      </c>
      <c r="B490" s="6" t="str">
        <f>Autovalutazione!C504</f>
        <v xml:space="preserve">Altri stress fisici? Se sì, quali? </v>
      </c>
      <c r="C490" s="38">
        <f>IF(ISBLANK(Autovalutazione!D504),0,1)</f>
        <v>0</v>
      </c>
      <c r="D490" s="293" t="str">
        <f>IF(AND(Autovalutazione!D504="",Autovalutazione!E504=""),"*","")</f>
        <v>*</v>
      </c>
      <c r="E490" s="39" t="str">
        <f>IF(ISBLANK(Autovalutazione!F504),"",Autovalutazione!F504)</f>
        <v/>
      </c>
      <c r="F490" s="235"/>
      <c r="G490" s="235"/>
      <c r="H490" s="235"/>
      <c r="I490" s="235"/>
      <c r="J490" s="235"/>
      <c r="K490" s="235"/>
      <c r="L490" s="229"/>
      <c r="M490" s="37">
        <v>1</v>
      </c>
      <c r="N490" s="27"/>
      <c r="O490" s="47">
        <f t="shared" si="82"/>
        <v>1</v>
      </c>
      <c r="P490" s="49">
        <f t="shared" si="83"/>
        <v>1</v>
      </c>
      <c r="Q490" s="36"/>
      <c r="R490" s="27"/>
    </row>
    <row r="491" spans="1:18" x14ac:dyDescent="0.3">
      <c r="A491" s="20" t="str">
        <f>Autovalutazione!A505</f>
        <v>9.4.</v>
      </c>
      <c r="B491" s="20" t="str">
        <f>Autovalutazione!B505</f>
        <v>Sollecitazioni psichiche</v>
      </c>
      <c r="C491" s="21">
        <f>O491/N491</f>
        <v>1</v>
      </c>
      <c r="D491" s="23" t="str">
        <f>IF(ISBLANK(Autovalutazione!E505),"",Autovalutazione!E505)</f>
        <v/>
      </c>
      <c r="E491" s="23" t="str">
        <f>IF(ISBLANK(Autovalutazione!F505),"",Autovalutazione!F505)</f>
        <v/>
      </c>
      <c r="F491" s="232"/>
      <c r="G491" s="232"/>
      <c r="H491" s="232"/>
      <c r="I491" s="232"/>
      <c r="J491" s="232"/>
      <c r="K491" s="232"/>
      <c r="L491" s="50">
        <f>P491/N491</f>
        <v>1</v>
      </c>
      <c r="M491" s="22">
        <v>0</v>
      </c>
      <c r="N491" s="22">
        <f>SUM(M492:M506)</f>
        <v>15</v>
      </c>
      <c r="O491" s="24">
        <f>SUM(O492:O506)</f>
        <v>15</v>
      </c>
      <c r="P491" s="24">
        <f>SUM(P492:P506)</f>
        <v>15</v>
      </c>
      <c r="Q491" s="52">
        <f>O491/$N491*$M491</f>
        <v>0</v>
      </c>
      <c r="R491" s="52">
        <f>P491/$N491*$M491</f>
        <v>0</v>
      </c>
    </row>
    <row r="492" spans="1:18" ht="52.8" x14ac:dyDescent="0.3">
      <c r="A492" s="3" t="str">
        <f>Autovalutazione!A506</f>
        <v>9.4.1.a</v>
      </c>
      <c r="B492" s="6" t="str">
        <f>Autovalutazione!C506</f>
        <v>Nella vostra azienda i dipendenti sono sottoposti a sollecitazioni di tipo psichico che potrebbero minacciare la loro sicurezza e salute:
Competenze non chiare?</v>
      </c>
      <c r="C492" s="38">
        <f>IF(ISBLANK(Autovalutazione!D506),0,1)</f>
        <v>0</v>
      </c>
      <c r="D492" s="293" t="str">
        <f>IF(AND(Autovalutazione!D506="",Autovalutazione!E506=""),"*","")</f>
        <v>*</v>
      </c>
      <c r="E492" s="39" t="str">
        <f>IF(ISBLANK(Autovalutazione!F506),"",Autovalutazione!F506)</f>
        <v/>
      </c>
      <c r="F492" s="235"/>
      <c r="G492" s="235"/>
      <c r="H492" s="235"/>
      <c r="I492" s="235"/>
      <c r="J492" s="235"/>
      <c r="K492" s="235"/>
      <c r="L492" s="229"/>
      <c r="M492" s="37">
        <v>1</v>
      </c>
      <c r="N492" s="27"/>
      <c r="O492" s="47">
        <f t="shared" ref="O492:O506" si="84">(1-C492)*M492</f>
        <v>1</v>
      </c>
      <c r="P492" s="49">
        <f t="shared" ref="P492:P506" si="85">(1-L492)*M492</f>
        <v>1</v>
      </c>
      <c r="Q492" s="36"/>
      <c r="R492" s="27"/>
    </row>
    <row r="493" spans="1:18" x14ac:dyDescent="0.3">
      <c r="A493" s="3" t="str">
        <f>Autovalutazione!A507</f>
        <v>9.4.1.b</v>
      </c>
      <c r="B493" s="6" t="str">
        <f>Autovalutazione!C507</f>
        <v>Inadeguatezza di compiti, competenze e responsabilità ?</v>
      </c>
      <c r="C493" s="38">
        <f>IF(ISBLANK(Autovalutazione!D507),0,1)</f>
        <v>0</v>
      </c>
      <c r="D493" s="293" t="str">
        <f>IF(AND(Autovalutazione!D507="",Autovalutazione!E507=""),"*","")</f>
        <v>*</v>
      </c>
      <c r="E493" s="39" t="str">
        <f>IF(ISBLANK(Autovalutazione!F507),"",Autovalutazione!F507)</f>
        <v/>
      </c>
      <c r="F493" s="237"/>
      <c r="G493" s="237"/>
      <c r="H493" s="237"/>
      <c r="I493" s="237"/>
      <c r="J493" s="237"/>
      <c r="K493" s="237"/>
      <c r="L493" s="229"/>
      <c r="M493" s="37">
        <v>1</v>
      </c>
      <c r="N493" s="27"/>
      <c r="O493" s="47">
        <f t="shared" si="84"/>
        <v>1</v>
      </c>
      <c r="P493" s="49">
        <f t="shared" si="85"/>
        <v>1</v>
      </c>
      <c r="Q493" s="36"/>
      <c r="R493" s="36"/>
    </row>
    <row r="494" spans="1:18" x14ac:dyDescent="0.3">
      <c r="A494" s="3" t="str">
        <f>Autovalutazione!A508</f>
        <v>9.4.1.c</v>
      </c>
      <c r="B494" s="6" t="str">
        <f>Autovalutazione!C508</f>
        <v>Informazioni e istruzioni di lavoro contraddittorie?</v>
      </c>
      <c r="C494" s="38">
        <f>IF(ISBLANK(Autovalutazione!D508),0,1)</f>
        <v>0</v>
      </c>
      <c r="D494" s="293" t="str">
        <f>IF(AND(Autovalutazione!D508="",Autovalutazione!E508=""),"*","")</f>
        <v>*</v>
      </c>
      <c r="E494" s="39" t="str">
        <f>IF(ISBLANK(Autovalutazione!F508),"",Autovalutazione!F508)</f>
        <v/>
      </c>
      <c r="F494" s="235"/>
      <c r="G494" s="235"/>
      <c r="H494" s="235"/>
      <c r="I494" s="235"/>
      <c r="J494" s="235"/>
      <c r="K494" s="235"/>
      <c r="L494" s="229"/>
      <c r="M494" s="37">
        <v>1</v>
      </c>
      <c r="N494" s="27"/>
      <c r="O494" s="47">
        <f t="shared" si="84"/>
        <v>1</v>
      </c>
      <c r="P494" s="49">
        <f t="shared" si="85"/>
        <v>1</v>
      </c>
      <c r="Q494" s="36"/>
      <c r="R494" s="27"/>
    </row>
    <row r="495" spans="1:18" x14ac:dyDescent="0.3">
      <c r="A495" s="3" t="str">
        <f>Autovalutazione!A509</f>
        <v>9.4.1.d</v>
      </c>
      <c r="B495" s="6" t="str">
        <f>Autovalutazione!C509</f>
        <v>Carenze a livello informativo e comunicativo?</v>
      </c>
      <c r="C495" s="38">
        <f>IF(ISBLANK(Autovalutazione!D509),0,1)</f>
        <v>0</v>
      </c>
      <c r="D495" s="293" t="str">
        <f>IF(AND(Autovalutazione!D509="",Autovalutazione!E509=""),"*","")</f>
        <v>*</v>
      </c>
      <c r="E495" s="39" t="str">
        <f>IF(ISBLANK(Autovalutazione!F509),"",Autovalutazione!F509)</f>
        <v/>
      </c>
      <c r="F495" s="235"/>
      <c r="G495" s="235"/>
      <c r="H495" s="235"/>
      <c r="I495" s="235"/>
      <c r="J495" s="235"/>
      <c r="K495" s="235"/>
      <c r="L495" s="229"/>
      <c r="M495" s="37">
        <v>1</v>
      </c>
      <c r="N495" s="27"/>
      <c r="O495" s="47">
        <f t="shared" si="84"/>
        <v>1</v>
      </c>
      <c r="P495" s="49">
        <f t="shared" si="85"/>
        <v>1</v>
      </c>
      <c r="Q495" s="36"/>
      <c r="R495" s="27"/>
    </row>
    <row r="496" spans="1:18" x14ac:dyDescent="0.3">
      <c r="A496" s="3" t="str">
        <f>Autovalutazione!A510</f>
        <v>9.4.1.e</v>
      </c>
      <c r="B496" s="6" t="str">
        <f>Autovalutazione!C510</f>
        <v>Carenze a livello direttivo?</v>
      </c>
      <c r="C496" s="38">
        <f>IF(ISBLANK(Autovalutazione!D510),0,1)</f>
        <v>0</v>
      </c>
      <c r="D496" s="293" t="str">
        <f>IF(AND(Autovalutazione!D510="",Autovalutazione!E510=""),"*","")</f>
        <v>*</v>
      </c>
      <c r="E496" s="39" t="str">
        <f>IF(ISBLANK(Autovalutazione!F510),"",Autovalutazione!F510)</f>
        <v/>
      </c>
      <c r="F496" s="235"/>
      <c r="G496" s="235"/>
      <c r="H496" s="235"/>
      <c r="I496" s="235"/>
      <c r="J496" s="235"/>
      <c r="K496" s="235"/>
      <c r="L496" s="229"/>
      <c r="M496" s="37">
        <v>1</v>
      </c>
      <c r="N496" s="27"/>
      <c r="O496" s="47">
        <f t="shared" si="84"/>
        <v>1</v>
      </c>
      <c r="P496" s="49">
        <f t="shared" si="85"/>
        <v>1</v>
      </c>
      <c r="Q496" s="36"/>
      <c r="R496" s="27"/>
    </row>
    <row r="497" spans="1:18" x14ac:dyDescent="0.3">
      <c r="A497" s="3" t="str">
        <f>Autovalutazione!A511</f>
        <v>9.4.1.f</v>
      </c>
      <c r="B497" s="6" t="str">
        <f>Autovalutazione!C511</f>
        <v>Tensioni sociali all'interno dell'azienda?</v>
      </c>
      <c r="C497" s="38">
        <f>IF(ISBLANK(Autovalutazione!D511),0,1)</f>
        <v>0</v>
      </c>
      <c r="D497" s="293" t="str">
        <f>IF(AND(Autovalutazione!D511="",Autovalutazione!E511=""),"*","")</f>
        <v>*</v>
      </c>
      <c r="E497" s="39" t="str">
        <f>IF(ISBLANK(Autovalutazione!F511),"",Autovalutazione!F511)</f>
        <v/>
      </c>
      <c r="F497" s="235"/>
      <c r="G497" s="235"/>
      <c r="H497" s="235"/>
      <c r="I497" s="235"/>
      <c r="J497" s="235"/>
      <c r="K497" s="235"/>
      <c r="L497" s="229"/>
      <c r="M497" s="37">
        <v>1</v>
      </c>
      <c r="N497" s="27"/>
      <c r="O497" s="47">
        <f t="shared" si="84"/>
        <v>1</v>
      </c>
      <c r="P497" s="49">
        <f t="shared" si="85"/>
        <v>1</v>
      </c>
      <c r="Q497" s="36"/>
      <c r="R497" s="27"/>
    </row>
    <row r="498" spans="1:18" x14ac:dyDescent="0.3">
      <c r="A498" s="3" t="str">
        <f>Autovalutazione!A512</f>
        <v>9.4.1.g</v>
      </c>
      <c r="B498" s="6" t="str">
        <f>Autovalutazione!C512</f>
        <v>Tensioni sociali all'interno dei team?</v>
      </c>
      <c r="C498" s="38">
        <f>IF(ISBLANK(Autovalutazione!D512),0,1)</f>
        <v>0</v>
      </c>
      <c r="D498" s="293" t="str">
        <f>IF(AND(Autovalutazione!D512="",Autovalutazione!E512=""),"*","")</f>
        <v>*</v>
      </c>
      <c r="E498" s="39" t="str">
        <f>IF(ISBLANK(Autovalutazione!F512),"",Autovalutazione!F512)</f>
        <v/>
      </c>
      <c r="F498" s="235"/>
      <c r="G498" s="235"/>
      <c r="H498" s="235"/>
      <c r="I498" s="235"/>
      <c r="J498" s="235"/>
      <c r="K498" s="235"/>
      <c r="L498" s="229"/>
      <c r="M498" s="37">
        <v>1</v>
      </c>
      <c r="N498" s="27"/>
      <c r="O498" s="47">
        <f t="shared" si="84"/>
        <v>1</v>
      </c>
      <c r="P498" s="49">
        <f t="shared" si="85"/>
        <v>1</v>
      </c>
      <c r="Q498" s="36"/>
      <c r="R498" s="27"/>
    </row>
    <row r="499" spans="1:18" x14ac:dyDescent="0.3">
      <c r="A499" s="3" t="str">
        <f>Autovalutazione!A513</f>
        <v>9.4.1.h</v>
      </c>
      <c r="B499" s="6" t="str">
        <f>Autovalutazione!C513</f>
        <v>Scarsa collaborazione tra le singole unità organizzative?</v>
      </c>
      <c r="C499" s="38">
        <f>IF(ISBLANK(Autovalutazione!D513),0,1)</f>
        <v>0</v>
      </c>
      <c r="D499" s="293" t="str">
        <f>IF(AND(Autovalutazione!D513="",Autovalutazione!E513=""),"*","")</f>
        <v>*</v>
      </c>
      <c r="E499" s="39" t="str">
        <f>IF(ISBLANK(Autovalutazione!F513),"",Autovalutazione!F513)</f>
        <v/>
      </c>
      <c r="F499" s="235"/>
      <c r="G499" s="235"/>
      <c r="H499" s="235"/>
      <c r="I499" s="235"/>
      <c r="J499" s="235"/>
      <c r="K499" s="235"/>
      <c r="L499" s="229"/>
      <c r="M499" s="37">
        <v>1</v>
      </c>
      <c r="N499" s="27"/>
      <c r="O499" s="47">
        <f t="shared" si="84"/>
        <v>1</v>
      </c>
      <c r="P499" s="49">
        <f t="shared" si="85"/>
        <v>1</v>
      </c>
      <c r="Q499" s="36"/>
      <c r="R499" s="27"/>
    </row>
    <row r="500" spans="1:18" x14ac:dyDescent="0.3">
      <c r="A500" s="3" t="str">
        <f>Autovalutazione!A514</f>
        <v>9.4.1.i</v>
      </c>
      <c r="B500" s="6" t="str">
        <f>Autovalutazione!C514</f>
        <v>Contenuto insoddisfacente?</v>
      </c>
      <c r="C500" s="38">
        <f>IF(ISBLANK(Autovalutazione!D514),0,1)</f>
        <v>0</v>
      </c>
      <c r="D500" s="293" t="str">
        <f>IF(AND(Autovalutazione!D514="",Autovalutazione!E514=""),"*","")</f>
        <v>*</v>
      </c>
      <c r="E500" s="39" t="str">
        <f>IF(ISBLANK(Autovalutazione!F514),"",Autovalutazione!F514)</f>
        <v/>
      </c>
      <c r="F500" s="235"/>
      <c r="G500" s="235"/>
      <c r="H500" s="235"/>
      <c r="I500" s="235"/>
      <c r="J500" s="235"/>
      <c r="K500" s="235"/>
      <c r="L500" s="229"/>
      <c r="M500" s="37">
        <v>1</v>
      </c>
      <c r="N500" s="27"/>
      <c r="O500" s="47">
        <f t="shared" si="84"/>
        <v>1</v>
      </c>
      <c r="P500" s="49">
        <f t="shared" si="85"/>
        <v>1</v>
      </c>
      <c r="Q500" s="36"/>
      <c r="R500" s="27"/>
    </row>
    <row r="501" spans="1:18" ht="26.4" x14ac:dyDescent="0.3">
      <c r="A501" s="3" t="str">
        <f>Autovalutazione!A515</f>
        <v>9.4.1.j</v>
      </c>
      <c r="B501" s="6" t="str">
        <f>Autovalutazione!C515</f>
        <v>Velocità di lavoro elevata determinata dalle installazioni e dagli    apparecchi tecnici?</v>
      </c>
      <c r="C501" s="38">
        <f>IF(ISBLANK(Autovalutazione!D515),0,1)</f>
        <v>0</v>
      </c>
      <c r="D501" s="293" t="str">
        <f>IF(AND(Autovalutazione!D515="",Autovalutazione!E515=""),"*","")</f>
        <v>*</v>
      </c>
      <c r="E501" s="39" t="str">
        <f>IF(ISBLANK(Autovalutazione!F515),"",Autovalutazione!F515)</f>
        <v/>
      </c>
      <c r="F501" s="237"/>
      <c r="G501" s="237"/>
      <c r="H501" s="237"/>
      <c r="I501" s="237"/>
      <c r="J501" s="237"/>
      <c r="K501" s="237"/>
      <c r="L501" s="229"/>
      <c r="M501" s="37">
        <v>1</v>
      </c>
      <c r="N501" s="27"/>
      <c r="O501" s="47">
        <f t="shared" si="84"/>
        <v>1</v>
      </c>
      <c r="P501" s="49">
        <f t="shared" si="85"/>
        <v>1</v>
      </c>
      <c r="Q501" s="36"/>
      <c r="R501" s="36"/>
    </row>
    <row r="502" spans="1:18" x14ac:dyDescent="0.3">
      <c r="A502" s="3" t="str">
        <f>Autovalutazione!A516</f>
        <v>9.4.1.k</v>
      </c>
      <c r="B502" s="6" t="str">
        <f>Autovalutazione!C516</f>
        <v>Picchi di lavoro frequenti?</v>
      </c>
      <c r="C502" s="38">
        <f>IF(ISBLANK(Autovalutazione!D516),0,1)</f>
        <v>0</v>
      </c>
      <c r="D502" s="293" t="str">
        <f>IF(AND(Autovalutazione!D516="",Autovalutazione!E516=""),"*","")</f>
        <v>*</v>
      </c>
      <c r="E502" s="39" t="str">
        <f>IF(ISBLANK(Autovalutazione!F516),"",Autovalutazione!F516)</f>
        <v/>
      </c>
      <c r="F502" s="235"/>
      <c r="G502" s="235"/>
      <c r="H502" s="235"/>
      <c r="I502" s="235"/>
      <c r="J502" s="235"/>
      <c r="K502" s="235"/>
      <c r="L502" s="229"/>
      <c r="M502" s="37">
        <v>1</v>
      </c>
      <c r="N502" s="27"/>
      <c r="O502" s="47">
        <f t="shared" si="84"/>
        <v>1</v>
      </c>
      <c r="P502" s="49">
        <f t="shared" si="85"/>
        <v>1</v>
      </c>
      <c r="Q502" s="36"/>
      <c r="R502" s="27"/>
    </row>
    <row r="503" spans="1:18" x14ac:dyDescent="0.3">
      <c r="A503" s="3" t="str">
        <f>Autovalutazione!A517</f>
        <v>9.4.1.l</v>
      </c>
      <c r="B503" s="6" t="str">
        <f>Autovalutazione!C517</f>
        <v>Frequenti straordinari?</v>
      </c>
      <c r="C503" s="38">
        <f>IF(ISBLANK(Autovalutazione!D517),0,1)</f>
        <v>0</v>
      </c>
      <c r="D503" s="293" t="str">
        <f>IF(AND(Autovalutazione!D517="",Autovalutazione!E517=""),"*","")</f>
        <v>*</v>
      </c>
      <c r="E503" s="39" t="str">
        <f>IF(ISBLANK(Autovalutazione!F517),"",Autovalutazione!F517)</f>
        <v/>
      </c>
      <c r="F503" s="235"/>
      <c r="G503" s="235"/>
      <c r="H503" s="235"/>
      <c r="I503" s="235"/>
      <c r="J503" s="235"/>
      <c r="K503" s="235"/>
      <c r="L503" s="229"/>
      <c r="M503" s="37">
        <v>1</v>
      </c>
      <c r="N503" s="27"/>
      <c r="O503" s="47">
        <f t="shared" si="84"/>
        <v>1</v>
      </c>
      <c r="P503" s="49">
        <f t="shared" si="85"/>
        <v>1</v>
      </c>
      <c r="Q503" s="36"/>
      <c r="R503" s="27"/>
    </row>
    <row r="504" spans="1:18" x14ac:dyDescent="0.3">
      <c r="A504" s="3" t="str">
        <f>Autovalutazione!A518</f>
        <v>9.4.1.m</v>
      </c>
      <c r="B504" s="6" t="str">
        <f>Autovalutazione!C518</f>
        <v>Sovraccarico di lavoro?</v>
      </c>
      <c r="C504" s="38">
        <f>IF(ISBLANK(Autovalutazione!D518),0,1)</f>
        <v>0</v>
      </c>
      <c r="D504" s="293" t="str">
        <f>IF(AND(Autovalutazione!D518="",Autovalutazione!E518=""),"*","")</f>
        <v>*</v>
      </c>
      <c r="E504" s="39" t="str">
        <f>IF(ISBLANK(Autovalutazione!F518),"",Autovalutazione!F518)</f>
        <v/>
      </c>
      <c r="F504" s="235"/>
      <c r="G504" s="235"/>
      <c r="H504" s="235"/>
      <c r="I504" s="235"/>
      <c r="J504" s="235"/>
      <c r="K504" s="235"/>
      <c r="L504" s="229"/>
      <c r="M504" s="37">
        <v>1</v>
      </c>
      <c r="N504" s="27"/>
      <c r="O504" s="47">
        <f t="shared" si="84"/>
        <v>1</v>
      </c>
      <c r="P504" s="49">
        <f t="shared" si="85"/>
        <v>1</v>
      </c>
      <c r="Q504" s="36"/>
      <c r="R504" s="27"/>
    </row>
    <row r="505" spans="1:18" x14ac:dyDescent="0.3">
      <c r="A505" s="3" t="str">
        <f>Autovalutazione!A519</f>
        <v>9.4.1.n</v>
      </c>
      <c r="B505" s="6" t="str">
        <f>Autovalutazione!C519</f>
        <v>Frequenti situazioni di stress?</v>
      </c>
      <c r="C505" s="38">
        <f>IF(ISBLANK(Autovalutazione!D519),0,1)</f>
        <v>0</v>
      </c>
      <c r="D505" s="293" t="str">
        <f>IF(AND(Autovalutazione!D519="",Autovalutazione!E519=""),"*","")</f>
        <v>*</v>
      </c>
      <c r="E505" s="39" t="str">
        <f>IF(ISBLANK(Autovalutazione!F519),"",Autovalutazione!F519)</f>
        <v/>
      </c>
      <c r="F505" s="235"/>
      <c r="G505" s="235"/>
      <c r="H505" s="235"/>
      <c r="I505" s="235"/>
      <c r="J505" s="235"/>
      <c r="K505" s="235"/>
      <c r="L505" s="229"/>
      <c r="M505" s="37">
        <v>1</v>
      </c>
      <c r="N505" s="27"/>
      <c r="O505" s="47">
        <f t="shared" si="84"/>
        <v>1</v>
      </c>
      <c r="P505" s="49">
        <f t="shared" si="85"/>
        <v>1</v>
      </c>
      <c r="Q505" s="36"/>
      <c r="R505" s="27"/>
    </row>
    <row r="506" spans="1:18" x14ac:dyDescent="0.3">
      <c r="A506" s="3" t="str">
        <f>Autovalutazione!A520</f>
        <v>9.4.1.o</v>
      </c>
      <c r="B506" s="6" t="str">
        <f>Autovalutazione!C520</f>
        <v>Forte determinazione esterna?</v>
      </c>
      <c r="C506" s="38">
        <f>IF(ISBLANK(Autovalutazione!D520),0,1)</f>
        <v>0</v>
      </c>
      <c r="D506" s="293" t="str">
        <f>IF(AND(Autovalutazione!D520="",Autovalutazione!E520=""),"*","")</f>
        <v>*</v>
      </c>
      <c r="E506" s="39" t="str">
        <f>IF(ISBLANK(Autovalutazione!F520),"",Autovalutazione!F520)</f>
        <v/>
      </c>
      <c r="F506" s="235"/>
      <c r="G506" s="235"/>
      <c r="H506" s="235"/>
      <c r="I506" s="235"/>
      <c r="J506" s="235"/>
      <c r="K506" s="235"/>
      <c r="L506" s="229"/>
      <c r="M506" s="37">
        <v>1</v>
      </c>
      <c r="N506" s="27"/>
      <c r="O506" s="47">
        <f t="shared" si="84"/>
        <v>1</v>
      </c>
      <c r="P506" s="49">
        <f t="shared" si="85"/>
        <v>1</v>
      </c>
      <c r="Q506" s="36"/>
      <c r="R506" s="27"/>
    </row>
    <row r="507" spans="1:18" x14ac:dyDescent="0.3">
      <c r="A507" s="20" t="str">
        <f>Autovalutazione!A521</f>
        <v>9.5.</v>
      </c>
      <c r="B507" s="20" t="str">
        <f>Autovalutazione!B521</f>
        <v>Regolamentazione dell'orario di lavoro</v>
      </c>
      <c r="C507" s="21">
        <f>O507/N507</f>
        <v>1</v>
      </c>
      <c r="D507" s="23" t="str">
        <f>IF(ISBLANK(Autovalutazione!E521),"",Autovalutazione!E521)</f>
        <v/>
      </c>
      <c r="E507" s="23" t="str">
        <f>IF(ISBLANK(Autovalutazione!F521),"",Autovalutazione!F521)</f>
        <v/>
      </c>
      <c r="F507" s="232"/>
      <c r="G507" s="232"/>
      <c r="H507" s="232"/>
      <c r="I507" s="232"/>
      <c r="J507" s="232"/>
      <c r="K507" s="232"/>
      <c r="L507" s="50">
        <f>P507/N507</f>
        <v>1</v>
      </c>
      <c r="M507" s="22">
        <v>0</v>
      </c>
      <c r="N507" s="22">
        <f>SUM(M508:M516)</f>
        <v>2</v>
      </c>
      <c r="O507" s="24">
        <f>SUM(O508:O516)</f>
        <v>2</v>
      </c>
      <c r="P507" s="24">
        <f>SUM(P508:P516)</f>
        <v>2</v>
      </c>
      <c r="Q507" s="52">
        <f>O507/$N507*$M507</f>
        <v>0</v>
      </c>
      <c r="R507" s="52">
        <f>P507/$N507*$M507</f>
        <v>0</v>
      </c>
    </row>
    <row r="508" spans="1:18" ht="39.6" x14ac:dyDescent="0.3">
      <c r="A508" s="3" t="str">
        <f>Autovalutazione!A522</f>
        <v>9.5.1.a</v>
      </c>
      <c r="B508" s="6" t="str">
        <f>Autovalutazione!C522</f>
        <v>Come è regolamentato l'orario di lavoro?
Orario giornaliero?
Se sì, quante ore è il lavoro giornaliero?</v>
      </c>
      <c r="C508" s="38">
        <f>IF(ISBLANK(Autovalutazione!D522),0,1)</f>
        <v>0</v>
      </c>
      <c r="D508" s="293" t="str">
        <f>IF(AND(Autovalutazione!D522="",Autovalutazione!E522=""),"*","")</f>
        <v>*</v>
      </c>
      <c r="E508" s="39" t="str">
        <f>IF(ISBLANK(Autovalutazione!F522),"",Autovalutazione!F522)</f>
        <v/>
      </c>
      <c r="F508" s="235"/>
      <c r="G508" s="235"/>
      <c r="H508" s="235"/>
      <c r="I508" s="235"/>
      <c r="J508" s="235"/>
      <c r="K508" s="235"/>
      <c r="L508" s="229"/>
      <c r="M508" s="37">
        <v>0</v>
      </c>
      <c r="N508" s="27"/>
      <c r="O508" s="28">
        <f>M508*C508</f>
        <v>0</v>
      </c>
      <c r="P508" s="43">
        <f>L508*M508</f>
        <v>0</v>
      </c>
      <c r="Q508" s="36"/>
      <c r="R508" s="27"/>
    </row>
    <row r="509" spans="1:18" ht="26.4" x14ac:dyDescent="0.3">
      <c r="A509" s="3" t="str">
        <f>Autovalutazione!A523</f>
        <v>9.5.1.b</v>
      </c>
      <c r="B509" s="6" t="str">
        <f>Autovalutazione!C523</f>
        <v>Orario settimanale?
Se sì, quante ore è la settimana lavorativa?</v>
      </c>
      <c r="C509" s="38">
        <f>IF(ISBLANK(Autovalutazione!D523),0,1)</f>
        <v>0</v>
      </c>
      <c r="D509" s="293" t="str">
        <f>IF(AND(Autovalutazione!D523="",Autovalutazione!E523=""),"*","")</f>
        <v>*</v>
      </c>
      <c r="E509" s="39" t="str">
        <f>IF(ISBLANK(Autovalutazione!F523),"",Autovalutazione!F523)</f>
        <v/>
      </c>
      <c r="F509" s="237"/>
      <c r="G509" s="237"/>
      <c r="H509" s="237"/>
      <c r="I509" s="237"/>
      <c r="J509" s="237"/>
      <c r="K509" s="237"/>
      <c r="L509" s="229"/>
      <c r="M509" s="37">
        <v>0</v>
      </c>
      <c r="N509" s="27"/>
      <c r="O509" s="28">
        <f>M509*C509</f>
        <v>0</v>
      </c>
      <c r="P509" s="43">
        <f t="shared" ref="P509:P512" si="86">L509*M509</f>
        <v>0</v>
      </c>
      <c r="Q509" s="36"/>
      <c r="R509" s="36"/>
    </row>
    <row r="510" spans="1:18" ht="26.4" x14ac:dyDescent="0.3">
      <c r="A510" s="3" t="str">
        <f>Autovalutazione!A524</f>
        <v>9.5.1.c</v>
      </c>
      <c r="B510" s="6" t="str">
        <f>Autovalutazione!C524</f>
        <v>Orario annuale (orario di lavoro teorico)? Se sì, quante ore è il tempo di lavoro annuale?</v>
      </c>
      <c r="C510" s="38">
        <f>IF(ISBLANK(Autovalutazione!D524),0,1)</f>
        <v>0</v>
      </c>
      <c r="D510" s="293" t="str">
        <f>IF(AND(Autovalutazione!D524="",Autovalutazione!E524=""),"*","")</f>
        <v>*</v>
      </c>
      <c r="E510" s="39" t="str">
        <f>IF(ISBLANK(Autovalutazione!F524),"",Autovalutazione!F524)</f>
        <v/>
      </c>
      <c r="F510" s="235"/>
      <c r="G510" s="235"/>
      <c r="H510" s="235"/>
      <c r="I510" s="235"/>
      <c r="J510" s="235"/>
      <c r="K510" s="235"/>
      <c r="L510" s="229"/>
      <c r="M510" s="37">
        <v>0</v>
      </c>
      <c r="N510" s="27"/>
      <c r="O510" s="28">
        <f>M510*C510</f>
        <v>0</v>
      </c>
      <c r="P510" s="43">
        <f t="shared" si="86"/>
        <v>0</v>
      </c>
      <c r="Q510" s="36"/>
      <c r="R510" s="27"/>
    </row>
    <row r="511" spans="1:18" ht="26.4" x14ac:dyDescent="0.3">
      <c r="A511" s="3" t="str">
        <f>Autovalutazione!A525</f>
        <v>9.5.2.</v>
      </c>
      <c r="B511" s="6" t="str">
        <f>Autovalutazione!C525</f>
        <v>L'orario di lavoro è flessibile? Se sì, come sono stabilite le ore di picchetto?</v>
      </c>
      <c r="C511" s="38">
        <f>IF(ISBLANK(Autovalutazione!D525),0,1)</f>
        <v>0</v>
      </c>
      <c r="D511" s="293" t="str">
        <f>IF(AND(Autovalutazione!D525="",Autovalutazione!E525=""),"*","")</f>
        <v>*</v>
      </c>
      <c r="E511" s="39" t="str">
        <f>IF(ISBLANK(Autovalutazione!F525),"",Autovalutazione!F525)</f>
        <v/>
      </c>
      <c r="F511" s="235"/>
      <c r="G511" s="235"/>
      <c r="H511" s="235"/>
      <c r="I511" s="235"/>
      <c r="J511" s="235"/>
      <c r="K511" s="235"/>
      <c r="L511" s="229"/>
      <c r="M511" s="37">
        <v>0</v>
      </c>
      <c r="N511" s="27"/>
      <c r="O511" s="28">
        <f>M511*C511</f>
        <v>0</v>
      </c>
      <c r="P511" s="43">
        <f t="shared" si="86"/>
        <v>0</v>
      </c>
      <c r="Q511" s="36"/>
      <c r="R511" s="27"/>
    </row>
    <row r="512" spans="1:18" x14ac:dyDescent="0.3">
      <c r="A512" s="3" t="str">
        <f>Autovalutazione!A526</f>
        <v>9.5.3.</v>
      </c>
      <c r="B512" s="6" t="str">
        <f>Autovalutazione!C526</f>
        <v>Ci sono altri orari di lavoro? Se sì, quali?</v>
      </c>
      <c r="C512" s="38">
        <f>IF(ISBLANK(Autovalutazione!D526),0,1)</f>
        <v>0</v>
      </c>
      <c r="D512" s="293" t="str">
        <f>IF(AND(Autovalutazione!D526="",Autovalutazione!E526=""),"*","")</f>
        <v>*</v>
      </c>
      <c r="E512" s="39" t="str">
        <f>IF(ISBLANK(Autovalutazione!F526),"",Autovalutazione!F526)</f>
        <v/>
      </c>
      <c r="F512" s="235"/>
      <c r="G512" s="235"/>
      <c r="H512" s="235"/>
      <c r="I512" s="235"/>
      <c r="J512" s="235"/>
      <c r="K512" s="235"/>
      <c r="L512" s="229"/>
      <c r="M512" s="37">
        <v>0</v>
      </c>
      <c r="N512" s="27"/>
      <c r="O512" s="28">
        <f>C512*M512</f>
        <v>0</v>
      </c>
      <c r="P512" s="43">
        <f t="shared" si="86"/>
        <v>0</v>
      </c>
      <c r="Q512" s="36"/>
      <c r="R512" s="27"/>
    </row>
    <row r="513" spans="1:18" x14ac:dyDescent="0.3">
      <c r="A513" s="3" t="str">
        <f>Autovalutazione!A527</f>
        <v>9.5.4.</v>
      </c>
      <c r="B513" s="6" t="str">
        <f>Autovalutazione!C527</f>
        <v>Si lavora il sabato?</v>
      </c>
      <c r="C513" s="38">
        <f>IF(ISBLANK(Autovalutazione!D527),0,1)</f>
        <v>0</v>
      </c>
      <c r="D513" s="293" t="str">
        <f>IF(AND(Autovalutazione!D527="",Autovalutazione!E527=""),"*","")</f>
        <v>*</v>
      </c>
      <c r="E513" s="39" t="str">
        <f>IF(ISBLANK(Autovalutazione!F527),"",Autovalutazione!F527)</f>
        <v/>
      </c>
      <c r="F513" s="235"/>
      <c r="G513" s="235"/>
      <c r="H513" s="235"/>
      <c r="I513" s="235"/>
      <c r="J513" s="235"/>
      <c r="K513" s="235"/>
      <c r="L513" s="229"/>
      <c r="M513" s="37">
        <v>1</v>
      </c>
      <c r="N513" s="27"/>
      <c r="O513" s="47">
        <f>(1-C513)*M513</f>
        <v>1</v>
      </c>
      <c r="P513" s="49">
        <f t="shared" ref="P513:P516" si="87">(1-L513)*M513</f>
        <v>1</v>
      </c>
      <c r="Q513" s="36"/>
      <c r="R513" s="27"/>
    </row>
    <row r="514" spans="1:18" x14ac:dyDescent="0.3">
      <c r="A514" s="3" t="str">
        <f>Autovalutazione!A528</f>
        <v>9.5.5.</v>
      </c>
      <c r="B514" s="6" t="str">
        <f>Autovalutazione!C528</f>
        <v>Si lavora la domenica e nei giorni festivi?</v>
      </c>
      <c r="C514" s="38">
        <f>IF(ISBLANK(Autovalutazione!D528),0,1)</f>
        <v>0</v>
      </c>
      <c r="D514" s="293" t="str">
        <f>IF(AND(Autovalutazione!D528="",Autovalutazione!E528=""),"*","")</f>
        <v>*</v>
      </c>
      <c r="E514" s="39" t="str">
        <f>IF(ISBLANK(Autovalutazione!F528),"",Autovalutazione!F528)</f>
        <v/>
      </c>
      <c r="F514" s="235"/>
      <c r="G514" s="235"/>
      <c r="H514" s="235"/>
      <c r="I514" s="235"/>
      <c r="J514" s="235"/>
      <c r="K514" s="235"/>
      <c r="L514" s="229"/>
      <c r="M514" s="37">
        <v>1</v>
      </c>
      <c r="N514" s="27"/>
      <c r="O514" s="47">
        <f>(1-C514)*M514</f>
        <v>1</v>
      </c>
      <c r="P514" s="49">
        <f t="shared" si="87"/>
        <v>1</v>
      </c>
      <c r="Q514" s="36"/>
      <c r="R514" s="27"/>
    </row>
    <row r="515" spans="1:18" ht="26.4" x14ac:dyDescent="0.3">
      <c r="A515" s="3" t="str">
        <f>Autovalutazione!A529</f>
        <v>9.5.6.</v>
      </c>
      <c r="B515" s="6" t="str">
        <f>Autovalutazione!C529</f>
        <v>Ci sono turni? In caso affermativo, se sì quando iniziano e finiscono i turni presto, tardi e la notte?</v>
      </c>
      <c r="C515" s="38">
        <f>IF(ISBLANK(Autovalutazione!D529),0,1)</f>
        <v>0</v>
      </c>
      <c r="D515" s="293" t="str">
        <f>IF(AND(Autovalutazione!D529="",Autovalutazione!E529=""),"*","")</f>
        <v>*</v>
      </c>
      <c r="E515" s="39" t="str">
        <f>IF(ISBLANK(Autovalutazione!F529),"",Autovalutazione!F529)</f>
        <v/>
      </c>
      <c r="F515" s="237"/>
      <c r="G515" s="237"/>
      <c r="H515" s="237"/>
      <c r="I515" s="237"/>
      <c r="J515" s="237"/>
      <c r="K515" s="237"/>
      <c r="L515" s="229"/>
      <c r="M515" s="37">
        <v>0</v>
      </c>
      <c r="N515" s="27"/>
      <c r="O515" s="47">
        <f>(1-C515)*M515</f>
        <v>0</v>
      </c>
      <c r="P515" s="49">
        <f t="shared" si="87"/>
        <v>0</v>
      </c>
      <c r="Q515" s="36"/>
      <c r="R515" s="27"/>
    </row>
    <row r="516" spans="1:18" x14ac:dyDescent="0.3">
      <c r="A516" s="3" t="str">
        <f>Autovalutazione!A530</f>
        <v>9.5.7.</v>
      </c>
      <c r="B516" s="6" t="str">
        <f>Autovalutazione!C530</f>
        <v>Ci sono altri orari di lavoro? Se sì, quali?</v>
      </c>
      <c r="C516" s="38">
        <f>IF(ISBLANK(Autovalutazione!D530),0,1)</f>
        <v>0</v>
      </c>
      <c r="D516" s="293" t="str">
        <f>IF(AND(Autovalutazione!D530="",Autovalutazione!E530=""),"*","")</f>
        <v>*</v>
      </c>
      <c r="E516" s="39" t="str">
        <f>IF(ISBLANK(Autovalutazione!F530),"",Autovalutazione!F530)</f>
        <v/>
      </c>
      <c r="F516" s="237"/>
      <c r="G516" s="237"/>
      <c r="H516" s="237"/>
      <c r="I516" s="237"/>
      <c r="J516" s="237"/>
      <c r="K516" s="237"/>
      <c r="L516" s="229"/>
      <c r="M516" s="37">
        <v>0</v>
      </c>
      <c r="N516" s="27"/>
      <c r="O516" s="47">
        <f>(1-C516)*M516</f>
        <v>0</v>
      </c>
      <c r="P516" s="49">
        <f t="shared" si="87"/>
        <v>0</v>
      </c>
      <c r="Q516" s="36"/>
      <c r="R516" s="36"/>
    </row>
    <row r="517" spans="1:18" x14ac:dyDescent="0.3">
      <c r="A517" s="20" t="str">
        <f>Autovalutazione!A531</f>
        <v>9.6.</v>
      </c>
      <c r="B517" s="20" t="str">
        <f>Autovalutazione!B531</f>
        <v>Organizzazione delle pause</v>
      </c>
      <c r="C517" s="21">
        <f>O517/N517</f>
        <v>0</v>
      </c>
      <c r="D517" s="23" t="str">
        <f>IF(ISBLANK(Autovalutazione!E531),"",Autovalutazione!E531)</f>
        <v/>
      </c>
      <c r="E517" s="23" t="str">
        <f>IF(ISBLANK(Autovalutazione!F531),"",Autovalutazione!F531)</f>
        <v/>
      </c>
      <c r="F517" s="232"/>
      <c r="G517" s="232"/>
      <c r="H517" s="232"/>
      <c r="I517" s="232"/>
      <c r="J517" s="232"/>
      <c r="K517" s="232"/>
      <c r="L517" s="50">
        <f>P517/N517</f>
        <v>0</v>
      </c>
      <c r="M517" s="22">
        <v>1</v>
      </c>
      <c r="N517" s="22">
        <f>SUM(M518:M525)</f>
        <v>6</v>
      </c>
      <c r="O517" s="24">
        <f>SUM(O518:O525)</f>
        <v>0</v>
      </c>
      <c r="P517" s="24">
        <f>SUM(P518:P525)</f>
        <v>0</v>
      </c>
      <c r="Q517" s="52">
        <f>O517/$N517*$M517</f>
        <v>0</v>
      </c>
      <c r="R517" s="52">
        <f>P517/$N517*$M517</f>
        <v>0</v>
      </c>
    </row>
    <row r="518" spans="1:18" x14ac:dyDescent="0.3">
      <c r="A518" s="3" t="str">
        <f>Autovalutazione!A532</f>
        <v>9.6.1.</v>
      </c>
      <c r="B518" s="6" t="str">
        <f>Autovalutazione!C532</f>
        <v>Le pause ufficiali sono regolamentate?</v>
      </c>
      <c r="C518" s="38">
        <f>IF(ISBLANK(Autovalutazione!D532),0,1)</f>
        <v>0</v>
      </c>
      <c r="D518" s="293" t="str">
        <f>IF(AND(Autovalutazione!D532="",Autovalutazione!E532=""),"*","")</f>
        <v>*</v>
      </c>
      <c r="E518" s="39" t="str">
        <f>IF(ISBLANK(Autovalutazione!F532),"",Autovalutazione!F532)</f>
        <v/>
      </c>
      <c r="F518" s="235"/>
      <c r="G518" s="235"/>
      <c r="H518" s="235"/>
      <c r="I518" s="235"/>
      <c r="J518" s="235"/>
      <c r="K518" s="235"/>
      <c r="L518" s="229"/>
      <c r="M518" s="37">
        <v>3</v>
      </c>
      <c r="N518" s="27"/>
      <c r="O518" s="28">
        <f t="shared" ref="O518:O525" si="88">C518*M518</f>
        <v>0</v>
      </c>
      <c r="P518" s="43">
        <f t="shared" ref="P518:P525" si="89">L518*M518</f>
        <v>0</v>
      </c>
      <c r="Q518" s="36"/>
      <c r="R518" s="27"/>
    </row>
    <row r="519" spans="1:18" ht="26.4" x14ac:dyDescent="0.3">
      <c r="A519" s="3" t="str">
        <f>Autovalutazione!A533</f>
        <v>9.6.2.a</v>
      </c>
      <c r="B519" s="6" t="str">
        <f>Autovalutazione!C533</f>
        <v>C'è un pausa dal lavoro ufficiale:
Del mattino? Se sì, quanto tempo fa questo?</v>
      </c>
      <c r="C519" s="38">
        <f>IF(ISBLANK(Autovalutazione!D533),0,1)</f>
        <v>0</v>
      </c>
      <c r="D519" s="293" t="str">
        <f>IF(AND(Autovalutazione!D533="",Autovalutazione!E533=""),"*","")</f>
        <v>*</v>
      </c>
      <c r="E519" s="39" t="str">
        <f>IF(ISBLANK(Autovalutazione!F533),"",Autovalutazione!F533)</f>
        <v/>
      </c>
      <c r="F519" s="237"/>
      <c r="G519" s="237"/>
      <c r="H519" s="237"/>
      <c r="I519" s="237"/>
      <c r="J519" s="237"/>
      <c r="K519" s="237"/>
      <c r="L519" s="229"/>
      <c r="M519" s="37">
        <v>0</v>
      </c>
      <c r="N519" s="27"/>
      <c r="O519" s="28">
        <f t="shared" si="88"/>
        <v>0</v>
      </c>
      <c r="P519" s="43">
        <f t="shared" si="89"/>
        <v>0</v>
      </c>
      <c r="Q519" s="36"/>
      <c r="R519" s="27"/>
    </row>
    <row r="520" spans="1:18" x14ac:dyDescent="0.3">
      <c r="A520" s="3" t="str">
        <f>Autovalutazione!A534</f>
        <v>9.6.2.b</v>
      </c>
      <c r="B520" s="6" t="str">
        <f>Autovalutazione!C534</f>
        <v>A mezzogiorno? Se sì, quanto tempo fa questo?</v>
      </c>
      <c r="C520" s="38">
        <f>IF(ISBLANK(Autovalutazione!D534),0,1)</f>
        <v>0</v>
      </c>
      <c r="D520" s="293" t="str">
        <f>IF(AND(Autovalutazione!D534="",Autovalutazione!E534=""),"*","")</f>
        <v>*</v>
      </c>
      <c r="E520" s="39" t="str">
        <f>IF(ISBLANK(Autovalutazione!F534),"",Autovalutazione!F534)</f>
        <v/>
      </c>
      <c r="F520" s="235"/>
      <c r="G520" s="235"/>
      <c r="H520" s="235"/>
      <c r="I520" s="235"/>
      <c r="J520" s="235"/>
      <c r="K520" s="235"/>
      <c r="L520" s="229"/>
      <c r="M520" s="37">
        <v>0</v>
      </c>
      <c r="N520" s="27"/>
      <c r="O520" s="28">
        <f t="shared" si="88"/>
        <v>0</v>
      </c>
      <c r="P520" s="43">
        <f t="shared" si="89"/>
        <v>0</v>
      </c>
      <c r="Q520" s="36"/>
      <c r="R520" s="27"/>
    </row>
    <row r="521" spans="1:18" x14ac:dyDescent="0.3">
      <c r="A521" s="3" t="str">
        <f>Autovalutazione!A535</f>
        <v>9.6.2.c</v>
      </c>
      <c r="B521" s="6" t="str">
        <f>Autovalutazione!C535</f>
        <v>Del pomeriggio? Se sì, quanto tempo fa questo?</v>
      </c>
      <c r="C521" s="38">
        <f>IF(ISBLANK(Autovalutazione!D535),0,1)</f>
        <v>0</v>
      </c>
      <c r="D521" s="293" t="str">
        <f>IF(AND(Autovalutazione!D535="",Autovalutazione!E535=""),"*","")</f>
        <v>*</v>
      </c>
      <c r="E521" s="39" t="str">
        <f>IF(ISBLANK(Autovalutazione!F535),"",Autovalutazione!F535)</f>
        <v/>
      </c>
      <c r="F521" s="235"/>
      <c r="G521" s="235"/>
      <c r="H521" s="235"/>
      <c r="I521" s="235"/>
      <c r="J521" s="235"/>
      <c r="K521" s="235"/>
      <c r="L521" s="229"/>
      <c r="M521" s="37">
        <v>0</v>
      </c>
      <c r="N521" s="27"/>
      <c r="O521" s="28">
        <f t="shared" si="88"/>
        <v>0</v>
      </c>
      <c r="P521" s="43">
        <f t="shared" si="89"/>
        <v>0</v>
      </c>
      <c r="Q521" s="36"/>
      <c r="R521" s="27"/>
    </row>
    <row r="522" spans="1:18" x14ac:dyDescent="0.3">
      <c r="A522" s="3" t="str">
        <f>Autovalutazione!A536</f>
        <v>9.6.2.d</v>
      </c>
      <c r="B522" s="6" t="str">
        <f>Autovalutazione!C536</f>
        <v>Pause di turno? Se sì, quanto tempo fa questo?</v>
      </c>
      <c r="C522" s="38">
        <f>IF(ISBLANK(Autovalutazione!D536),0,1)</f>
        <v>0</v>
      </c>
      <c r="D522" s="293" t="str">
        <f>IF(AND(Autovalutazione!D536="",Autovalutazione!E536=""),"*","")</f>
        <v>*</v>
      </c>
      <c r="E522" s="39" t="str">
        <f>IF(ISBLANK(Autovalutazione!F536),"",Autovalutazione!F536)</f>
        <v/>
      </c>
      <c r="F522" s="235"/>
      <c r="G522" s="235"/>
      <c r="H522" s="235"/>
      <c r="I522" s="235"/>
      <c r="J522" s="235"/>
      <c r="K522" s="235"/>
      <c r="L522" s="229"/>
      <c r="M522" s="37">
        <v>0</v>
      </c>
      <c r="N522" s="27"/>
      <c r="O522" s="28">
        <f t="shared" si="88"/>
        <v>0</v>
      </c>
      <c r="P522" s="43">
        <f t="shared" si="89"/>
        <v>0</v>
      </c>
      <c r="Q522" s="36"/>
      <c r="R522" s="27"/>
    </row>
    <row r="523" spans="1:18" ht="26.4" x14ac:dyDescent="0.3">
      <c r="A523" s="3" t="str">
        <f>Autovalutazione!A537</f>
        <v>9.6.3.</v>
      </c>
      <c r="B523" s="6" t="str">
        <f>Autovalutazione!C537</f>
        <v>I dipendenti possono fare delle brevi pause in maniera indipendente dentro un contesto ragionevole?</v>
      </c>
      <c r="C523" s="38">
        <f>IF(ISBLANK(Autovalutazione!D537),0,1)</f>
        <v>0</v>
      </c>
      <c r="D523" s="293" t="str">
        <f>IF(AND(Autovalutazione!D537="",Autovalutazione!E537=""),"*","")</f>
        <v>*</v>
      </c>
      <c r="E523" s="39" t="str">
        <f>IF(ISBLANK(Autovalutazione!F537),"",Autovalutazione!F537)</f>
        <v/>
      </c>
      <c r="F523" s="235"/>
      <c r="G523" s="235"/>
      <c r="H523" s="235"/>
      <c r="I523" s="235"/>
      <c r="J523" s="235"/>
      <c r="K523" s="235"/>
      <c r="L523" s="229"/>
      <c r="M523" s="37">
        <v>1</v>
      </c>
      <c r="N523" s="27"/>
      <c r="O523" s="28">
        <f t="shared" si="88"/>
        <v>0</v>
      </c>
      <c r="P523" s="43">
        <f t="shared" si="89"/>
        <v>0</v>
      </c>
      <c r="Q523" s="36"/>
      <c r="R523" s="27"/>
    </row>
    <row r="524" spans="1:18" x14ac:dyDescent="0.3">
      <c r="A524" s="3" t="str">
        <f>Autovalutazione!A538</f>
        <v>9.6.4.</v>
      </c>
      <c r="B524" s="6" t="str">
        <f>Autovalutazione!C538</f>
        <v>C'è un locale adeguato dove fare la pausa?</v>
      </c>
      <c r="C524" s="38">
        <f>IF(ISBLANK(Autovalutazione!D538),0,1)</f>
        <v>0</v>
      </c>
      <c r="D524" s="293" t="str">
        <f>IF(AND(Autovalutazione!D538="",Autovalutazione!E538=""),"*","")</f>
        <v>*</v>
      </c>
      <c r="E524" s="39" t="str">
        <f>IF(ISBLANK(Autovalutazione!F538),"",Autovalutazione!F538)</f>
        <v/>
      </c>
      <c r="F524" s="235"/>
      <c r="G524" s="235"/>
      <c r="H524" s="235"/>
      <c r="I524" s="235"/>
      <c r="J524" s="235"/>
      <c r="K524" s="235"/>
      <c r="L524" s="229"/>
      <c r="M524" s="37">
        <v>1</v>
      </c>
      <c r="N524" s="27"/>
      <c r="O524" s="28">
        <f t="shared" si="88"/>
        <v>0</v>
      </c>
      <c r="P524" s="43">
        <f t="shared" si="89"/>
        <v>0</v>
      </c>
      <c r="Q524" s="36"/>
      <c r="R524" s="27"/>
    </row>
    <row r="525" spans="1:18" x14ac:dyDescent="0.3">
      <c r="A525" s="3" t="str">
        <f>Autovalutazione!A539</f>
        <v>9.6.5.</v>
      </c>
      <c r="B525" s="6" t="str">
        <f>Autovalutazione!C539</f>
        <v>Ci sono spazi distinti per fumatori e non fumatori?</v>
      </c>
      <c r="C525" s="38">
        <f>IF(ISBLANK(Autovalutazione!D539),0,1)</f>
        <v>0</v>
      </c>
      <c r="D525" s="293" t="str">
        <f>IF(AND(Autovalutazione!D539="",Autovalutazione!E539=""),"*","")</f>
        <v>*</v>
      </c>
      <c r="E525" s="39" t="str">
        <f>IF(ISBLANK(Autovalutazione!F539),"",Autovalutazione!F539)</f>
        <v/>
      </c>
      <c r="F525" s="235"/>
      <c r="G525" s="235"/>
      <c r="H525" s="235"/>
      <c r="I525" s="235"/>
      <c r="J525" s="235"/>
      <c r="K525" s="235"/>
      <c r="L525" s="229"/>
      <c r="M525" s="37">
        <v>1</v>
      </c>
      <c r="N525" s="27"/>
      <c r="O525" s="28">
        <f t="shared" si="88"/>
        <v>0</v>
      </c>
      <c r="P525" s="43">
        <f t="shared" si="89"/>
        <v>0</v>
      </c>
      <c r="Q525" s="36"/>
      <c r="R525" s="27"/>
    </row>
    <row r="526" spans="1:18" x14ac:dyDescent="0.3">
      <c r="A526" s="20" t="str">
        <f>Autovalutazione!A540</f>
        <v>9.7.</v>
      </c>
      <c r="B526" s="20" t="str">
        <f>Autovalutazione!B540</f>
        <v>Forme di retribuzione</v>
      </c>
      <c r="C526" s="21">
        <f>O526/N526</f>
        <v>0.4</v>
      </c>
      <c r="D526" s="23" t="str">
        <f>IF(ISBLANK(Autovalutazione!E540),"",Autovalutazione!E540)</f>
        <v/>
      </c>
      <c r="E526" s="23" t="str">
        <f>IF(ISBLANK(Autovalutazione!F540),"",Autovalutazione!F540)</f>
        <v/>
      </c>
      <c r="F526" s="232"/>
      <c r="G526" s="232"/>
      <c r="H526" s="232"/>
      <c r="I526" s="232"/>
      <c r="J526" s="232"/>
      <c r="K526" s="232"/>
      <c r="L526" s="50">
        <f>P526/N526</f>
        <v>0.4</v>
      </c>
      <c r="M526" s="22">
        <v>0</v>
      </c>
      <c r="N526" s="22">
        <f>SUM(M527:M531)</f>
        <v>5</v>
      </c>
      <c r="O526" s="24">
        <f>SUM(O527:O531)</f>
        <v>2</v>
      </c>
      <c r="P526" s="24">
        <f>SUM(P527:P531)</f>
        <v>2</v>
      </c>
      <c r="Q526" s="52">
        <f>O526/$N526*$M526</f>
        <v>0</v>
      </c>
      <c r="R526" s="52">
        <f>P526/$N526*$M526</f>
        <v>0</v>
      </c>
    </row>
    <row r="527" spans="1:18" ht="26.4" x14ac:dyDescent="0.3">
      <c r="A527" s="3" t="str">
        <f>Autovalutazione!A541</f>
        <v>9.7.1.a</v>
      </c>
      <c r="B527" s="6" t="str">
        <f>Autovalutazione!C541</f>
        <v>Quale forma di retribuzione è in vigore nella vostra azienda:
Salario a tempo: posto fisso, salario mensile/a ore?</v>
      </c>
      <c r="C527" s="38">
        <f>IF(ISBLANK(Autovalutazione!D541),0,1)</f>
        <v>0</v>
      </c>
      <c r="D527" s="293" t="str">
        <f>IF(AND(Autovalutazione!D541="",Autovalutazione!E541=""),"*","")</f>
        <v>*</v>
      </c>
      <c r="E527" s="39" t="str">
        <f>IF(ISBLANK(Autovalutazione!F541),"",Autovalutazione!F541)</f>
        <v/>
      </c>
      <c r="F527" s="235"/>
      <c r="G527" s="235"/>
      <c r="H527" s="235"/>
      <c r="I527" s="235"/>
      <c r="J527" s="235"/>
      <c r="K527" s="235"/>
      <c r="L527" s="229"/>
      <c r="M527" s="37">
        <v>1</v>
      </c>
      <c r="N527" s="27"/>
      <c r="O527" s="28">
        <f>C527*M527</f>
        <v>0</v>
      </c>
      <c r="P527" s="43">
        <f t="shared" ref="P527:P528" si="90">L527*M527</f>
        <v>0</v>
      </c>
      <c r="Q527" s="36"/>
      <c r="R527" s="27"/>
    </row>
    <row r="528" spans="1:18" x14ac:dyDescent="0.3">
      <c r="A528" s="3" t="str">
        <f>Autovalutazione!A542</f>
        <v>9.7.1.b</v>
      </c>
      <c r="B528" s="6" t="str">
        <f>Autovalutazione!C542</f>
        <v>Salario a premio (salario a tempo + premi)?</v>
      </c>
      <c r="C528" s="38">
        <f>IF(ISBLANK(Autovalutazione!D542),0,1)</f>
        <v>0</v>
      </c>
      <c r="D528" s="293" t="str">
        <f>IF(AND(Autovalutazione!D542="",Autovalutazione!E542=""),"*","")</f>
        <v>*</v>
      </c>
      <c r="E528" s="39" t="str">
        <f>IF(ISBLANK(Autovalutazione!F542),"",Autovalutazione!F542)</f>
        <v/>
      </c>
      <c r="F528" s="235"/>
      <c r="G528" s="235"/>
      <c r="H528" s="235"/>
      <c r="I528" s="235"/>
      <c r="J528" s="235"/>
      <c r="K528" s="235"/>
      <c r="L528" s="229"/>
      <c r="M528" s="37">
        <v>1</v>
      </c>
      <c r="N528" s="27"/>
      <c r="O528" s="28">
        <f>C528*M528</f>
        <v>0</v>
      </c>
      <c r="P528" s="43">
        <f t="shared" si="90"/>
        <v>0</v>
      </c>
      <c r="Q528" s="36"/>
      <c r="R528" s="27"/>
    </row>
    <row r="529" spans="1:18" x14ac:dyDescent="0.3">
      <c r="A529" s="3" t="str">
        <f>Autovalutazione!A543</f>
        <v>9.7.1.c</v>
      </c>
      <c r="B529" s="6" t="str">
        <f>Autovalutazione!C543</f>
        <v>Salario a rendimento: a cottimo, a pezzo?</v>
      </c>
      <c r="C529" s="38">
        <f>IF(ISBLANK(Autovalutazione!D543),0,1)</f>
        <v>0</v>
      </c>
      <c r="D529" s="293" t="str">
        <f>IF(AND(Autovalutazione!D543="",Autovalutazione!E543=""),"*","")</f>
        <v>*</v>
      </c>
      <c r="E529" s="39" t="str">
        <f>IF(ISBLANK(Autovalutazione!F543),"",Autovalutazione!F543)</f>
        <v/>
      </c>
      <c r="F529" s="235"/>
      <c r="G529" s="235"/>
      <c r="H529" s="235"/>
      <c r="I529" s="235"/>
      <c r="J529" s="235"/>
      <c r="K529" s="235"/>
      <c r="L529" s="229"/>
      <c r="M529" s="37">
        <v>1</v>
      </c>
      <c r="N529" s="27"/>
      <c r="O529" s="47">
        <f>(1-C529)*M529</f>
        <v>1</v>
      </c>
      <c r="P529" s="49">
        <f t="shared" ref="P529:P530" si="91">(1-L529)*M529</f>
        <v>1</v>
      </c>
      <c r="Q529" s="36"/>
      <c r="R529" s="27"/>
    </row>
    <row r="530" spans="1:18" x14ac:dyDescent="0.3">
      <c r="A530" s="3" t="str">
        <f>Autovalutazione!A544</f>
        <v>9.7.1.e</v>
      </c>
      <c r="B530" s="6" t="str">
        <f>Autovalutazione!C544</f>
        <v>Cottimo in gruppo?</v>
      </c>
      <c r="C530" s="38">
        <f>IF(ISBLANK(Autovalutazione!D544),0,1)</f>
        <v>0</v>
      </c>
      <c r="D530" s="293" t="str">
        <f>IF(AND(Autovalutazione!D544="",Autovalutazione!E544=""),"*","")</f>
        <v>*</v>
      </c>
      <c r="E530" s="39" t="str">
        <f>IF(ISBLANK(Autovalutazione!F544),"",Autovalutazione!F544)</f>
        <v/>
      </c>
      <c r="F530" s="235"/>
      <c r="G530" s="235"/>
      <c r="H530" s="235"/>
      <c r="I530" s="235"/>
      <c r="J530" s="235"/>
      <c r="K530" s="235"/>
      <c r="L530" s="229"/>
      <c r="M530" s="37">
        <v>1</v>
      </c>
      <c r="N530" s="27"/>
      <c r="O530" s="47">
        <f>(1-C530)*M530</f>
        <v>1</v>
      </c>
      <c r="P530" s="49">
        <f t="shared" si="91"/>
        <v>1</v>
      </c>
      <c r="Q530" s="36"/>
      <c r="R530" s="36"/>
    </row>
    <row r="531" spans="1:18" ht="26.4" x14ac:dyDescent="0.3">
      <c r="A531" s="3" t="str">
        <f>Autovalutazione!A545</f>
        <v>9.7.2.</v>
      </c>
      <c r="B531" s="6" t="str">
        <f>Autovalutazione!C545</f>
        <v>Nel caso del salario a cottimo si garantisce un salario di base indipendente dal rendimento?</v>
      </c>
      <c r="C531" s="38">
        <f>IF(ISBLANK(Autovalutazione!D545),0,1)</f>
        <v>0</v>
      </c>
      <c r="D531" s="293" t="str">
        <f>IF(AND(Autovalutazione!D545="",Autovalutazione!E545=""),"*","")</f>
        <v>*</v>
      </c>
      <c r="E531" s="39" t="str">
        <f>IF(ISBLANK(Autovalutazione!F545),"",Autovalutazione!F545)</f>
        <v/>
      </c>
      <c r="F531" s="235"/>
      <c r="G531" s="235"/>
      <c r="H531" s="235"/>
      <c r="I531" s="235"/>
      <c r="J531" s="235"/>
      <c r="K531" s="235"/>
      <c r="L531" s="229"/>
      <c r="M531" s="37">
        <v>1</v>
      </c>
      <c r="N531" s="27"/>
      <c r="O531" s="28">
        <f>C531*M531</f>
        <v>0</v>
      </c>
      <c r="P531" s="43">
        <f>L531*M531</f>
        <v>0</v>
      </c>
      <c r="Q531" s="36"/>
      <c r="R531" s="27"/>
    </row>
    <row r="532" spans="1:18" x14ac:dyDescent="0.3">
      <c r="A532" s="20" t="str">
        <f>Autovalutazione!A546</f>
        <v>9.8.</v>
      </c>
      <c r="B532" s="20" t="str">
        <f>Autovalutazione!B546</f>
        <v>Sostanze pericolose per la salute</v>
      </c>
      <c r="C532" s="21">
        <f>O532/N532</f>
        <v>0</v>
      </c>
      <c r="D532" s="23" t="str">
        <f>IF(ISBLANK(Autovalutazione!E546),"",Autovalutazione!E546)</f>
        <v/>
      </c>
      <c r="E532" s="23" t="str">
        <f>IF(ISBLANK(Autovalutazione!F546),"",Autovalutazione!F546)</f>
        <v/>
      </c>
      <c r="F532" s="232"/>
      <c r="G532" s="232"/>
      <c r="H532" s="232"/>
      <c r="I532" s="232"/>
      <c r="J532" s="232"/>
      <c r="K532" s="232"/>
      <c r="L532" s="50">
        <f>P532/N532</f>
        <v>0</v>
      </c>
      <c r="M532" s="22">
        <v>3</v>
      </c>
      <c r="N532" s="22">
        <f>SUM(M533:M539)</f>
        <v>15</v>
      </c>
      <c r="O532" s="24">
        <f>SUM(O533:O539)</f>
        <v>0</v>
      </c>
      <c r="P532" s="24">
        <f>SUM(P533:P539)</f>
        <v>0</v>
      </c>
      <c r="Q532" s="52">
        <f>O532/$N532*$M532</f>
        <v>0</v>
      </c>
      <c r="R532" s="52">
        <f>P532/$N532*$M532</f>
        <v>0</v>
      </c>
    </row>
    <row r="533" spans="1:18" ht="26.4" x14ac:dyDescent="0.3">
      <c r="A533" s="3" t="str">
        <f>Autovalutazione!A547</f>
        <v>9.8.1.</v>
      </c>
      <c r="B533" s="6" t="str">
        <f>Autovalutazione!C547</f>
        <v>Nella vostra azienda si producono o si lavorano sostanze pericolose per la salute?</v>
      </c>
      <c r="C533" s="38">
        <f>IF(ISBLANK(Autovalutazione!D547),0,1)</f>
        <v>0</v>
      </c>
      <c r="D533" s="293" t="str">
        <f>IF(AND(Autovalutazione!D547="",Autovalutazione!E547=""),"*","")</f>
        <v>*</v>
      </c>
      <c r="E533" s="39" t="str">
        <f>IF(ISBLANK(Autovalutazione!F547),"",Autovalutazione!F547)</f>
        <v/>
      </c>
      <c r="F533" s="235"/>
      <c r="G533" s="235"/>
      <c r="H533" s="235"/>
      <c r="I533" s="235"/>
      <c r="J533" s="235"/>
      <c r="K533" s="235"/>
      <c r="L533" s="229"/>
      <c r="M533" s="37">
        <v>0</v>
      </c>
      <c r="N533" s="27"/>
      <c r="O533" s="47">
        <f>(1-C533)*M533</f>
        <v>0</v>
      </c>
      <c r="P533" s="49">
        <f t="shared" ref="P533:P534" si="92">(1-L533)*M533</f>
        <v>0</v>
      </c>
      <c r="Q533" s="36"/>
      <c r="R533" s="27"/>
    </row>
    <row r="534" spans="1:18" ht="26.4" x14ac:dyDescent="0.3">
      <c r="A534" s="3" t="str">
        <f>Autovalutazione!A548</f>
        <v>9.8.2.</v>
      </c>
      <c r="B534" s="6" t="str">
        <f>Autovalutazione!C548</f>
        <v>Nella vostra azienda sono stoccate sostanze pericolose per la salute?</v>
      </c>
      <c r="C534" s="38">
        <f>IF(ISBLANK(Autovalutazione!D548),0,1)</f>
        <v>0</v>
      </c>
      <c r="D534" s="293" t="str">
        <f>IF(AND(Autovalutazione!D548="",Autovalutazione!E548=""),"*","")</f>
        <v>*</v>
      </c>
      <c r="E534" s="39" t="str">
        <f>IF(ISBLANK(Autovalutazione!F548),"",Autovalutazione!F548)</f>
        <v/>
      </c>
      <c r="F534" s="235"/>
      <c r="G534" s="235"/>
      <c r="H534" s="235"/>
      <c r="I534" s="235"/>
      <c r="J534" s="235"/>
      <c r="K534" s="235"/>
      <c r="L534" s="229"/>
      <c r="M534" s="37">
        <v>0</v>
      </c>
      <c r="N534" s="27"/>
      <c r="O534" s="47">
        <f>(1-C534)*M534</f>
        <v>0</v>
      </c>
      <c r="P534" s="49">
        <f t="shared" si="92"/>
        <v>0</v>
      </c>
      <c r="Q534" s="36"/>
      <c r="R534" s="27"/>
    </row>
    <row r="535" spans="1:18" ht="26.4" x14ac:dyDescent="0.3">
      <c r="A535" s="3" t="str">
        <f>Autovalutazione!A549</f>
        <v>9.8.3.</v>
      </c>
      <c r="B535" s="6" t="str">
        <f>Autovalutazione!C549</f>
        <v>Nella vostra azienda si rispettano le norme di sicurezza relative alle sostanze pericolose per la salute?</v>
      </c>
      <c r="C535" s="38">
        <f>IF(ISBLANK(Autovalutazione!D549),0,1)</f>
        <v>0</v>
      </c>
      <c r="D535" s="293" t="str">
        <f>IF(AND(Autovalutazione!D549="",Autovalutazione!E549=""),"*","")</f>
        <v>*</v>
      </c>
      <c r="E535" s="39" t="str">
        <f>IF(ISBLANK(Autovalutazione!F549),"",Autovalutazione!F549)</f>
        <v/>
      </c>
      <c r="F535" s="235"/>
      <c r="G535" s="235"/>
      <c r="H535" s="235"/>
      <c r="I535" s="235"/>
      <c r="J535" s="235"/>
      <c r="K535" s="235"/>
      <c r="L535" s="229"/>
      <c r="M535" s="37">
        <v>3</v>
      </c>
      <c r="N535" s="27"/>
      <c r="O535" s="28">
        <f>C535*M535</f>
        <v>0</v>
      </c>
      <c r="P535" s="43">
        <f t="shared" ref="P535:P539" si="93">L535*M535</f>
        <v>0</v>
      </c>
      <c r="Q535" s="36"/>
      <c r="R535" s="27"/>
    </row>
    <row r="536" spans="1:18" ht="26.4" x14ac:dyDescent="0.3">
      <c r="A536" s="3" t="str">
        <f>Autovalutazione!A550</f>
        <v>9.8.4.</v>
      </c>
      <c r="B536" s="6" t="str">
        <f>Autovalutazione!C550</f>
        <v>Nella vostra azienda sono presenti le schede di sicurezza per ogni sostanza pericolosa?</v>
      </c>
      <c r="C536" s="38">
        <f>IF(ISBLANK(Autovalutazione!D550),0,1)</f>
        <v>0</v>
      </c>
      <c r="D536" s="293" t="str">
        <f>IF(AND(Autovalutazione!D550="",Autovalutazione!E550=""),"*","")</f>
        <v>*</v>
      </c>
      <c r="E536" s="39" t="str">
        <f>IF(ISBLANK(Autovalutazione!F550),"",Autovalutazione!F550)</f>
        <v/>
      </c>
      <c r="F536" s="235"/>
      <c r="G536" s="235"/>
      <c r="H536" s="235"/>
      <c r="I536" s="235"/>
      <c r="J536" s="235"/>
      <c r="K536" s="235"/>
      <c r="L536" s="229"/>
      <c r="M536" s="37">
        <v>3</v>
      </c>
      <c r="N536" s="27"/>
      <c r="O536" s="28">
        <f>C536*M536</f>
        <v>0</v>
      </c>
      <c r="P536" s="43">
        <f t="shared" si="93"/>
        <v>0</v>
      </c>
      <c r="Q536" s="36"/>
      <c r="R536" s="27"/>
    </row>
    <row r="537" spans="1:18" x14ac:dyDescent="0.3">
      <c r="A537" s="3" t="str">
        <f>Autovalutazione!A551</f>
        <v>9.8.5.</v>
      </c>
      <c r="B537" s="6" t="str">
        <f>Autovalutazione!C551</f>
        <v>Le schede di sicurezza sono disponibili sul posto di lavoro?</v>
      </c>
      <c r="C537" s="38">
        <f>IF(ISBLANK(Autovalutazione!D551),0,1)</f>
        <v>0</v>
      </c>
      <c r="D537" s="293" t="str">
        <f>IF(AND(Autovalutazione!D551="",Autovalutazione!E551=""),"*","")</f>
        <v>*</v>
      </c>
      <c r="E537" s="39" t="str">
        <f>IF(ISBLANK(Autovalutazione!F551),"",Autovalutazione!F551)</f>
        <v/>
      </c>
      <c r="F537" s="235"/>
      <c r="G537" s="235"/>
      <c r="H537" s="235"/>
      <c r="I537" s="235"/>
      <c r="J537" s="235"/>
      <c r="K537" s="235"/>
      <c r="L537" s="229"/>
      <c r="M537" s="37">
        <v>3</v>
      </c>
      <c r="N537" s="27"/>
      <c r="O537" s="28">
        <f>C537*M537</f>
        <v>0</v>
      </c>
      <c r="P537" s="43">
        <f t="shared" si="93"/>
        <v>0</v>
      </c>
      <c r="Q537" s="36"/>
      <c r="R537" s="27"/>
    </row>
    <row r="538" spans="1:18" ht="26.4" x14ac:dyDescent="0.3">
      <c r="A538" s="3" t="str">
        <f>Autovalutazione!A552</f>
        <v>9.8.6.</v>
      </c>
      <c r="B538" s="6" t="str">
        <f>Autovalutazione!C552</f>
        <v>I dipendenti sono stati istruiti sul contenuto delle schede di sicurezza?</v>
      </c>
      <c r="C538" s="38">
        <f>IF(ISBLANK(Autovalutazione!D552),0,1)</f>
        <v>0</v>
      </c>
      <c r="D538" s="293" t="str">
        <f>IF(AND(Autovalutazione!D552="",Autovalutazione!E552=""),"*","")</f>
        <v>*</v>
      </c>
      <c r="E538" s="39" t="str">
        <f>IF(ISBLANK(Autovalutazione!F552),"",Autovalutazione!F552)</f>
        <v/>
      </c>
      <c r="F538" s="235"/>
      <c r="G538" s="235"/>
      <c r="H538" s="235"/>
      <c r="I538" s="235"/>
      <c r="J538" s="235"/>
      <c r="K538" s="235"/>
      <c r="L538" s="229"/>
      <c r="M538" s="37">
        <v>3</v>
      </c>
      <c r="N538" s="27"/>
      <c r="O538" s="28">
        <f>C538*M538</f>
        <v>0</v>
      </c>
      <c r="P538" s="43">
        <f t="shared" si="93"/>
        <v>0</v>
      </c>
      <c r="Q538" s="36"/>
      <c r="R538" s="27"/>
    </row>
    <row r="539" spans="1:18" ht="26.4" x14ac:dyDescent="0.3">
      <c r="A539" s="3" t="str">
        <f>Autovalutazione!A553</f>
        <v>9.8.7.</v>
      </c>
      <c r="B539" s="6" t="str">
        <f>Autovalutazione!C553</f>
        <v>Sono disponibili le necessarie infrastrutture per rispettare le norme indicate nelle schede di sicurezza?</v>
      </c>
      <c r="C539" s="38">
        <f>IF(ISBLANK(Autovalutazione!D553),0,1)</f>
        <v>0</v>
      </c>
      <c r="D539" s="293" t="str">
        <f>IF(AND(Autovalutazione!D553="",Autovalutazione!E553=""),"*","")</f>
        <v>*</v>
      </c>
      <c r="E539" s="39" t="str">
        <f>IF(ISBLANK(Autovalutazione!F553),"",Autovalutazione!F553)</f>
        <v/>
      </c>
      <c r="F539" s="237"/>
      <c r="G539" s="237"/>
      <c r="H539" s="237"/>
      <c r="I539" s="237"/>
      <c r="J539" s="237"/>
      <c r="K539" s="237"/>
      <c r="L539" s="229"/>
      <c r="M539" s="37">
        <v>3</v>
      </c>
      <c r="N539" s="27"/>
      <c r="O539" s="28">
        <f>C539*M539</f>
        <v>0</v>
      </c>
      <c r="P539" s="43">
        <f t="shared" si="93"/>
        <v>0</v>
      </c>
      <c r="Q539" s="36"/>
      <c r="R539" s="27"/>
    </row>
    <row r="540" spans="1:18" x14ac:dyDescent="0.3">
      <c r="A540" s="20" t="str">
        <f>Autovalutazione!A554</f>
        <v>9.9.</v>
      </c>
      <c r="B540" s="20" t="str">
        <f>Autovalutazione!B554</f>
        <v>Comportamenti rischiosi, dipendenze, malttie</v>
      </c>
      <c r="C540" s="21">
        <f>O540/N540</f>
        <v>0.33333333333333331</v>
      </c>
      <c r="D540" s="23" t="str">
        <f>IF(ISBLANK(Autovalutazione!E554),"",Autovalutazione!E554)</f>
        <v/>
      </c>
      <c r="E540" s="23" t="str">
        <f>IF(ISBLANK(Autovalutazione!F554),"",Autovalutazione!F554)</f>
        <v/>
      </c>
      <c r="F540" s="232"/>
      <c r="G540" s="232"/>
      <c r="H540" s="232"/>
      <c r="I540" s="232"/>
      <c r="J540" s="232"/>
      <c r="K540" s="232"/>
      <c r="L540" s="50">
        <f>P540/N540</f>
        <v>0.33333333333333331</v>
      </c>
      <c r="M540" s="22">
        <v>1</v>
      </c>
      <c r="N540" s="22">
        <f>SUM(M541:M547)</f>
        <v>12</v>
      </c>
      <c r="O540" s="24">
        <f>SUM(O541:O547)</f>
        <v>4</v>
      </c>
      <c r="P540" s="24">
        <f>SUM(P541:P547)</f>
        <v>4</v>
      </c>
      <c r="Q540" s="52">
        <f>O540/$N540*$M540</f>
        <v>0.33333333333333331</v>
      </c>
      <c r="R540" s="52">
        <f>P540/$N540*$M540</f>
        <v>0.33333333333333331</v>
      </c>
    </row>
    <row r="541" spans="1:18" ht="52.8" x14ac:dyDescent="0.3">
      <c r="A541" s="3" t="str">
        <f>Autovalutazione!A555</f>
        <v>9.9.1.</v>
      </c>
      <c r="B541" s="6" t="str">
        <f>Autovalutazione!C555</f>
        <v>Ci sono fattori che possono favorire un comportamento rischioso? (Richiesto un elevato rendimento, a qualsiasi prezzo; chi fa il rambo è ben visto, chi rispetta le regole viene deriso).</v>
      </c>
      <c r="C541" s="38">
        <f>IF(ISBLANK(Autovalutazione!D555),0,1)</f>
        <v>0</v>
      </c>
      <c r="D541" s="293" t="str">
        <f>IF(AND(Autovalutazione!D555="",Autovalutazione!E555=""),"*","")</f>
        <v>*</v>
      </c>
      <c r="E541" s="39" t="str">
        <f>IF(ISBLANK(Autovalutazione!F555),"",Autovalutazione!F555)</f>
        <v/>
      </c>
      <c r="F541" s="235"/>
      <c r="G541" s="235"/>
      <c r="H541" s="235"/>
      <c r="I541" s="235"/>
      <c r="J541" s="235"/>
      <c r="K541" s="235"/>
      <c r="L541" s="229"/>
      <c r="M541" s="37">
        <v>1</v>
      </c>
      <c r="N541" s="27"/>
      <c r="O541" s="47">
        <f>(1-C541)*M541</f>
        <v>1</v>
      </c>
      <c r="P541" s="49">
        <f>(1-L541)*M541</f>
        <v>1</v>
      </c>
      <c r="Q541" s="36"/>
      <c r="R541" s="27"/>
    </row>
    <row r="542" spans="1:18" ht="26.4" x14ac:dyDescent="0.3">
      <c r="A542" s="3" t="str">
        <f>Autovalutazione!A556</f>
        <v>9.9.2.</v>
      </c>
      <c r="B542" s="6" t="str">
        <f>Autovalutazione!C556</f>
        <v>In azienda esiste un regolamento sul consumo di sostanze che creano dipendenza (alcol, droga, fumo)?</v>
      </c>
      <c r="C542" s="38">
        <f>IF(ISBLANK(Autovalutazione!D556),0,1)</f>
        <v>0</v>
      </c>
      <c r="D542" s="293" t="str">
        <f>IF(AND(Autovalutazione!D556="",Autovalutazione!E556=""),"*","")</f>
        <v>*</v>
      </c>
      <c r="E542" s="39" t="str">
        <f>IF(ISBLANK(Autovalutazione!F556),"",Autovalutazione!F556)</f>
        <v/>
      </c>
      <c r="F542" s="235"/>
      <c r="G542" s="235"/>
      <c r="H542" s="235"/>
      <c r="I542" s="235"/>
      <c r="J542" s="235"/>
      <c r="K542" s="235"/>
      <c r="L542" s="229"/>
      <c r="M542" s="37">
        <v>3</v>
      </c>
      <c r="N542" s="27"/>
      <c r="O542" s="28">
        <f>C542*M542</f>
        <v>0</v>
      </c>
      <c r="P542" s="43">
        <f>L542*M542</f>
        <v>0</v>
      </c>
      <c r="Q542" s="36"/>
      <c r="R542" s="27"/>
    </row>
    <row r="543" spans="1:18" x14ac:dyDescent="0.3">
      <c r="A543" s="3" t="str">
        <f>Autovalutazione!A557</f>
        <v>9.9.3.</v>
      </c>
      <c r="B543" s="6" t="str">
        <f>Autovalutazione!C557</f>
        <v>La mensa aziendale vende alcolici?</v>
      </c>
      <c r="C543" s="38">
        <f>IF(ISBLANK(Autovalutazione!D557),0,1)</f>
        <v>0</v>
      </c>
      <c r="D543" s="293" t="str">
        <f>IF(AND(Autovalutazione!D557="",Autovalutazione!E557=""),"*","")</f>
        <v>*</v>
      </c>
      <c r="E543" s="39" t="str">
        <f>IF(ISBLANK(Autovalutazione!F557),"",Autovalutazione!F557)</f>
        <v/>
      </c>
      <c r="F543" s="235"/>
      <c r="G543" s="235"/>
      <c r="H543" s="235"/>
      <c r="I543" s="235"/>
      <c r="J543" s="235"/>
      <c r="K543" s="235"/>
      <c r="L543" s="229"/>
      <c r="M543" s="37">
        <v>3</v>
      </c>
      <c r="N543" s="27"/>
      <c r="O543" s="47">
        <f>(1-C543)*M543</f>
        <v>3</v>
      </c>
      <c r="P543" s="49">
        <f>(1-L543)*M543</f>
        <v>3</v>
      </c>
      <c r="Q543" s="36"/>
      <c r="R543" s="27"/>
    </row>
    <row r="544" spans="1:18" ht="26.4" x14ac:dyDescent="0.3">
      <c r="A544" s="3" t="str">
        <f>Autovalutazione!A558</f>
        <v>9.9.4.</v>
      </c>
      <c r="B544" s="6" t="str">
        <f>Autovalutazione!C558</f>
        <v>L'azienda ha un programma di prevenzione sulle dipendenze?</v>
      </c>
      <c r="C544" s="38">
        <f>IF(ISBLANK(Autovalutazione!D558),0,1)</f>
        <v>0</v>
      </c>
      <c r="D544" s="293" t="str">
        <f>IF(AND(Autovalutazione!D558="",Autovalutazione!E558=""),"*","")</f>
        <v>*</v>
      </c>
      <c r="E544" s="39" t="str">
        <f>IF(ISBLANK(Autovalutazione!F558),"",Autovalutazione!F558)</f>
        <v/>
      </c>
      <c r="F544" s="237"/>
      <c r="G544" s="237"/>
      <c r="H544" s="237"/>
      <c r="I544" s="237"/>
      <c r="J544" s="237"/>
      <c r="K544" s="237"/>
      <c r="L544" s="229"/>
      <c r="M544" s="37">
        <v>1</v>
      </c>
      <c r="N544" s="27"/>
      <c r="O544" s="28">
        <f>C544*M544</f>
        <v>0</v>
      </c>
      <c r="P544" s="43">
        <f>L544*M544</f>
        <v>0</v>
      </c>
      <c r="Q544" s="36"/>
      <c r="R544" s="36"/>
    </row>
    <row r="545" spans="1:18" ht="26.4" x14ac:dyDescent="0.3">
      <c r="A545" s="3" t="str">
        <f>Autovalutazione!A559</f>
        <v>9.9.5.</v>
      </c>
      <c r="B545" s="6" t="str">
        <f>Autovalutazione!C559</f>
        <v>Ci sono casi concreti di dipendenze riconosciute? Se sì, quanti?</v>
      </c>
      <c r="C545" s="38">
        <f>IF(ISBLANK(Autovalutazione!D559),0,1)</f>
        <v>0</v>
      </c>
      <c r="D545" s="293" t="str">
        <f>IF(AND(Autovalutazione!D559="",Autovalutazione!E559=""),"*","")</f>
        <v>*</v>
      </c>
      <c r="E545" s="39" t="str">
        <f>IF(ISBLANK(Autovalutazione!F559),"",Autovalutazione!F559)</f>
        <v/>
      </c>
      <c r="F545" s="235"/>
      <c r="G545" s="235"/>
      <c r="H545" s="235"/>
      <c r="I545" s="235"/>
      <c r="J545" s="235"/>
      <c r="K545" s="235"/>
      <c r="L545" s="229"/>
      <c r="M545" s="37">
        <v>0</v>
      </c>
      <c r="N545" s="27"/>
      <c r="O545" s="47">
        <f>(1-C545)*M545</f>
        <v>0</v>
      </c>
      <c r="P545" s="49">
        <f>(1-L545)*M545</f>
        <v>0</v>
      </c>
      <c r="Q545" s="36"/>
      <c r="R545" s="27"/>
    </row>
    <row r="546" spans="1:18" ht="26.4" x14ac:dyDescent="0.3">
      <c r="A546" s="3" t="str">
        <f>Autovalutazione!A560</f>
        <v>9.9.6.</v>
      </c>
      <c r="B546" s="6" t="str">
        <f>Autovalutazione!C560</f>
        <v>Questi casi vengono affrontati concretamente e con sistematicità? Se sì, chi se ne occupa?</v>
      </c>
      <c r="C546" s="38">
        <f>IF(ISBLANK(Autovalutazione!D560),0,1)</f>
        <v>0</v>
      </c>
      <c r="D546" s="293" t="str">
        <f>IF(AND(Autovalutazione!D560="",Autovalutazione!E560=""),"*","")</f>
        <v>*</v>
      </c>
      <c r="E546" s="39" t="str">
        <f>IF(ISBLANK(Autovalutazione!F560),"",Autovalutazione!F560)</f>
        <v/>
      </c>
      <c r="F546" s="235"/>
      <c r="G546" s="235"/>
      <c r="H546" s="235"/>
      <c r="I546" s="235"/>
      <c r="J546" s="235"/>
      <c r="K546" s="235"/>
      <c r="L546" s="229"/>
      <c r="M546" s="37">
        <v>1</v>
      </c>
      <c r="N546" s="27"/>
      <c r="O546" s="28">
        <f>C546*M546</f>
        <v>0</v>
      </c>
      <c r="P546" s="43">
        <f t="shared" ref="P546:P547" si="94">L546*M546</f>
        <v>0</v>
      </c>
      <c r="Q546" s="36"/>
      <c r="R546" s="27"/>
    </row>
    <row r="547" spans="1:18" ht="26.4" x14ac:dyDescent="0.3">
      <c r="A547" s="3" t="str">
        <f>Autovalutazione!A561</f>
        <v>9.9.7.</v>
      </c>
      <c r="B547" s="6" t="str">
        <f>Autovalutazione!C561</f>
        <v>Tutti i superiori sanno come comportarsi con chi ha un problema di dipendenza (alcol, ecc.)?</v>
      </c>
      <c r="C547" s="38">
        <f>IF(ISBLANK(Autovalutazione!D561),0,1)</f>
        <v>0</v>
      </c>
      <c r="D547" s="293" t="str">
        <f>IF(AND(Autovalutazione!D561="",Autovalutazione!E561=""),"*","")</f>
        <v>*</v>
      </c>
      <c r="E547" s="39" t="str">
        <f>IF(ISBLANK(Autovalutazione!F561),"",Autovalutazione!F561)</f>
        <v/>
      </c>
      <c r="F547" s="235"/>
      <c r="G547" s="235"/>
      <c r="H547" s="235"/>
      <c r="I547" s="235"/>
      <c r="J547" s="235"/>
      <c r="K547" s="235"/>
      <c r="L547" s="229"/>
      <c r="M547" s="37">
        <v>3</v>
      </c>
      <c r="N547" s="27"/>
      <c r="O547" s="28">
        <f>C547*M547</f>
        <v>0</v>
      </c>
      <c r="P547" s="43">
        <f t="shared" si="94"/>
        <v>0</v>
      </c>
      <c r="Q547" s="36"/>
      <c r="R547" s="27"/>
    </row>
    <row r="548" spans="1:18" ht="52.8" x14ac:dyDescent="0.3">
      <c r="A548" s="3" t="str">
        <f>Autovalutazione!A562</f>
        <v>9.9.8.</v>
      </c>
      <c r="B548" s="6" t="str">
        <f>Autovalutazione!C562</f>
        <v>Vengono adottate misure di protezione contro le malattie trasmissibili (ad es. piano pandemico dell'UFSP «Manuale per la preparazione aziendale», prescrizioni cantonali o specifiche per il settore)?</v>
      </c>
      <c r="C548" s="38">
        <f>IF(ISBLANK(Autovalutazione!D562),0,1)</f>
        <v>0</v>
      </c>
      <c r="D548" s="293" t="str">
        <f>IF(AND(Autovalutazione!D562="",Autovalutazione!E562=""),"*","")</f>
        <v>*</v>
      </c>
      <c r="E548" s="39" t="str">
        <f>IF(ISBLANK(Autovalutazione!F562),"",Autovalutazione!F562)</f>
        <v/>
      </c>
      <c r="F548" s="235"/>
      <c r="G548" s="235"/>
      <c r="H548" s="235"/>
      <c r="I548" s="235"/>
      <c r="J548" s="235"/>
      <c r="K548" s="235"/>
      <c r="L548" s="229"/>
      <c r="M548" s="37">
        <v>2</v>
      </c>
      <c r="N548" s="27"/>
      <c r="O548" s="28">
        <f>C548*M548</f>
        <v>0</v>
      </c>
      <c r="P548" s="43">
        <f t="shared" ref="P548:P549" si="95">L548*M548</f>
        <v>0</v>
      </c>
      <c r="Q548" s="36"/>
      <c r="R548" s="27"/>
    </row>
    <row r="549" spans="1:18" ht="39.6" x14ac:dyDescent="0.3">
      <c r="A549" s="3" t="str">
        <f>Autovalutazione!A563</f>
        <v>9.9.9.</v>
      </c>
      <c r="B549" s="6" t="str">
        <f>Autovalutazione!C563</f>
        <v>Si adottano misure adeguate a tutela di determinate categorie di persone (ad es. giovani, donne incinte, persone con disabilità)?</v>
      </c>
      <c r="C549" s="38">
        <f>IF(ISBLANK(Autovalutazione!D563),0,1)</f>
        <v>0</v>
      </c>
      <c r="D549" s="293" t="str">
        <f>IF(AND(Autovalutazione!D563="",Autovalutazione!E563=""),"*","")</f>
        <v>*</v>
      </c>
      <c r="E549" s="39" t="str">
        <f>IF(ISBLANK(Autovalutazione!F563),"",Autovalutazione!F563)</f>
        <v/>
      </c>
      <c r="F549" s="235"/>
      <c r="G549" s="235"/>
      <c r="H549" s="235"/>
      <c r="I549" s="235"/>
      <c r="J549" s="235"/>
      <c r="K549" s="235"/>
      <c r="L549" s="229"/>
      <c r="M549" s="37">
        <v>1</v>
      </c>
      <c r="N549" s="27"/>
      <c r="O549" s="28">
        <f>C549*M549</f>
        <v>0</v>
      </c>
      <c r="P549" s="43">
        <f t="shared" si="95"/>
        <v>0</v>
      </c>
      <c r="Q549" s="36"/>
      <c r="R549" s="27"/>
    </row>
    <row r="550" spans="1:18" x14ac:dyDescent="0.3">
      <c r="A550" s="20" t="str">
        <f>Autovalutazione!A564</f>
        <v>9.10.</v>
      </c>
      <c r="B550" s="20" t="str">
        <f>Autovalutazione!B564</f>
        <v>Organizzazione del posto di lavoro e delle attrezzature</v>
      </c>
      <c r="C550" s="21">
        <f>O550/N550</f>
        <v>0</v>
      </c>
      <c r="D550" s="23" t="str">
        <f>IF(ISBLANK(Autovalutazione!E564),"",Autovalutazione!E564)</f>
        <v/>
      </c>
      <c r="E550" s="23" t="str">
        <f>IF(ISBLANK(Autovalutazione!F564),"",Autovalutazione!F564)</f>
        <v/>
      </c>
      <c r="F550" s="232"/>
      <c r="G550" s="232"/>
      <c r="H550" s="232"/>
      <c r="I550" s="232"/>
      <c r="J550" s="232"/>
      <c r="K550" s="232"/>
      <c r="L550" s="50">
        <f>P550/N550</f>
        <v>0</v>
      </c>
      <c r="M550" s="22">
        <v>3</v>
      </c>
      <c r="N550" s="22">
        <f>SUM(M551:M555)</f>
        <v>12</v>
      </c>
      <c r="O550" s="24">
        <f>SUM(O551:O555)</f>
        <v>0</v>
      </c>
      <c r="P550" s="24">
        <f>SUM(P551:P555)</f>
        <v>0</v>
      </c>
      <c r="Q550" s="52">
        <f>O550/$N550*$M550</f>
        <v>0</v>
      </c>
      <c r="R550" s="52">
        <f>P550/$N550*$M550</f>
        <v>0</v>
      </c>
    </row>
    <row r="551" spans="1:18" ht="39.6" x14ac:dyDescent="0.3">
      <c r="A551" s="3" t="str">
        <f>Autovalutazione!A565</f>
        <v>9.10.1.</v>
      </c>
      <c r="B551" s="6" t="str">
        <f>Autovalutazione!C565</f>
        <v>Nel pianificare le nuove attrezzature di lavoro, i nuovi posti di lavoro e le nuove modalità di lavoro si rispettano i principi ergonomici?</v>
      </c>
      <c r="C551" s="38">
        <f>IF(ISBLANK(Autovalutazione!D565),0,1)</f>
        <v>0</v>
      </c>
      <c r="D551" s="293" t="str">
        <f>IF(AND(Autovalutazione!D565="",Autovalutazione!E565=""),"*","")</f>
        <v>*</v>
      </c>
      <c r="E551" s="39" t="str">
        <f>IF(ISBLANK(Autovalutazione!F565),"",Autovalutazione!F565)</f>
        <v/>
      </c>
      <c r="F551" s="235"/>
      <c r="G551" s="235"/>
      <c r="H551" s="235"/>
      <c r="I551" s="235"/>
      <c r="J551" s="235"/>
      <c r="K551" s="235"/>
      <c r="L551" s="229"/>
      <c r="M551" s="37">
        <v>3</v>
      </c>
      <c r="N551" s="27"/>
      <c r="O551" s="28">
        <f>C551*M551</f>
        <v>0</v>
      </c>
      <c r="P551" s="43">
        <f t="shared" ref="P551:P555" si="96">L551*M551</f>
        <v>0</v>
      </c>
      <c r="Q551" s="36"/>
      <c r="R551" s="27"/>
    </row>
    <row r="552" spans="1:18" ht="26.4" x14ac:dyDescent="0.3">
      <c r="A552" s="3" t="str">
        <f>Autovalutazione!A566</f>
        <v>9.10.2.</v>
      </c>
      <c r="B552" s="6" t="str">
        <f>Autovalutazione!C566</f>
        <v>I posti di lavoro vengono sottoposti a verifica in base ai principi ergonomici?</v>
      </c>
      <c r="C552" s="38">
        <f>IF(ISBLANK(Autovalutazione!D566),0,1)</f>
        <v>0</v>
      </c>
      <c r="D552" s="293" t="str">
        <f>IF(AND(Autovalutazione!D566="",Autovalutazione!E566=""),"*","")</f>
        <v>*</v>
      </c>
      <c r="E552" s="39" t="str">
        <f>IF(ISBLANK(Autovalutazione!F566),"",Autovalutazione!F566)</f>
        <v/>
      </c>
      <c r="F552" s="237"/>
      <c r="G552" s="237"/>
      <c r="H552" s="237"/>
      <c r="I552" s="237"/>
      <c r="J552" s="237"/>
      <c r="K552" s="237"/>
      <c r="L552" s="229"/>
      <c r="M552" s="37">
        <v>3</v>
      </c>
      <c r="N552" s="27"/>
      <c r="O552" s="28">
        <f>C552*M552</f>
        <v>0</v>
      </c>
      <c r="P552" s="43">
        <f t="shared" si="96"/>
        <v>0</v>
      </c>
      <c r="Q552" s="36"/>
      <c r="R552" s="27"/>
    </row>
    <row r="553" spans="1:18" ht="26.4" x14ac:dyDescent="0.3">
      <c r="A553" s="3" t="str">
        <f>Autovalutazione!A567</f>
        <v>9.10.3.</v>
      </c>
      <c r="B553" s="6" t="str">
        <f>Autovalutazione!C567</f>
        <v>I pianificatori del lavoro e i progettisti delle attrezzature di lavoro hanno conoscenze di ergonomia?</v>
      </c>
      <c r="C553" s="38">
        <f>IF(ISBLANK(Autovalutazione!D567),0,1)</f>
        <v>0</v>
      </c>
      <c r="D553" s="293" t="str">
        <f>IF(AND(Autovalutazione!D567="",Autovalutazione!E567=""),"*","")</f>
        <v>*</v>
      </c>
      <c r="E553" s="39" t="str">
        <f>IF(ISBLANK(Autovalutazione!F567),"",Autovalutazione!F567)</f>
        <v/>
      </c>
      <c r="F553" s="237"/>
      <c r="G553" s="237"/>
      <c r="H553" s="237"/>
      <c r="I553" s="237"/>
      <c r="J553" s="237"/>
      <c r="K553" s="237"/>
      <c r="L553" s="229"/>
      <c r="M553" s="37">
        <v>1</v>
      </c>
      <c r="N553" s="27"/>
      <c r="O553" s="28">
        <f>C553*M553</f>
        <v>0</v>
      </c>
      <c r="P553" s="43">
        <f t="shared" si="96"/>
        <v>0</v>
      </c>
      <c r="Q553" s="36"/>
      <c r="R553" s="36"/>
    </row>
    <row r="554" spans="1:18" ht="26.4" x14ac:dyDescent="0.3">
      <c r="A554" s="3" t="str">
        <f>Autovalutazione!A568</f>
        <v>9.10.4.</v>
      </c>
      <c r="B554" s="6" t="str">
        <f>Autovalutazione!C568</f>
        <v>In materia di ergonomia ci si rivolge anche a servizi interni o esterni? Se sì, quali?</v>
      </c>
      <c r="C554" s="38">
        <f>IF(ISBLANK(Autovalutazione!D568),0,1)</f>
        <v>0</v>
      </c>
      <c r="D554" s="293" t="str">
        <f>IF(AND(Autovalutazione!D568="",Autovalutazione!E568=""),"*","")</f>
        <v>*</v>
      </c>
      <c r="E554" s="39" t="str">
        <f>IF(ISBLANK(Autovalutazione!F568),"",Autovalutazione!F568)</f>
        <v/>
      </c>
      <c r="F554" s="235"/>
      <c r="G554" s="235"/>
      <c r="H554" s="235"/>
      <c r="I554" s="235"/>
      <c r="J554" s="235"/>
      <c r="K554" s="235"/>
      <c r="L554" s="229"/>
      <c r="M554" s="37">
        <v>3</v>
      </c>
      <c r="N554" s="27"/>
      <c r="O554" s="28">
        <f>C554*M554</f>
        <v>0</v>
      </c>
      <c r="P554" s="43">
        <f t="shared" si="96"/>
        <v>0</v>
      </c>
      <c r="Q554" s="36"/>
      <c r="R554" s="27"/>
    </row>
    <row r="555" spans="1:18" ht="26.4" x14ac:dyDescent="0.3">
      <c r="A555" s="3" t="str">
        <f>Autovalutazione!A569</f>
        <v>9.10.5.</v>
      </c>
      <c r="B555" s="6" t="str">
        <f>Autovalutazione!C569</f>
        <v>I principi ergonomici e i relativi requisiti sono parte integrante dei contratti di acquisto e degli ordini?</v>
      </c>
      <c r="C555" s="38">
        <f>IF(ISBLANK(Autovalutazione!D569),0,1)</f>
        <v>0</v>
      </c>
      <c r="D555" s="293" t="str">
        <f>IF(AND(Autovalutazione!D569="",Autovalutazione!E569=""),"*","")</f>
        <v>*</v>
      </c>
      <c r="E555" s="39" t="str">
        <f>IF(ISBLANK(Autovalutazione!F569),"",Autovalutazione!F569)</f>
        <v/>
      </c>
      <c r="F555" s="235"/>
      <c r="G555" s="235"/>
      <c r="H555" s="235"/>
      <c r="I555" s="235"/>
      <c r="J555" s="235"/>
      <c r="K555" s="235"/>
      <c r="L555" s="229"/>
      <c r="M555" s="37">
        <v>2</v>
      </c>
      <c r="N555" s="27"/>
      <c r="O555" s="28">
        <f>C555*M555</f>
        <v>0</v>
      </c>
      <c r="P555" s="43">
        <f t="shared" si="96"/>
        <v>0</v>
      </c>
      <c r="Q555" s="36"/>
      <c r="R555" s="27"/>
    </row>
    <row r="556" spans="1:18" x14ac:dyDescent="0.3">
      <c r="A556" s="34" t="str">
        <f>Autovalutazione!A571</f>
        <v>10.</v>
      </c>
      <c r="B556" s="7" t="str">
        <f>Autovalutazione!B571</f>
        <v>Controllo</v>
      </c>
      <c r="C556" s="30">
        <f>O556/N556</f>
        <v>0</v>
      </c>
      <c r="D556" s="18"/>
      <c r="E556" s="18"/>
      <c r="F556" s="18"/>
      <c r="G556" s="18"/>
      <c r="H556" s="18"/>
      <c r="I556" s="18"/>
      <c r="J556" s="18"/>
      <c r="K556" s="18"/>
      <c r="L556" s="231">
        <f>P556/N556</f>
        <v>0</v>
      </c>
      <c r="M556" s="5"/>
      <c r="N556" s="5">
        <f>SUM(M557,M571,M582,)</f>
        <v>6</v>
      </c>
      <c r="O556" s="48">
        <f>SUM(Q557:Q586)</f>
        <v>0</v>
      </c>
      <c r="P556" s="48">
        <f>SUM(R557:R586)</f>
        <v>0</v>
      </c>
      <c r="Q556" s="35"/>
      <c r="R556" s="35"/>
    </row>
    <row r="557" spans="1:18" x14ac:dyDescent="0.3">
      <c r="A557" s="20" t="str">
        <f>Autovalutazione!A573</f>
        <v>10.1.</v>
      </c>
      <c r="B557" s="20" t="str">
        <f>Autovalutazione!B573</f>
        <v>Audit di sicurezza</v>
      </c>
      <c r="C557" s="21">
        <f>O557/N557</f>
        <v>0</v>
      </c>
      <c r="D557" s="23"/>
      <c r="E557" s="23"/>
      <c r="F557" s="232"/>
      <c r="G557" s="232"/>
      <c r="H557" s="232"/>
      <c r="I557" s="232"/>
      <c r="J557" s="232"/>
      <c r="K557" s="232"/>
      <c r="L557" s="50">
        <f>P557/N557</f>
        <v>0</v>
      </c>
      <c r="M557" s="22">
        <v>3</v>
      </c>
      <c r="N557" s="22">
        <f>SUM(M558:M570)</f>
        <v>18</v>
      </c>
      <c r="O557" s="24">
        <f>SUM(O558:O570)</f>
        <v>0</v>
      </c>
      <c r="P557" s="24">
        <f>SUM(P558:P570)</f>
        <v>0</v>
      </c>
      <c r="Q557" s="52">
        <f>O557/$N557*$M557</f>
        <v>0</v>
      </c>
      <c r="R557" s="52">
        <f>P557/$N557*$M557</f>
        <v>0</v>
      </c>
    </row>
    <row r="558" spans="1:18" ht="26.4" x14ac:dyDescent="0.3">
      <c r="A558" s="3" t="str">
        <f>Autovalutazione!A574</f>
        <v>10.1.1.</v>
      </c>
      <c r="B558" s="6" t="str">
        <f>Autovalutazione!C574</f>
        <v>Nella vostra azienda esiste un piano di controllo e sorveglianza in materia di sicurezza e salute?</v>
      </c>
      <c r="C558" s="38">
        <f>IF(ISBLANK(Autovalutazione!D574),0,1)</f>
        <v>0</v>
      </c>
      <c r="D558" s="293" t="str">
        <f>IF(AND(Autovalutazione!D574="",Autovalutazione!E574=""),"*","")</f>
        <v>*</v>
      </c>
      <c r="E558" s="39" t="str">
        <f>IF(ISBLANK(Autovalutazione!F574),"",Autovalutazione!F574)</f>
        <v/>
      </c>
      <c r="F558" s="237"/>
      <c r="G558" s="237"/>
      <c r="H558" s="237"/>
      <c r="I558" s="237"/>
      <c r="J558" s="237"/>
      <c r="K558" s="237"/>
      <c r="L558" s="229"/>
      <c r="M558" s="37">
        <v>2</v>
      </c>
      <c r="N558" s="27">
        <v>13</v>
      </c>
      <c r="O558" s="28">
        <f t="shared" ref="O558:O570" si="97">C558*M558</f>
        <v>0</v>
      </c>
      <c r="P558" s="43">
        <f t="shared" ref="P558:P570" si="98">L558*M558</f>
        <v>0</v>
      </c>
      <c r="Q558" s="36"/>
      <c r="R558" s="36"/>
    </row>
    <row r="559" spans="1:18" ht="26.4" x14ac:dyDescent="0.3">
      <c r="A559" s="3" t="str">
        <f>Autovalutazione!A575</f>
        <v>10.1.2.</v>
      </c>
      <c r="B559" s="6" t="str">
        <f>Autovalutazione!C575</f>
        <v>Nella vostra azienda si svolgono regolarmente degli audit di sicurezza? Se sì, chi se ne occupa?</v>
      </c>
      <c r="C559" s="38">
        <f>IF(ISBLANK(Autovalutazione!D575),0,1)</f>
        <v>0</v>
      </c>
      <c r="D559" s="293" t="str">
        <f>IF(AND(Autovalutazione!D575="",Autovalutazione!E575=""),"*","")</f>
        <v>*</v>
      </c>
      <c r="E559" s="39" t="str">
        <f>IF(ISBLANK(Autovalutazione!F575),"",Autovalutazione!F575)</f>
        <v/>
      </c>
      <c r="F559" s="237"/>
      <c r="G559" s="237"/>
      <c r="H559" s="237"/>
      <c r="I559" s="237"/>
      <c r="J559" s="237"/>
      <c r="K559" s="237"/>
      <c r="L559" s="229"/>
      <c r="M559" s="37">
        <v>3</v>
      </c>
      <c r="N559" s="27"/>
      <c r="O559" s="28">
        <f t="shared" si="97"/>
        <v>0</v>
      </c>
      <c r="P559" s="43">
        <f t="shared" si="98"/>
        <v>0</v>
      </c>
      <c r="Q559" s="36"/>
      <c r="R559" s="27"/>
    </row>
    <row r="560" spans="1:18" ht="26.4" x14ac:dyDescent="0.3">
      <c r="A560" s="3" t="str">
        <f>Autovalutazione!A576</f>
        <v>10.1.3.a</v>
      </c>
      <c r="B560" s="6" t="str">
        <f>Autovalutazione!C576</f>
        <v>Con quale frequenza si svolgono gli audit di sicurezza:
ogni settimana?</v>
      </c>
      <c r="C560" s="38">
        <f>IF(ISBLANK(Autovalutazione!D576),0,1)</f>
        <v>0</v>
      </c>
      <c r="D560" s="293" t="str">
        <f>IF(AND(Autovalutazione!D576="",Autovalutazione!E576=""),"*","")</f>
        <v>*</v>
      </c>
      <c r="E560" s="39" t="str">
        <f>IF(ISBLANK(Autovalutazione!F576),"",Autovalutazione!F576)</f>
        <v/>
      </c>
      <c r="F560" s="235"/>
      <c r="G560" s="235"/>
      <c r="H560" s="235"/>
      <c r="I560" s="235"/>
      <c r="J560" s="235"/>
      <c r="K560" s="235"/>
      <c r="L560" s="229"/>
      <c r="M560" s="37">
        <v>0</v>
      </c>
      <c r="N560" s="27"/>
      <c r="O560" s="28">
        <f t="shared" si="97"/>
        <v>0</v>
      </c>
      <c r="P560" s="43">
        <f t="shared" si="98"/>
        <v>0</v>
      </c>
      <c r="Q560" s="36"/>
      <c r="R560" s="27"/>
    </row>
    <row r="561" spans="1:18" x14ac:dyDescent="0.3">
      <c r="A561" s="3" t="str">
        <f>Autovalutazione!A577</f>
        <v>10.1.3.b</v>
      </c>
      <c r="B561" s="6" t="str">
        <f>Autovalutazione!C577</f>
        <v>ogni mese?</v>
      </c>
      <c r="C561" s="38">
        <f>IF(ISBLANK(Autovalutazione!D577),0,1)</f>
        <v>0</v>
      </c>
      <c r="D561" s="293" t="str">
        <f>IF(AND(Autovalutazione!D577="",Autovalutazione!E577=""),"*","")</f>
        <v>*</v>
      </c>
      <c r="E561" s="39" t="str">
        <f>IF(ISBLANK(Autovalutazione!F577),"",Autovalutazione!F577)</f>
        <v/>
      </c>
      <c r="F561" s="235"/>
      <c r="G561" s="235"/>
      <c r="H561" s="235"/>
      <c r="I561" s="235"/>
      <c r="J561" s="235"/>
      <c r="K561" s="235"/>
      <c r="L561" s="229"/>
      <c r="M561" s="37">
        <v>0</v>
      </c>
      <c r="N561" s="27"/>
      <c r="O561" s="28">
        <f t="shared" si="97"/>
        <v>0</v>
      </c>
      <c r="P561" s="43">
        <f t="shared" si="98"/>
        <v>0</v>
      </c>
      <c r="Q561" s="36"/>
      <c r="R561" s="27"/>
    </row>
    <row r="562" spans="1:18" x14ac:dyDescent="0.3">
      <c r="A562" s="3" t="str">
        <f>Autovalutazione!A578</f>
        <v>10.1.3.c</v>
      </c>
      <c r="B562" s="6" t="str">
        <f>Autovalutazione!C578</f>
        <v>ogni sei mesi?</v>
      </c>
      <c r="C562" s="38">
        <f>IF(ISBLANK(Autovalutazione!D578),0,1)</f>
        <v>0</v>
      </c>
      <c r="D562" s="293" t="str">
        <f>IF(AND(Autovalutazione!D578="",Autovalutazione!E578=""),"*","")</f>
        <v>*</v>
      </c>
      <c r="E562" s="39" t="str">
        <f>IF(ISBLANK(Autovalutazione!F578),"",Autovalutazione!F578)</f>
        <v/>
      </c>
      <c r="F562" s="235"/>
      <c r="G562" s="235"/>
      <c r="H562" s="235"/>
      <c r="I562" s="235"/>
      <c r="J562" s="235"/>
      <c r="K562" s="235"/>
      <c r="L562" s="229"/>
      <c r="M562" s="37">
        <v>0</v>
      </c>
      <c r="N562" s="27"/>
      <c r="O562" s="28">
        <f t="shared" si="97"/>
        <v>0</v>
      </c>
      <c r="P562" s="43">
        <f t="shared" si="98"/>
        <v>0</v>
      </c>
      <c r="Q562" s="36"/>
      <c r="R562" s="27"/>
    </row>
    <row r="563" spans="1:18" x14ac:dyDescent="0.3">
      <c r="A563" s="3" t="str">
        <f>Autovalutazione!A579</f>
        <v>10.1.3.d</v>
      </c>
      <c r="B563" s="6" t="str">
        <f>Autovalutazione!C579</f>
        <v>ogni anno?</v>
      </c>
      <c r="C563" s="38">
        <f>IF(ISBLANK(Autovalutazione!D579),0,1)</f>
        <v>0</v>
      </c>
      <c r="D563" s="293" t="str">
        <f>IF(AND(Autovalutazione!D579="",Autovalutazione!E579=""),"*","")</f>
        <v>*</v>
      </c>
      <c r="E563" s="39" t="str">
        <f>IF(ISBLANK(Autovalutazione!F579),"",Autovalutazione!F579)</f>
        <v/>
      </c>
      <c r="F563" s="235"/>
      <c r="G563" s="235"/>
      <c r="H563" s="235"/>
      <c r="I563" s="235"/>
      <c r="J563" s="235"/>
      <c r="K563" s="235"/>
      <c r="L563" s="229"/>
      <c r="M563" s="37">
        <v>0</v>
      </c>
      <c r="N563" s="27"/>
      <c r="O563" s="28">
        <f t="shared" si="97"/>
        <v>0</v>
      </c>
      <c r="P563" s="43">
        <f t="shared" si="98"/>
        <v>0</v>
      </c>
      <c r="Q563" s="36"/>
      <c r="R563" s="27"/>
    </row>
    <row r="564" spans="1:18" x14ac:dyDescent="0.3">
      <c r="A564" s="3" t="str">
        <f>Autovalutazione!A580</f>
        <v>10.1.3.e</v>
      </c>
      <c r="B564" s="6" t="str">
        <f>Autovalutazione!C580</f>
        <v>In altri intervalli? Se sì, quali intervalli?</v>
      </c>
      <c r="C564" s="38">
        <f>IF(ISBLANK(Autovalutazione!D580),0,1)</f>
        <v>0</v>
      </c>
      <c r="D564" s="293" t="str">
        <f>IF(AND(Autovalutazione!D580="",Autovalutazione!E580=""),"*","")</f>
        <v>*</v>
      </c>
      <c r="E564" s="39" t="str">
        <f>IF(ISBLANK(Autovalutazione!F580),"",Autovalutazione!F580)</f>
        <v/>
      </c>
      <c r="F564" s="235"/>
      <c r="G564" s="235"/>
      <c r="H564" s="235"/>
      <c r="I564" s="235"/>
      <c r="J564" s="235"/>
      <c r="K564" s="235"/>
      <c r="L564" s="229"/>
      <c r="M564" s="37">
        <v>0</v>
      </c>
      <c r="N564" s="27"/>
      <c r="O564" s="28">
        <f t="shared" si="97"/>
        <v>0</v>
      </c>
      <c r="P564" s="43">
        <f t="shared" si="98"/>
        <v>0</v>
      </c>
      <c r="Q564" s="36"/>
      <c r="R564" s="27"/>
    </row>
    <row r="565" spans="1:18" ht="26.4" x14ac:dyDescent="0.3">
      <c r="A565" s="3" t="str">
        <f>Autovalutazione!A581</f>
        <v>10.1.4.</v>
      </c>
      <c r="B565" s="6" t="str">
        <f>Autovalutazione!C581</f>
        <v>Prima dello svolgimento si preparano i contenuti e la tabella di marcia?</v>
      </c>
      <c r="C565" s="38">
        <f>IF(ISBLANK(Autovalutazione!D581),0,1)</f>
        <v>0</v>
      </c>
      <c r="D565" s="293" t="str">
        <f>IF(AND(Autovalutazione!D581="",Autovalutazione!E581=""),"*","")</f>
        <v>*</v>
      </c>
      <c r="E565" s="39" t="str">
        <f>IF(ISBLANK(Autovalutazione!F581),"",Autovalutazione!F581)</f>
        <v/>
      </c>
      <c r="F565" s="235"/>
      <c r="G565" s="235"/>
      <c r="H565" s="235"/>
      <c r="I565" s="235"/>
      <c r="J565" s="235"/>
      <c r="K565" s="235"/>
      <c r="L565" s="229"/>
      <c r="M565" s="37">
        <v>2</v>
      </c>
      <c r="N565" s="27"/>
      <c r="O565" s="28">
        <f t="shared" si="97"/>
        <v>0</v>
      </c>
      <c r="P565" s="43">
        <f t="shared" si="98"/>
        <v>0</v>
      </c>
      <c r="Q565" s="36"/>
      <c r="R565" s="27"/>
    </row>
    <row r="566" spans="1:18" ht="26.4" x14ac:dyDescent="0.3">
      <c r="A566" s="3" t="str">
        <f>Autovalutazione!A582</f>
        <v>10.1.5.</v>
      </c>
      <c r="B566" s="6" t="str">
        <f>Autovalutazione!C582</f>
        <v>I superiori sono stati formati sull'esecuzione e la valutazione degli audit di sicurezza?</v>
      </c>
      <c r="C566" s="38">
        <f>IF(ISBLANK(Autovalutazione!D582),0,1)</f>
        <v>0</v>
      </c>
      <c r="D566" s="293" t="str">
        <f>IF(AND(Autovalutazione!D582="",Autovalutazione!E582=""),"*","")</f>
        <v>*</v>
      </c>
      <c r="E566" s="39" t="str">
        <f>IF(ISBLANK(Autovalutazione!F582),"",Autovalutazione!F582)</f>
        <v/>
      </c>
      <c r="F566" s="235"/>
      <c r="G566" s="235"/>
      <c r="H566" s="235"/>
      <c r="I566" s="235"/>
      <c r="J566" s="235"/>
      <c r="K566" s="235"/>
      <c r="L566" s="229"/>
      <c r="M566" s="37">
        <v>2</v>
      </c>
      <c r="N566" s="27"/>
      <c r="O566" s="28">
        <f t="shared" si="97"/>
        <v>0</v>
      </c>
      <c r="P566" s="43">
        <f t="shared" si="98"/>
        <v>0</v>
      </c>
      <c r="Q566" s="36"/>
      <c r="R566" s="27"/>
    </row>
    <row r="567" spans="1:18" ht="26.4" x14ac:dyDescent="0.3">
      <c r="A567" s="3" t="str">
        <f>Autovalutazione!A583</f>
        <v>10.1.6.</v>
      </c>
      <c r="B567" s="6" t="str">
        <f>Autovalutazione!C583</f>
        <v>Applicate delle procedure mirate alla struttura dei rischi e alla realtà della vostra azienda?</v>
      </c>
      <c r="C567" s="38">
        <f>IF(ISBLANK(Autovalutazione!D583),0,1)</f>
        <v>0</v>
      </c>
      <c r="D567" s="293" t="str">
        <f>IF(AND(Autovalutazione!D583="",Autovalutazione!E583=""),"*","")</f>
        <v>*</v>
      </c>
      <c r="E567" s="39" t="str">
        <f>IF(ISBLANK(Autovalutazione!F583),"",Autovalutazione!F583)</f>
        <v/>
      </c>
      <c r="F567" s="235"/>
      <c r="G567" s="235"/>
      <c r="H567" s="235"/>
      <c r="I567" s="235"/>
      <c r="J567" s="235"/>
      <c r="K567" s="235"/>
      <c r="L567" s="229"/>
      <c r="M567" s="37">
        <v>1</v>
      </c>
      <c r="N567" s="27"/>
      <c r="O567" s="28">
        <f t="shared" si="97"/>
        <v>0</v>
      </c>
      <c r="P567" s="43">
        <f t="shared" si="98"/>
        <v>0</v>
      </c>
      <c r="Q567" s="36"/>
      <c r="R567" s="27"/>
    </row>
    <row r="568" spans="1:18" ht="26.4" x14ac:dyDescent="0.3">
      <c r="A568" s="3" t="str">
        <f>Autovalutazione!A584</f>
        <v>10.1.7.</v>
      </c>
      <c r="B568" s="6" t="str">
        <f>Autovalutazione!C584</f>
        <v>Per svolgere gli audit vi servite di particolari strumenti, ad es. elenchi di parole chiave, liste di controllo, moduli?</v>
      </c>
      <c r="C568" s="38">
        <f>IF(ISBLANK(Autovalutazione!D584),0,1)</f>
        <v>0</v>
      </c>
      <c r="D568" s="293" t="str">
        <f>IF(AND(Autovalutazione!D584="",Autovalutazione!E584=""),"*","")</f>
        <v>*</v>
      </c>
      <c r="E568" s="39" t="str">
        <f>IF(ISBLANK(Autovalutazione!F584),"",Autovalutazione!F584)</f>
        <v/>
      </c>
      <c r="F568" s="235"/>
      <c r="G568" s="235"/>
      <c r="H568" s="235"/>
      <c r="I568" s="235"/>
      <c r="J568" s="235"/>
      <c r="K568" s="235"/>
      <c r="L568" s="229"/>
      <c r="M568" s="37">
        <v>2</v>
      </c>
      <c r="N568" s="27"/>
      <c r="O568" s="28">
        <f t="shared" si="97"/>
        <v>0</v>
      </c>
      <c r="P568" s="43">
        <f t="shared" si="98"/>
        <v>0</v>
      </c>
      <c r="Q568" s="36"/>
      <c r="R568" s="27"/>
    </row>
    <row r="569" spans="1:18" x14ac:dyDescent="0.3">
      <c r="A569" s="3" t="str">
        <f>Autovalutazione!A585</f>
        <v>10.1.8.</v>
      </c>
      <c r="B569" s="6" t="str">
        <f>Autovalutazione!C585</f>
        <v>Eventuali osservazioni e misure vengono messe per iscritto?</v>
      </c>
      <c r="C569" s="38">
        <f>IF(ISBLANK(Autovalutazione!D585),0,1)</f>
        <v>0</v>
      </c>
      <c r="D569" s="293" t="str">
        <f>IF(AND(Autovalutazione!D585="",Autovalutazione!E585=""),"*","")</f>
        <v>*</v>
      </c>
      <c r="E569" s="39" t="str">
        <f>IF(ISBLANK(Autovalutazione!F585),"",Autovalutazione!F585)</f>
        <v/>
      </c>
      <c r="F569" s="235"/>
      <c r="G569" s="235"/>
      <c r="H569" s="235"/>
      <c r="I569" s="235"/>
      <c r="J569" s="235"/>
      <c r="K569" s="235"/>
      <c r="L569" s="229"/>
      <c r="M569" s="37">
        <v>3</v>
      </c>
      <c r="N569" s="27"/>
      <c r="O569" s="28">
        <f t="shared" si="97"/>
        <v>0</v>
      </c>
      <c r="P569" s="43">
        <f t="shared" si="98"/>
        <v>0</v>
      </c>
      <c r="Q569" s="36"/>
      <c r="R569" s="27"/>
    </row>
    <row r="570" spans="1:18" ht="26.4" x14ac:dyDescent="0.3">
      <c r="A570" s="3" t="str">
        <f>Autovalutazione!A586</f>
        <v>10.1.9.</v>
      </c>
      <c r="B570" s="6" t="str">
        <f>Autovalutazione!C586</f>
        <v>Le osservazioni vengono considerate nel sistema di sicurezza aziendale?</v>
      </c>
      <c r="C570" s="38">
        <f>IF(ISBLANK(Autovalutazione!D586),0,1)</f>
        <v>0</v>
      </c>
      <c r="D570" s="293" t="str">
        <f>IF(AND(Autovalutazione!D586="",Autovalutazione!E586=""),"*","")</f>
        <v>*</v>
      </c>
      <c r="E570" s="39" t="str">
        <f>IF(ISBLANK(Autovalutazione!F586),"",Autovalutazione!F586)</f>
        <v/>
      </c>
      <c r="F570" s="235"/>
      <c r="G570" s="235"/>
      <c r="H570" s="235"/>
      <c r="I570" s="235"/>
      <c r="J570" s="235"/>
      <c r="K570" s="235"/>
      <c r="L570" s="229"/>
      <c r="M570" s="37">
        <v>3</v>
      </c>
      <c r="N570" s="27"/>
      <c r="O570" s="28">
        <f t="shared" si="97"/>
        <v>0</v>
      </c>
      <c r="P570" s="43">
        <f t="shared" si="98"/>
        <v>0</v>
      </c>
      <c r="Q570" s="36"/>
      <c r="R570" s="27"/>
    </row>
    <row r="571" spans="1:18" x14ac:dyDescent="0.3">
      <c r="A571" s="20" t="str">
        <f>Autovalutazione!A587</f>
        <v>10.2.</v>
      </c>
      <c r="B571" s="20" t="str">
        <f>Autovalutazione!B587</f>
        <v>Statistica eventi</v>
      </c>
      <c r="C571" s="21">
        <f>O571/N571</f>
        <v>0</v>
      </c>
      <c r="D571" s="23" t="str">
        <f>IF(ISBLANK(Autovalutazione!E587),"",Autovalutazione!E587)</f>
        <v/>
      </c>
      <c r="E571" s="23" t="str">
        <f>IF(ISBLANK(Autovalutazione!F587),"",Autovalutazione!F587)</f>
        <v/>
      </c>
      <c r="F571" s="232"/>
      <c r="G571" s="232"/>
      <c r="H571" s="232"/>
      <c r="I571" s="232"/>
      <c r="J571" s="232"/>
      <c r="K571" s="232"/>
      <c r="L571" s="50">
        <f>P571/N571</f>
        <v>0</v>
      </c>
      <c r="M571" s="22">
        <v>2</v>
      </c>
      <c r="N571" s="22">
        <f>SUM(M572:M581)</f>
        <v>21</v>
      </c>
      <c r="O571" s="24">
        <f>SUM(O572:O581)</f>
        <v>0</v>
      </c>
      <c r="P571" s="24">
        <f>SUM(P572:P581)</f>
        <v>0</v>
      </c>
      <c r="Q571" s="52">
        <f>O571/$N571*$M571</f>
        <v>0</v>
      </c>
      <c r="R571" s="52">
        <f>P571/$N571*$M571</f>
        <v>0</v>
      </c>
    </row>
    <row r="572" spans="1:18" ht="26.4" x14ac:dyDescent="0.3">
      <c r="A572" s="3" t="str">
        <f>Autovalutazione!A588</f>
        <v>10.2.1.a</v>
      </c>
      <c r="B572" s="6" t="str">
        <f>Autovalutazione!C588</f>
        <v>La vostra azienda fa statistiche nei seguenti ambiti:
Infortuni e malattie professionali?</v>
      </c>
      <c r="C572" s="38">
        <f>IF(ISBLANK(Autovalutazione!D588),0,1)</f>
        <v>0</v>
      </c>
      <c r="D572" s="293" t="str">
        <f>IF(AND(Autovalutazione!D588="",Autovalutazione!E588=""),"*","")</f>
        <v>*</v>
      </c>
      <c r="E572" s="39" t="str">
        <f>IF(ISBLANK(Autovalutazione!F588),"",Autovalutazione!F588)</f>
        <v/>
      </c>
      <c r="F572" s="235"/>
      <c r="G572" s="235"/>
      <c r="H572" s="235"/>
      <c r="I572" s="235"/>
      <c r="J572" s="235"/>
      <c r="K572" s="235"/>
      <c r="L572" s="229"/>
      <c r="M572" s="37">
        <v>3</v>
      </c>
      <c r="N572" s="27"/>
      <c r="O572" s="28">
        <f t="shared" ref="O572:O581" si="99">C572*M572</f>
        <v>0</v>
      </c>
      <c r="P572" s="43">
        <f t="shared" ref="P572:P581" si="100">L572*M572</f>
        <v>0</v>
      </c>
      <c r="Q572" s="36"/>
      <c r="R572" s="27"/>
    </row>
    <row r="573" spans="1:18" x14ac:dyDescent="0.3">
      <c r="A573" s="3" t="str">
        <f>Autovalutazione!A589</f>
        <v>10.2.1.b</v>
      </c>
      <c r="B573" s="6" t="str">
        <f>Autovalutazione!C589</f>
        <v>Infortuni non professionali?</v>
      </c>
      <c r="C573" s="38">
        <f>IF(ISBLANK(Autovalutazione!D589),0,1)</f>
        <v>0</v>
      </c>
      <c r="D573" s="293" t="str">
        <f>IF(AND(Autovalutazione!D589="",Autovalutazione!E589=""),"*","")</f>
        <v>*</v>
      </c>
      <c r="E573" s="39" t="str">
        <f>IF(ISBLANK(Autovalutazione!F589),"",Autovalutazione!F589)</f>
        <v/>
      </c>
      <c r="F573" s="235"/>
      <c r="G573" s="235"/>
      <c r="H573" s="235"/>
      <c r="I573" s="235"/>
      <c r="J573" s="235"/>
      <c r="K573" s="235"/>
      <c r="L573" s="229"/>
      <c r="M573" s="37">
        <v>3</v>
      </c>
      <c r="N573" s="27"/>
      <c r="O573" s="28">
        <f t="shared" si="99"/>
        <v>0</v>
      </c>
      <c r="P573" s="43">
        <f t="shared" si="100"/>
        <v>0</v>
      </c>
      <c r="Q573" s="36"/>
      <c r="R573" s="27"/>
    </row>
    <row r="574" spans="1:18" x14ac:dyDescent="0.3">
      <c r="A574" s="3" t="str">
        <f>Autovalutazione!A590</f>
        <v>10.2.1.c</v>
      </c>
      <c r="B574" s="6" t="str">
        <f>Autovalutazione!C590</f>
        <v>Malattia?</v>
      </c>
      <c r="C574" s="38">
        <f>IF(ISBLANK(Autovalutazione!D590),0,1)</f>
        <v>0</v>
      </c>
      <c r="D574" s="293" t="str">
        <f>IF(AND(Autovalutazione!D590="",Autovalutazione!E590=""),"*","")</f>
        <v>*</v>
      </c>
      <c r="E574" s="39" t="str">
        <f>IF(ISBLANK(Autovalutazione!F590),"",Autovalutazione!F590)</f>
        <v/>
      </c>
      <c r="F574" s="235"/>
      <c r="G574" s="235"/>
      <c r="H574" s="235"/>
      <c r="I574" s="235"/>
      <c r="J574" s="235"/>
      <c r="K574" s="235"/>
      <c r="L574" s="229"/>
      <c r="M574" s="37">
        <v>3</v>
      </c>
      <c r="N574" s="27"/>
      <c r="O574" s="28">
        <f t="shared" si="99"/>
        <v>0</v>
      </c>
      <c r="P574" s="43">
        <f t="shared" si="100"/>
        <v>0</v>
      </c>
      <c r="Q574" s="36"/>
      <c r="R574" s="27"/>
    </row>
    <row r="575" spans="1:18" x14ac:dyDescent="0.3">
      <c r="A575" s="3" t="str">
        <f>Autovalutazione!A591</f>
        <v>10.2.1.d</v>
      </c>
      <c r="B575" s="6" t="str">
        <f>Autovalutazione!C591</f>
        <v>Danni materiali?</v>
      </c>
      <c r="C575" s="38">
        <f>IF(ISBLANK(Autovalutazione!D591),0,1)</f>
        <v>0</v>
      </c>
      <c r="D575" s="293" t="str">
        <f>IF(AND(Autovalutazione!D591="",Autovalutazione!E591=""),"*","")</f>
        <v>*</v>
      </c>
      <c r="E575" s="39" t="str">
        <f>IF(ISBLANK(Autovalutazione!F591),"",Autovalutazione!F591)</f>
        <v/>
      </c>
      <c r="F575" s="235"/>
      <c r="G575" s="235"/>
      <c r="H575" s="235"/>
      <c r="I575" s="235"/>
      <c r="J575" s="235"/>
      <c r="K575" s="235"/>
      <c r="L575" s="229"/>
      <c r="M575" s="37">
        <v>1</v>
      </c>
      <c r="N575" s="27"/>
      <c r="O575" s="28">
        <f t="shared" si="99"/>
        <v>0</v>
      </c>
      <c r="P575" s="43">
        <f t="shared" si="100"/>
        <v>0</v>
      </c>
      <c r="Q575" s="36"/>
      <c r="R575" s="27"/>
    </row>
    <row r="576" spans="1:18" x14ac:dyDescent="0.3">
      <c r="A576" s="3" t="str">
        <f>Autovalutazione!A592</f>
        <v>10.2.1.e</v>
      </c>
      <c r="B576" s="6" t="str">
        <f>Autovalutazione!C592</f>
        <v>Disservizi?</v>
      </c>
      <c r="C576" s="38">
        <f>IF(ISBLANK(Autovalutazione!D592),0,1)</f>
        <v>0</v>
      </c>
      <c r="D576" s="293" t="str">
        <f>IF(AND(Autovalutazione!D592="",Autovalutazione!E592=""),"*","")</f>
        <v>*</v>
      </c>
      <c r="E576" s="39" t="str">
        <f>IF(ISBLANK(Autovalutazione!F592),"",Autovalutazione!F592)</f>
        <v/>
      </c>
      <c r="F576" s="235"/>
      <c r="G576" s="235"/>
      <c r="H576" s="235"/>
      <c r="I576" s="235"/>
      <c r="J576" s="235"/>
      <c r="K576" s="235"/>
      <c r="L576" s="229"/>
      <c r="M576" s="37">
        <v>1</v>
      </c>
      <c r="N576" s="27"/>
      <c r="O576" s="28">
        <f t="shared" si="99"/>
        <v>0</v>
      </c>
      <c r="P576" s="43">
        <f t="shared" si="100"/>
        <v>0</v>
      </c>
      <c r="Q576" s="36"/>
      <c r="R576" s="27"/>
    </row>
    <row r="577" spans="1:18" x14ac:dyDescent="0.3">
      <c r="A577" s="3" t="str">
        <f>Autovalutazione!A593</f>
        <v>10.2.1.f</v>
      </c>
      <c r="B577" s="6" t="str">
        <f>Autovalutazione!C593</f>
        <v>Giorni di assenza?</v>
      </c>
      <c r="C577" s="38">
        <f>IF(ISBLANK(Autovalutazione!D593),0,1)</f>
        <v>0</v>
      </c>
      <c r="D577" s="293" t="str">
        <f>IF(AND(Autovalutazione!D593="",Autovalutazione!E593=""),"*","")</f>
        <v>*</v>
      </c>
      <c r="E577" s="39" t="str">
        <f>IF(ISBLANK(Autovalutazione!F593),"",Autovalutazione!F593)</f>
        <v/>
      </c>
      <c r="F577" s="235"/>
      <c r="G577" s="235"/>
      <c r="H577" s="235"/>
      <c r="I577" s="235"/>
      <c r="J577" s="235"/>
      <c r="K577" s="235"/>
      <c r="L577" s="229"/>
      <c r="M577" s="37">
        <v>3</v>
      </c>
      <c r="N577" s="27"/>
      <c r="O577" s="28">
        <f t="shared" si="99"/>
        <v>0</v>
      </c>
      <c r="P577" s="43">
        <f t="shared" si="100"/>
        <v>0</v>
      </c>
      <c r="Q577" s="36"/>
      <c r="R577" s="27"/>
    </row>
    <row r="578" spans="1:18" x14ac:dyDescent="0.3">
      <c r="A578" s="3" t="str">
        <f>Autovalutazione!A594</f>
        <v>10.2.1.g</v>
      </c>
      <c r="B578" s="6" t="str">
        <f>Autovalutazione!C594</f>
        <v>Quasi-infortuni?</v>
      </c>
      <c r="C578" s="38">
        <f>IF(ISBLANK(Autovalutazione!D594),0,1)</f>
        <v>0</v>
      </c>
      <c r="D578" s="293" t="str">
        <f>IF(AND(Autovalutazione!D594="",Autovalutazione!E594=""),"*","")</f>
        <v>*</v>
      </c>
      <c r="E578" s="39" t="str">
        <f>IF(ISBLANK(Autovalutazione!F594),"",Autovalutazione!F594)</f>
        <v/>
      </c>
      <c r="F578" s="235"/>
      <c r="G578" s="235"/>
      <c r="H578" s="235"/>
      <c r="I578" s="235"/>
      <c r="J578" s="235"/>
      <c r="K578" s="235"/>
      <c r="L578" s="229"/>
      <c r="M578" s="37">
        <v>1</v>
      </c>
      <c r="N578" s="27"/>
      <c r="O578" s="28">
        <f t="shared" si="99"/>
        <v>0</v>
      </c>
      <c r="P578" s="43">
        <f t="shared" si="100"/>
        <v>0</v>
      </c>
      <c r="Q578" s="36"/>
      <c r="R578" s="27"/>
    </row>
    <row r="579" spans="1:18" ht="39.6" x14ac:dyDescent="0.3">
      <c r="A579" s="3" t="str">
        <f>Autovalutazione!A595</f>
        <v>10.2.2.a</v>
      </c>
      <c r="B579" s="6" t="str">
        <f>Autovalutazione!C595</f>
        <v>Ci sono statistiche eventi per: 
l'intera azienda? Se sì, chi si occupa della statistica eventi centrale (indicare ufficio o persona)?</v>
      </c>
      <c r="C579" s="38">
        <f>IF(ISBLANK(Autovalutazione!D595),0,1)</f>
        <v>0</v>
      </c>
      <c r="D579" s="293" t="str">
        <f>IF(AND(Autovalutazione!D595="",Autovalutazione!E595=""),"*","")</f>
        <v>*</v>
      </c>
      <c r="E579" s="39" t="str">
        <f>IF(ISBLANK(Autovalutazione!F595),"",Autovalutazione!F595)</f>
        <v/>
      </c>
      <c r="F579" s="235"/>
      <c r="G579" s="235"/>
      <c r="H579" s="235"/>
      <c r="I579" s="235"/>
      <c r="J579" s="235"/>
      <c r="K579" s="235"/>
      <c r="L579" s="229"/>
      <c r="M579" s="37">
        <v>1</v>
      </c>
      <c r="N579" s="27"/>
      <c r="O579" s="28">
        <f t="shared" si="99"/>
        <v>0</v>
      </c>
      <c r="P579" s="43">
        <f t="shared" si="100"/>
        <v>0</v>
      </c>
      <c r="Q579" s="36"/>
      <c r="R579" s="27"/>
    </row>
    <row r="580" spans="1:18" x14ac:dyDescent="0.3">
      <c r="A580" s="3" t="str">
        <f>Autovalutazione!A596</f>
        <v>10.2.2.b</v>
      </c>
      <c r="B580" s="6" t="str">
        <f>Autovalutazione!C596</f>
        <v>per le unità organizzative (ad es. settori, divisioni?</v>
      </c>
      <c r="C580" s="38">
        <f>IF(ISBLANK(Autovalutazione!D596),0,1)</f>
        <v>0</v>
      </c>
      <c r="D580" s="293" t="str">
        <f>IF(AND(Autovalutazione!D596="",Autovalutazione!E596=""),"*","")</f>
        <v>*</v>
      </c>
      <c r="E580" s="39" t="str">
        <f>IF(ISBLANK(Autovalutazione!F596),"",Autovalutazione!F596)</f>
        <v/>
      </c>
      <c r="F580" s="235"/>
      <c r="G580" s="235"/>
      <c r="H580" s="235"/>
      <c r="I580" s="235"/>
      <c r="J580" s="235"/>
      <c r="K580" s="235"/>
      <c r="L580" s="229"/>
      <c r="M580" s="37">
        <v>2</v>
      </c>
      <c r="N580" s="27"/>
      <c r="O580" s="28">
        <f t="shared" si="99"/>
        <v>0</v>
      </c>
      <c r="P580" s="43">
        <f t="shared" si="100"/>
        <v>0</v>
      </c>
      <c r="Q580" s="36"/>
      <c r="R580" s="27"/>
    </row>
    <row r="581" spans="1:18" x14ac:dyDescent="0.3">
      <c r="A581" s="3" t="str">
        <f>Autovalutazione!A597</f>
        <v>10.2.3.</v>
      </c>
      <c r="B581" s="6" t="str">
        <f>Autovalutazione!C597</f>
        <v>La statistica eventi è utilizzata come strumento di gestione?</v>
      </c>
      <c r="C581" s="38">
        <f>IF(ISBLANK(Autovalutazione!D597),0,1)</f>
        <v>0</v>
      </c>
      <c r="D581" s="293" t="str">
        <f>IF(AND(Autovalutazione!D597="",Autovalutazione!E597=""),"*","")</f>
        <v>*</v>
      </c>
      <c r="E581" s="39" t="str">
        <f>IF(ISBLANK(Autovalutazione!F597),"",Autovalutazione!F597)</f>
        <v/>
      </c>
      <c r="F581" s="235"/>
      <c r="G581" s="235"/>
      <c r="H581" s="235"/>
      <c r="I581" s="235"/>
      <c r="J581" s="235"/>
      <c r="K581" s="235"/>
      <c r="L581" s="229"/>
      <c r="M581" s="37">
        <v>3</v>
      </c>
      <c r="N581" s="27"/>
      <c r="O581" s="28">
        <f t="shared" si="99"/>
        <v>0</v>
      </c>
      <c r="P581" s="43">
        <f t="shared" si="100"/>
        <v>0</v>
      </c>
      <c r="Q581" s="36"/>
      <c r="R581" s="27"/>
    </row>
    <row r="582" spans="1:18" x14ac:dyDescent="0.3">
      <c r="A582" s="20" t="str">
        <f>Autovalutazione!A598</f>
        <v>10.3.</v>
      </c>
      <c r="B582" s="20" t="str">
        <f>Autovalutazione!B598</f>
        <v>Fluttuazione</v>
      </c>
      <c r="C582" s="21">
        <f>O582/N582</f>
        <v>0</v>
      </c>
      <c r="D582" s="23" t="str">
        <f>IF(ISBLANK(Autovalutazione!E598),"",Autovalutazione!E598)</f>
        <v/>
      </c>
      <c r="E582" s="23" t="str">
        <f>IF(ISBLANK(Autovalutazione!F598),"",Autovalutazione!F598)</f>
        <v/>
      </c>
      <c r="F582" s="232"/>
      <c r="G582" s="232"/>
      <c r="H582" s="232"/>
      <c r="I582" s="232"/>
      <c r="J582" s="232"/>
      <c r="K582" s="232"/>
      <c r="L582" s="50">
        <f>P582/N582</f>
        <v>0</v>
      </c>
      <c r="M582" s="22">
        <v>1</v>
      </c>
      <c r="N582" s="22">
        <f>SUM(M583:M586)</f>
        <v>8</v>
      </c>
      <c r="O582" s="24">
        <f>SUM(O583:O586)</f>
        <v>0</v>
      </c>
      <c r="P582" s="24">
        <f>SUM(P583:P586)</f>
        <v>0</v>
      </c>
      <c r="Q582" s="52">
        <f>O582/$N582*$M582</f>
        <v>0</v>
      </c>
      <c r="R582" s="52">
        <f>P582/$N582*$M582</f>
        <v>0</v>
      </c>
    </row>
    <row r="583" spans="1:18" ht="105.6" x14ac:dyDescent="0.3">
      <c r="A583" s="3" t="str">
        <f>Autovalutazione!A599</f>
        <v>10.3.1.</v>
      </c>
      <c r="B583" s="6" t="str">
        <f>Autovalutazione!C599</f>
        <v xml:space="preserve">Nella vostra azienda si registra e si analizza il tasso di fluttuazione annuo*? Se sì, qual è il tasso di fluttuazione in azienda?
*Con tasso di fluttuazione si intende il cambio di personale in un'azienda. Il tasso di fluttuazione esprime il rapporto tra le persone che abbandonano l'azienda e il numero degli occupati in un anno. Tasso di fluttuazione = partenze/occupati x 100. </v>
      </c>
      <c r="C583" s="38">
        <f>IF(ISBLANK(Autovalutazione!D599),0,1)</f>
        <v>0</v>
      </c>
      <c r="D583" s="293" t="str">
        <f>IF(AND(Autovalutazione!D599="",Autovalutazione!E599=""),"*","")</f>
        <v>*</v>
      </c>
      <c r="E583" s="39" t="str">
        <f>IF(ISBLANK(Autovalutazione!F599),"",Autovalutazione!F599)</f>
        <v/>
      </c>
      <c r="F583" s="235"/>
      <c r="G583" s="235"/>
      <c r="H583" s="235"/>
      <c r="I583" s="235"/>
      <c r="J583" s="235"/>
      <c r="K583" s="235"/>
      <c r="L583" s="229"/>
      <c r="M583" s="37">
        <v>2</v>
      </c>
      <c r="N583" s="27"/>
      <c r="O583" s="28">
        <f>C583*M583</f>
        <v>0</v>
      </c>
      <c r="P583" s="43">
        <f t="shared" ref="P583:P586" si="101">L583*M583</f>
        <v>0</v>
      </c>
      <c r="Q583" s="36"/>
      <c r="R583" s="27"/>
    </row>
    <row r="584" spans="1:18" ht="26.4" x14ac:dyDescent="0.3">
      <c r="A584" s="3" t="str">
        <f>Autovalutazione!A600</f>
        <v>10.3.2.</v>
      </c>
      <c r="B584" s="6" t="str">
        <f>Autovalutazione!C600</f>
        <v>I motivi per cui i dipendenti abbandonano l'azienda sono noti e presi in esame?</v>
      </c>
      <c r="C584" s="38">
        <f>IF(ISBLANK(Autovalutazione!D600),0,1)</f>
        <v>0</v>
      </c>
      <c r="D584" s="293" t="str">
        <f>IF(AND(Autovalutazione!D600="",Autovalutazione!E600=""),"*","")</f>
        <v>*</v>
      </c>
      <c r="E584" s="39" t="str">
        <f>IF(ISBLANK(Autovalutazione!F600),"",Autovalutazione!F600)</f>
        <v/>
      </c>
      <c r="F584" s="235"/>
      <c r="G584" s="235"/>
      <c r="H584" s="235"/>
      <c r="I584" s="235"/>
      <c r="J584" s="235"/>
      <c r="K584" s="235"/>
      <c r="L584" s="229"/>
      <c r="M584" s="37">
        <v>3</v>
      </c>
      <c r="N584" s="27"/>
      <c r="O584" s="28">
        <f>C584*M584</f>
        <v>0</v>
      </c>
      <c r="P584" s="43">
        <f t="shared" si="101"/>
        <v>0</v>
      </c>
      <c r="Q584" s="36"/>
      <c r="R584" s="27"/>
    </row>
    <row r="585" spans="1:18" ht="39.6" x14ac:dyDescent="0.3">
      <c r="A585" s="3" t="str">
        <f>Autovalutazione!A601</f>
        <v>10.3.3.</v>
      </c>
      <c r="B585" s="6" t="str">
        <f>Autovalutazione!C601</f>
        <v>Se ci sono determinati motivi alla base di un licenziamento o di una dimissione, si traggono le opportune conseguenze e si adottano eventuali misure?</v>
      </c>
      <c r="C585" s="38">
        <f>IF(ISBLANK(Autovalutazione!D601),0,1)</f>
        <v>0</v>
      </c>
      <c r="D585" s="293" t="str">
        <f>IF(AND(Autovalutazione!D601="",Autovalutazione!E601=""),"*","")</f>
        <v>*</v>
      </c>
      <c r="E585" s="39" t="str">
        <f>IF(ISBLANK(Autovalutazione!F601),"",Autovalutazione!F601)</f>
        <v/>
      </c>
      <c r="F585" s="235"/>
      <c r="G585" s="235"/>
      <c r="H585" s="235"/>
      <c r="I585" s="235"/>
      <c r="J585" s="235"/>
      <c r="K585" s="235"/>
      <c r="L585" s="229"/>
      <c r="M585" s="37">
        <v>3</v>
      </c>
      <c r="N585" s="27"/>
      <c r="O585" s="28">
        <f>C585*M585</f>
        <v>0</v>
      </c>
      <c r="P585" s="43">
        <f t="shared" si="101"/>
        <v>0</v>
      </c>
      <c r="Q585" s="36"/>
      <c r="R585" s="27"/>
    </row>
    <row r="586" spans="1:18" ht="39.6" x14ac:dyDescent="0.3">
      <c r="A586" s="3" t="str">
        <f>Autovalutazione!A602</f>
        <v>10.3.4.</v>
      </c>
      <c r="B586" s="6" t="str">
        <f>Autovalutazione!C602</f>
        <v>Avete la possibilità di confrontare il tasso di fluttuazione della vostra azienda con quello di aziende simili nella stessa regione?</v>
      </c>
      <c r="C586" s="38">
        <f>IF(ISBLANK(Autovalutazione!D602),0,1)</f>
        <v>0</v>
      </c>
      <c r="D586" s="293" t="str">
        <f>IF(AND(Autovalutazione!D602="",Autovalutazione!E602=""),"*","")</f>
        <v>*</v>
      </c>
      <c r="E586" s="39" t="str">
        <f>IF(ISBLANK(Autovalutazione!F602),"",Autovalutazione!F602)</f>
        <v/>
      </c>
      <c r="F586" s="235"/>
      <c r="G586" s="235"/>
      <c r="H586" s="235"/>
      <c r="I586" s="235"/>
      <c r="J586" s="235"/>
      <c r="K586" s="235"/>
      <c r="L586" s="229"/>
      <c r="M586" s="37">
        <v>0</v>
      </c>
      <c r="N586" s="27"/>
      <c r="O586" s="28">
        <f>C586*M586</f>
        <v>0</v>
      </c>
      <c r="P586" s="43">
        <f t="shared" si="101"/>
        <v>0</v>
      </c>
      <c r="Q586" s="36"/>
      <c r="R586" s="27"/>
    </row>
    <row r="587" spans="1:18" x14ac:dyDescent="0.3">
      <c r="A587" s="34" t="str">
        <f>Autovalutazione!A604</f>
        <v>11.</v>
      </c>
      <c r="B587" s="7" t="str">
        <f>Autovalutazione!B604</f>
        <v>Assenze</v>
      </c>
      <c r="C587" s="30">
        <f>O587/N587</f>
        <v>0</v>
      </c>
      <c r="D587" s="18"/>
      <c r="E587" s="18"/>
      <c r="F587" s="18"/>
      <c r="G587" s="18"/>
      <c r="H587" s="18"/>
      <c r="I587" s="18"/>
      <c r="J587" s="18"/>
      <c r="K587" s="18"/>
      <c r="L587" s="231">
        <f>P587/N587</f>
        <v>0</v>
      </c>
      <c r="M587" s="5"/>
      <c r="N587" s="5">
        <f>SUM(M588:M606)</f>
        <v>19</v>
      </c>
      <c r="O587" s="4">
        <f>SUM(O588:O606)</f>
        <v>0</v>
      </c>
      <c r="P587" s="4">
        <f>SUM(P588:P606)</f>
        <v>0</v>
      </c>
      <c r="Q587" s="35"/>
      <c r="R587" s="35"/>
    </row>
    <row r="588" spans="1:18" ht="26.4" x14ac:dyDescent="0.3">
      <c r="A588" s="3" t="str">
        <f>Autovalutazione!A606</f>
        <v>11.1.</v>
      </c>
      <c r="B588" s="6" t="str">
        <f>Autovalutazione!C606</f>
        <v>La direzione aziendale ha esplicitamente dichiarato di volere un sistema di gestione delle assenze?</v>
      </c>
      <c r="C588" s="38">
        <f>IF(ISBLANK(Autovalutazione!D607),0,1)</f>
        <v>0</v>
      </c>
      <c r="D588" s="293" t="str">
        <f>IF(AND(Autovalutazione!D607="",Autovalutazione!E607=""),"*","")</f>
        <v>*</v>
      </c>
      <c r="E588" s="39" t="str">
        <f>IF(ISBLANK(Autovalutazione!F607),"",Autovalutazione!F607)</f>
        <v/>
      </c>
      <c r="F588" s="235"/>
      <c r="G588" s="235"/>
      <c r="H588" s="235"/>
      <c r="I588" s="235"/>
      <c r="J588" s="235"/>
      <c r="K588" s="235"/>
      <c r="L588" s="229"/>
      <c r="M588" s="37">
        <v>1</v>
      </c>
      <c r="N588" s="27"/>
      <c r="O588" s="28">
        <f t="shared" ref="O588:O606" si="102">C588*M588</f>
        <v>0</v>
      </c>
      <c r="P588" s="43">
        <f t="shared" ref="P588:P595" si="103">L588*M588</f>
        <v>0</v>
      </c>
      <c r="Q588" s="36"/>
      <c r="R588" s="27"/>
    </row>
    <row r="589" spans="1:18" ht="39.6" x14ac:dyDescent="0.3">
      <c r="A589" s="3" t="str">
        <f>Autovalutazione!A607</f>
        <v>11.2.a</v>
      </c>
      <c r="B589" s="6" t="str">
        <f>Autovalutazione!C607</f>
        <v>I dati riferiti a infortuni e malattie (con rispettivi giorni di assenza) vengono:
registrati?</v>
      </c>
      <c r="C589" s="38">
        <f>IF(ISBLANK(Autovalutazione!D608),0,1)</f>
        <v>0</v>
      </c>
      <c r="D589" s="293" t="str">
        <f>IF(AND(Autovalutazione!D608="",Autovalutazione!E608=""),"*","")</f>
        <v>*</v>
      </c>
      <c r="E589" s="39" t="str">
        <f>IF(ISBLANK(Autovalutazione!F608),"",Autovalutazione!F608)</f>
        <v/>
      </c>
      <c r="F589" s="235"/>
      <c r="G589" s="235"/>
      <c r="H589" s="235"/>
      <c r="I589" s="235"/>
      <c r="J589" s="235"/>
      <c r="K589" s="235"/>
      <c r="L589" s="229"/>
      <c r="M589" s="37">
        <v>1</v>
      </c>
      <c r="N589" s="27"/>
      <c r="O589" s="28">
        <f t="shared" si="102"/>
        <v>0</v>
      </c>
      <c r="P589" s="43">
        <f t="shared" si="103"/>
        <v>0</v>
      </c>
      <c r="Q589" s="36"/>
      <c r="R589" s="27"/>
    </row>
    <row r="590" spans="1:18" x14ac:dyDescent="0.3">
      <c r="A590" s="3" t="str">
        <f>Autovalutazione!A608</f>
        <v>11.2.b</v>
      </c>
      <c r="B590" s="6" t="str">
        <f>Autovalutazione!C608</f>
        <v>analizzati?</v>
      </c>
      <c r="C590" s="38">
        <f>IF(ISBLANK(Autovalutazione!D609),0,1)</f>
        <v>0</v>
      </c>
      <c r="D590" s="293" t="str">
        <f>IF(AND(Autovalutazione!D609="",Autovalutazione!E609=""),"*","")</f>
        <v>*</v>
      </c>
      <c r="E590" s="39" t="str">
        <f>IF(ISBLANK(Autovalutazione!F609),"",Autovalutazione!F609)</f>
        <v/>
      </c>
      <c r="F590" s="235"/>
      <c r="G590" s="235"/>
      <c r="H590" s="235"/>
      <c r="I590" s="235"/>
      <c r="J590" s="235"/>
      <c r="K590" s="235"/>
      <c r="L590" s="229"/>
      <c r="M590" s="37">
        <v>1</v>
      </c>
      <c r="N590" s="27"/>
      <c r="O590" s="28">
        <f t="shared" si="102"/>
        <v>0</v>
      </c>
      <c r="P590" s="43">
        <f t="shared" si="103"/>
        <v>0</v>
      </c>
      <c r="Q590" s="36"/>
      <c r="R590" s="27"/>
    </row>
    <row r="591" spans="1:18" x14ac:dyDescent="0.3">
      <c r="A591" s="3" t="str">
        <f>Autovalutazione!A609</f>
        <v>11.2.c</v>
      </c>
      <c r="B591" s="6" t="str">
        <f>Autovalutazione!C609</f>
        <v>valutati?</v>
      </c>
      <c r="C591" s="38">
        <f>IF(ISBLANK(Autovalutazione!D610),0,1)</f>
        <v>0</v>
      </c>
      <c r="D591" s="293" t="str">
        <f>IF(AND(Autovalutazione!D610="",Autovalutazione!E610=""),"*","")</f>
        <v>*</v>
      </c>
      <c r="E591" s="39" t="str">
        <f>IF(ISBLANK(Autovalutazione!F610),"",Autovalutazione!F610)</f>
        <v/>
      </c>
      <c r="F591" s="235"/>
      <c r="G591" s="235"/>
      <c r="H591" s="235"/>
      <c r="I591" s="235"/>
      <c r="J591" s="235"/>
      <c r="K591" s="235"/>
      <c r="L591" s="229"/>
      <c r="M591" s="37">
        <v>1</v>
      </c>
      <c r="N591" s="27"/>
      <c r="O591" s="28">
        <f t="shared" si="102"/>
        <v>0</v>
      </c>
      <c r="P591" s="43">
        <f t="shared" ref="P591" si="104">L591*M591</f>
        <v>0</v>
      </c>
      <c r="Q591" s="36"/>
      <c r="R591" s="27"/>
    </row>
    <row r="592" spans="1:18" x14ac:dyDescent="0.3">
      <c r="A592" s="3" t="str">
        <f>Autovalutazione!A610</f>
        <v>11.2.d</v>
      </c>
      <c r="B592" s="6" t="str">
        <f>Autovalutazione!C610</f>
        <v xml:space="preserve">comunicati? </v>
      </c>
      <c r="C592" s="38">
        <f>IF(ISBLANK(Autovalutazione!D611),0,1)</f>
        <v>0</v>
      </c>
      <c r="D592" s="293" t="str">
        <f>IF(AND(Autovalutazione!D611="",Autovalutazione!E611=""),"*","")</f>
        <v>*</v>
      </c>
      <c r="E592" s="39" t="str">
        <f>IF(ISBLANK(Autovalutazione!F611),"",Autovalutazione!F611)</f>
        <v/>
      </c>
      <c r="F592" s="235"/>
      <c r="G592" s="235"/>
      <c r="H592" s="235"/>
      <c r="I592" s="235"/>
      <c r="J592" s="235"/>
      <c r="K592" s="235"/>
      <c r="L592" s="229"/>
      <c r="M592" s="37">
        <v>1</v>
      </c>
      <c r="N592" s="27"/>
      <c r="O592" s="28">
        <f t="shared" si="102"/>
        <v>0</v>
      </c>
      <c r="P592" s="43">
        <f t="shared" si="103"/>
        <v>0</v>
      </c>
      <c r="Q592" s="36"/>
      <c r="R592" s="27"/>
    </row>
    <row r="593" spans="1:18" ht="26.4" x14ac:dyDescent="0.3">
      <c r="A593" s="3" t="str">
        <f>Autovalutazione!A611</f>
        <v>11.3.</v>
      </c>
      <c r="B593" s="6" t="str">
        <f>Autovalutazione!C611</f>
        <v>Si analizzano gli indicatori e si definiscono gli obiettivi di prevenzione con cadenza annuale?</v>
      </c>
      <c r="C593" s="38">
        <f>IF(ISBLANK(Autovalutazione!D612),0,1)</f>
        <v>0</v>
      </c>
      <c r="D593" s="293" t="str">
        <f>IF(AND(Autovalutazione!D612="",Autovalutazione!E612=""),"*","")</f>
        <v>*</v>
      </c>
      <c r="E593" s="39" t="str">
        <f>IF(ISBLANK(Autovalutazione!F612),"",Autovalutazione!F612)</f>
        <v/>
      </c>
      <c r="F593" s="235"/>
      <c r="G593" s="235"/>
      <c r="H593" s="235"/>
      <c r="I593" s="235"/>
      <c r="J593" s="235"/>
      <c r="K593" s="235"/>
      <c r="L593" s="229"/>
      <c r="M593" s="37">
        <v>1</v>
      </c>
      <c r="N593" s="27"/>
      <c r="O593" s="28">
        <f t="shared" si="102"/>
        <v>0</v>
      </c>
      <c r="P593" s="43">
        <f t="shared" si="103"/>
        <v>0</v>
      </c>
      <c r="Q593" s="36"/>
      <c r="R593" s="27"/>
    </row>
    <row r="594" spans="1:18" ht="52.8" x14ac:dyDescent="0.3">
      <c r="A594" s="3" t="str">
        <f>Autovalutazione!A612</f>
        <v>11.4.</v>
      </c>
      <c r="B594" s="6" t="str">
        <f>Autovalutazione!C612</f>
        <v>È stato definito un modello di intervento e sono state attribuite responsabilità (e compiti) per assistere i collaboratori in caso di assenze impreviste - brevi o prolungate - e per reinserirli nel processo lavorativo?</v>
      </c>
      <c r="C594" s="38">
        <f>IF(ISBLANK(Autovalutazione!D613),0,1)</f>
        <v>0</v>
      </c>
      <c r="D594" s="293" t="str">
        <f>IF(AND(Autovalutazione!D613="",Autovalutazione!E613=""),"*","")</f>
        <v>*</v>
      </c>
      <c r="E594" s="39" t="str">
        <f>IF(ISBLANK(Autovalutazione!F613),"",Autovalutazione!F613)</f>
        <v/>
      </c>
      <c r="F594" s="235"/>
      <c r="G594" s="235"/>
      <c r="H594" s="235"/>
      <c r="I594" s="235"/>
      <c r="J594" s="235"/>
      <c r="K594" s="235"/>
      <c r="L594" s="229"/>
      <c r="M594" s="37">
        <v>1</v>
      </c>
      <c r="N594" s="27"/>
      <c r="O594" s="28">
        <f t="shared" si="102"/>
        <v>0</v>
      </c>
      <c r="P594" s="43">
        <f t="shared" si="103"/>
        <v>0</v>
      </c>
      <c r="Q594" s="36"/>
      <c r="R594" s="27"/>
    </row>
    <row r="595" spans="1:18" ht="39.6" x14ac:dyDescent="0.3">
      <c r="A595" s="3" t="str">
        <f>Autovalutazione!A613</f>
        <v>11.5.</v>
      </c>
      <c r="B595" s="6" t="str">
        <f>Autovalutazione!C613</f>
        <v>I quadri (e le altre istanze coinvolte) ricevono un'introduzione alla gestione delle assenze e una formazione sul loro ruolo di assistenza e sulle pratiche amministrative da assolvere?</v>
      </c>
      <c r="C595" s="38">
        <f>IF(ISBLANK(Autovalutazione!D614),0,1)</f>
        <v>0</v>
      </c>
      <c r="D595" s="293" t="str">
        <f>IF(AND(Autovalutazione!D614="",Autovalutazione!E614=""),"*","")</f>
        <v>*</v>
      </c>
      <c r="E595" s="39" t="str">
        <f>IF(ISBLANK(Autovalutazione!F614),"",Autovalutazione!F614)</f>
        <v/>
      </c>
      <c r="F595" s="235"/>
      <c r="G595" s="235"/>
      <c r="H595" s="235"/>
      <c r="I595" s="235"/>
      <c r="J595" s="235"/>
      <c r="K595" s="235"/>
      <c r="L595" s="229"/>
      <c r="M595" s="37">
        <v>1</v>
      </c>
      <c r="N595" s="27"/>
      <c r="O595" s="28">
        <f t="shared" si="102"/>
        <v>0</v>
      </c>
      <c r="P595" s="43">
        <f t="shared" si="103"/>
        <v>0</v>
      </c>
      <c r="Q595" s="36"/>
      <c r="R595" s="27"/>
    </row>
    <row r="596" spans="1:18" ht="39.6" x14ac:dyDescent="0.3">
      <c r="A596" s="3" t="str">
        <f>Autovalutazione!A614</f>
        <v>11.6.</v>
      </c>
      <c r="B596" s="6" t="str">
        <f>Autovalutazione!C614</f>
        <v>I collaboratori vengono informati periodicamente sugli obiettivi della gestione delle assenze e sul comportamento corretto da seguire in caso di assenza?</v>
      </c>
      <c r="C596" s="38">
        <f>IF(ISBLANK(Autovalutazione!D615),0,1)</f>
        <v>0</v>
      </c>
      <c r="D596" s="293" t="str">
        <f>IF(AND(Autovalutazione!D615="",Autovalutazione!E615=""),"*","")</f>
        <v>*</v>
      </c>
      <c r="E596" s="39" t="str">
        <f>IF(ISBLANK(Autovalutazione!F615),"",Autovalutazione!F615)</f>
        <v/>
      </c>
      <c r="F596" s="235"/>
      <c r="G596" s="235"/>
      <c r="H596" s="235"/>
      <c r="I596" s="235"/>
      <c r="J596" s="235"/>
      <c r="K596" s="235"/>
      <c r="L596" s="229"/>
      <c r="M596" s="37">
        <v>1</v>
      </c>
      <c r="N596" s="27"/>
      <c r="O596" s="28">
        <f t="shared" si="102"/>
        <v>0</v>
      </c>
      <c r="P596" s="43">
        <f t="shared" ref="P596" si="105">L596*M596</f>
        <v>0</v>
      </c>
      <c r="Q596" s="36"/>
      <c r="R596" s="27"/>
    </row>
    <row r="597" spans="1:18" ht="26.4" x14ac:dyDescent="0.3">
      <c r="A597" s="3" t="str">
        <f>Autovalutazione!A615</f>
        <v>11.7.a</v>
      </c>
      <c r="B597" s="6" t="str">
        <f>Autovalutazione!C615</f>
        <v>I colloquio di rientro sono tenuti:
dai quadri?</v>
      </c>
      <c r="C597" s="38">
        <f>IF(ISBLANK(Autovalutazione!D616),0,1)</f>
        <v>0</v>
      </c>
      <c r="D597" s="293" t="str">
        <f>IF(AND(Autovalutazione!D616="",Autovalutazione!E616=""),"*","")</f>
        <v>*</v>
      </c>
      <c r="E597" s="39" t="str">
        <f>IF(ISBLANK(Autovalutazione!F616),"",Autovalutazione!F616)</f>
        <v/>
      </c>
      <c r="F597" s="235"/>
      <c r="G597" s="235"/>
      <c r="H597" s="235"/>
      <c r="I597" s="235"/>
      <c r="J597" s="235"/>
      <c r="K597" s="235"/>
      <c r="L597" s="229"/>
      <c r="M597" s="37">
        <v>1</v>
      </c>
      <c r="N597" s="27"/>
      <c r="O597" s="28">
        <f t="shared" si="102"/>
        <v>0</v>
      </c>
      <c r="P597" s="43">
        <f t="shared" ref="P597:P602" si="106">L597*M597</f>
        <v>0</v>
      </c>
      <c r="Q597" s="36"/>
      <c r="R597" s="27"/>
    </row>
    <row r="598" spans="1:18" x14ac:dyDescent="0.3">
      <c r="A598" s="3" t="str">
        <f>Autovalutazione!A616</f>
        <v>11.7.b</v>
      </c>
      <c r="B598" s="6" t="str">
        <f>Autovalutazione!C616</f>
        <v xml:space="preserve">dopo ogni assenza imprevista di lunga durata? </v>
      </c>
      <c r="C598" s="38">
        <f>IF(ISBLANK(Autovalutazione!D617),0,1)</f>
        <v>0</v>
      </c>
      <c r="D598" s="293" t="str">
        <f>IF(AND(Autovalutazione!D617="",Autovalutazione!E617=""),"*","")</f>
        <v>*</v>
      </c>
      <c r="E598" s="39" t="str">
        <f>IF(ISBLANK(Autovalutazione!F617),"",Autovalutazione!F617)</f>
        <v/>
      </c>
      <c r="F598" s="235"/>
      <c r="G598" s="235"/>
      <c r="H598" s="235"/>
      <c r="I598" s="235"/>
      <c r="J598" s="235"/>
      <c r="K598" s="235"/>
      <c r="L598" s="229"/>
      <c r="M598" s="37">
        <v>1</v>
      </c>
      <c r="N598" s="27"/>
      <c r="O598" s="28">
        <f t="shared" si="102"/>
        <v>0</v>
      </c>
      <c r="P598" s="43">
        <f t="shared" si="106"/>
        <v>0</v>
      </c>
      <c r="Q598" s="36"/>
      <c r="R598" s="27"/>
    </row>
    <row r="599" spans="1:18" x14ac:dyDescent="0.3">
      <c r="A599" s="3" t="str">
        <f>Autovalutazione!A617</f>
        <v>11.7.c</v>
      </c>
      <c r="B599" s="6" t="str">
        <f>Autovalutazione!C617</f>
        <v xml:space="preserve">dopo ogni assenza imprevista? </v>
      </c>
      <c r="C599" s="38">
        <f>IF(ISBLANK(Autovalutazione!D618),0,1)</f>
        <v>0</v>
      </c>
      <c r="D599" s="293" t="str">
        <f>IF(AND(Autovalutazione!D618="",Autovalutazione!E618=""),"*","")</f>
        <v>*</v>
      </c>
      <c r="E599" s="39" t="str">
        <f>IF(ISBLANK(Autovalutazione!F618),"",Autovalutazione!F618)</f>
        <v/>
      </c>
      <c r="F599" s="235"/>
      <c r="G599" s="235"/>
      <c r="H599" s="235"/>
      <c r="I599" s="235"/>
      <c r="J599" s="235"/>
      <c r="K599" s="235"/>
      <c r="L599" s="229"/>
      <c r="M599" s="37">
        <v>1</v>
      </c>
      <c r="N599" s="27"/>
      <c r="O599" s="28">
        <f t="shared" si="102"/>
        <v>0</v>
      </c>
      <c r="P599" s="43">
        <f t="shared" si="106"/>
        <v>0</v>
      </c>
      <c r="Q599" s="36"/>
      <c r="R599" s="27"/>
    </row>
    <row r="600" spans="1:18" x14ac:dyDescent="0.3">
      <c r="A600" s="3" t="str">
        <f>Autovalutazione!A618</f>
        <v>11.8.</v>
      </c>
      <c r="B600" s="6" t="str">
        <f>Autovalutazione!C618</f>
        <v xml:space="preserve">Dall'esito dei colloqui di rientro si ricavano misure preventive? </v>
      </c>
      <c r="C600" s="38">
        <f>IF(ISBLANK(Autovalutazione!D619),0,1)</f>
        <v>0</v>
      </c>
      <c r="D600" s="293" t="str">
        <f>IF(AND(Autovalutazione!D619="",Autovalutazione!E619=""),"*","")</f>
        <v>*</v>
      </c>
      <c r="E600" s="39" t="str">
        <f>IF(ISBLANK(Autovalutazione!F619),"",Autovalutazione!F619)</f>
        <v/>
      </c>
      <c r="F600" s="235"/>
      <c r="G600" s="235"/>
      <c r="H600" s="235"/>
      <c r="I600" s="235"/>
      <c r="J600" s="235"/>
      <c r="K600" s="235"/>
      <c r="L600" s="229"/>
      <c r="M600" s="37">
        <v>1</v>
      </c>
      <c r="N600" s="27"/>
      <c r="O600" s="28">
        <f t="shared" si="102"/>
        <v>0</v>
      </c>
      <c r="P600" s="43">
        <f t="shared" si="106"/>
        <v>0</v>
      </c>
      <c r="Q600" s="36"/>
      <c r="R600" s="27"/>
    </row>
    <row r="601" spans="1:18" ht="26.4" x14ac:dyDescent="0.3">
      <c r="A601" s="3" t="str">
        <f>Autovalutazione!A619</f>
        <v>11.9.</v>
      </c>
      <c r="B601" s="6" t="str">
        <f>Autovalutazione!C619</f>
        <v xml:space="preserve">È stata definita una procedura da seguire in caso di assenze frequenti? </v>
      </c>
      <c r="C601" s="38">
        <f>IF(ISBLANK(Autovalutazione!D620),0,1)</f>
        <v>0</v>
      </c>
      <c r="D601" s="293" t="str">
        <f>IF(AND(Autovalutazione!D620="",Autovalutazione!E620=""),"*","")</f>
        <v>*</v>
      </c>
      <c r="E601" s="39" t="str">
        <f>IF(ISBLANK(Autovalutazione!F620),"",Autovalutazione!F620)</f>
        <v/>
      </c>
      <c r="F601" s="235"/>
      <c r="G601" s="235"/>
      <c r="H601" s="235"/>
      <c r="I601" s="235"/>
      <c r="J601" s="235"/>
      <c r="K601" s="235"/>
      <c r="L601" s="229"/>
      <c r="M601" s="37">
        <v>1</v>
      </c>
      <c r="N601" s="27"/>
      <c r="O601" s="28">
        <f t="shared" si="102"/>
        <v>0</v>
      </c>
      <c r="P601" s="43">
        <f t="shared" si="106"/>
        <v>0</v>
      </c>
      <c r="Q601" s="36"/>
      <c r="R601" s="27"/>
    </row>
    <row r="602" spans="1:18" ht="39.6" x14ac:dyDescent="0.3">
      <c r="A602" s="3" t="str">
        <f>Autovalutazione!A620</f>
        <v>11.10.</v>
      </c>
      <c r="B602" s="6" t="str">
        <f>Autovalutazione!C620</f>
        <v xml:space="preserve">I superiori diretti chiedono ai collaboratori infortunati o malati, durante la loro assenza, qual è il loro stato di salute e offrono loro sostegno? </v>
      </c>
      <c r="C602" s="38">
        <f>IF(ISBLANK(Autovalutazione!D621),0,1)</f>
        <v>0</v>
      </c>
      <c r="D602" s="293" t="str">
        <f>IF(AND(Autovalutazione!D621="",Autovalutazione!E621=""),"*","")</f>
        <v>*</v>
      </c>
      <c r="E602" s="39" t="str">
        <f>IF(ISBLANK(Autovalutazione!F621),"",Autovalutazione!F621)</f>
        <v/>
      </c>
      <c r="F602" s="235"/>
      <c r="G602" s="235"/>
      <c r="H602" s="235"/>
      <c r="I602" s="235"/>
      <c r="J602" s="235"/>
      <c r="K602" s="235"/>
      <c r="L602" s="229"/>
      <c r="M602" s="37">
        <v>1</v>
      </c>
      <c r="N602" s="27"/>
      <c r="O602" s="28">
        <f t="shared" si="102"/>
        <v>0</v>
      </c>
      <c r="P602" s="43">
        <f t="shared" si="106"/>
        <v>0</v>
      </c>
      <c r="Q602" s="36"/>
      <c r="R602" s="27"/>
    </row>
    <row r="603" spans="1:18" ht="52.8" x14ac:dyDescent="0.3">
      <c r="A603" s="3" t="str">
        <f>Autovalutazione!A621</f>
        <v>11.11.</v>
      </c>
      <c r="B603" s="6" t="str">
        <f>Autovalutazione!C621</f>
        <v xml:space="preserve">I quadri controllano con sistematicità se per i collaboratori infortunati o malati vi è la possibilità di lavorare a tempo parziale o di svolgere momentaneamente attività alternative (non affaticanti)? </v>
      </c>
      <c r="C603" s="38">
        <f>IF(ISBLANK(Autovalutazione!D622),0,1)</f>
        <v>0</v>
      </c>
      <c r="D603" s="293" t="str">
        <f>IF(AND(Autovalutazione!D622="",Autovalutazione!E622=""),"*","")</f>
        <v>*</v>
      </c>
      <c r="E603" s="39" t="str">
        <f>IF(ISBLANK(Autovalutazione!F622),"",Autovalutazione!F622)</f>
        <v/>
      </c>
      <c r="F603" s="235"/>
      <c r="G603" s="235"/>
      <c r="H603" s="235"/>
      <c r="I603" s="235"/>
      <c r="J603" s="235"/>
      <c r="K603" s="235"/>
      <c r="L603" s="229"/>
      <c r="M603" s="37">
        <v>1</v>
      </c>
      <c r="N603" s="27"/>
      <c r="O603" s="28">
        <f t="shared" si="102"/>
        <v>0</v>
      </c>
      <c r="P603" s="43">
        <f t="shared" ref="P603:P604" si="107">L603*M603</f>
        <v>0</v>
      </c>
      <c r="Q603" s="36"/>
      <c r="R603" s="27"/>
    </row>
    <row r="604" spans="1:18" ht="26.4" x14ac:dyDescent="0.3">
      <c r="A604" s="228" t="str">
        <f>Autovalutazione!A622</f>
        <v>11.12.</v>
      </c>
      <c r="B604" s="6" t="str">
        <f>Autovalutazione!C622</f>
        <v xml:space="preserve">I medici curanti vengono informati dell'eventualità di un lavoro a tempo parziale o di attività alternative? </v>
      </c>
      <c r="C604" s="38">
        <f>IF(ISBLANK(Autovalutazione!D623),0,1)</f>
        <v>0</v>
      </c>
      <c r="D604" s="293" t="str">
        <f>IF(AND(Autovalutazione!D623="",Autovalutazione!E623=""),"*","")</f>
        <v>*</v>
      </c>
      <c r="E604" s="39" t="str">
        <f>IF(ISBLANK(Autovalutazione!F623),"",Autovalutazione!F623)</f>
        <v/>
      </c>
      <c r="F604" s="235"/>
      <c r="G604" s="235"/>
      <c r="H604" s="235"/>
      <c r="I604" s="235"/>
      <c r="J604" s="235"/>
      <c r="K604" s="235"/>
      <c r="L604" s="229"/>
      <c r="M604" s="37">
        <v>1</v>
      </c>
      <c r="N604" s="27"/>
      <c r="O604" s="28">
        <f t="shared" si="102"/>
        <v>0</v>
      </c>
      <c r="P604" s="43">
        <f t="shared" si="107"/>
        <v>0</v>
      </c>
      <c r="Q604" s="36"/>
      <c r="R604" s="27"/>
    </row>
    <row r="605" spans="1:18" ht="39.6" x14ac:dyDescent="0.3">
      <c r="A605" s="228" t="str">
        <f>Autovalutazione!A623</f>
        <v>11.13.a</v>
      </c>
      <c r="B605" s="6" t="str">
        <f>Autovalutazione!C623</f>
        <v>Nelle loro attività di assistenza e reinserimento, i quadri ricevono sostegno:
dalla divisione delle risorse umane?</v>
      </c>
      <c r="C605" s="38">
        <f>IF(ISBLANK(Autovalutazione!D624),0,1)</f>
        <v>0</v>
      </c>
      <c r="D605" s="293" t="str">
        <f>IF(AND(Autovalutazione!D624="",Autovalutazione!E624=""),"*","")</f>
        <v>*</v>
      </c>
      <c r="E605" s="39" t="str">
        <f>IF(ISBLANK(Autovalutazione!F624),"",Autovalutazione!F624)</f>
        <v/>
      </c>
      <c r="F605" s="235"/>
      <c r="G605" s="235"/>
      <c r="H605" s="235"/>
      <c r="I605" s="235"/>
      <c r="J605" s="235"/>
      <c r="K605" s="235"/>
      <c r="L605" s="229"/>
      <c r="M605" s="37">
        <v>1</v>
      </c>
      <c r="N605" s="27"/>
      <c r="O605" s="28">
        <f t="shared" si="102"/>
        <v>0</v>
      </c>
      <c r="P605" s="43">
        <f t="shared" ref="P605" si="108">L605*M605</f>
        <v>0</v>
      </c>
      <c r="Q605" s="36"/>
      <c r="R605" s="27"/>
    </row>
    <row r="606" spans="1:18" x14ac:dyDescent="0.3">
      <c r="A606" s="228" t="str">
        <f>Autovalutazione!A624</f>
        <v>11.13.b</v>
      </c>
      <c r="B606" s="6" t="str">
        <f>Autovalutazione!C624</f>
        <v>da altre unità organizzative? Se sì, quale?</v>
      </c>
      <c r="C606" s="38">
        <f>IF(ISBLANK(Autovalutazione!D625),0,1)</f>
        <v>0</v>
      </c>
      <c r="D606" s="293" t="str">
        <f>IF(AND(Autovalutazione!D625="",Autovalutazione!E625=""),"*","")</f>
        <v>*</v>
      </c>
      <c r="E606" s="39" t="str">
        <f>IF(ISBLANK(Autovalutazione!F625),"",Autovalutazione!F625)</f>
        <v/>
      </c>
      <c r="F606" s="235"/>
      <c r="G606" s="235"/>
      <c r="H606" s="235"/>
      <c r="I606" s="235"/>
      <c r="J606" s="235"/>
      <c r="K606" s="235"/>
      <c r="L606" s="229"/>
      <c r="M606" s="37">
        <v>1</v>
      </c>
      <c r="N606" s="27"/>
      <c r="O606" s="28">
        <f t="shared" si="102"/>
        <v>0</v>
      </c>
      <c r="P606" s="43">
        <f t="shared" ref="P606" si="109">L606*M606</f>
        <v>0</v>
      </c>
      <c r="Q606" s="36"/>
      <c r="R606" s="27"/>
    </row>
    <row r="607" spans="1:18" x14ac:dyDescent="0.3">
      <c r="A607" s="34" t="str">
        <f>Autovalutazione!A626</f>
        <v>12</v>
      </c>
      <c r="B607" s="7" t="str">
        <f>Autovalutazione!B626</f>
        <v>Sicurezza nel tempo libero (parte facoltativa)</v>
      </c>
      <c r="C607" s="30">
        <f>O607/N607</f>
        <v>0</v>
      </c>
      <c r="D607" s="18"/>
      <c r="E607" s="18"/>
      <c r="F607" s="18"/>
      <c r="G607" s="18"/>
      <c r="H607" s="18"/>
      <c r="I607" s="18"/>
      <c r="J607" s="18"/>
      <c r="K607" s="18"/>
      <c r="L607" s="231">
        <f>P607/N607</f>
        <v>0</v>
      </c>
      <c r="M607" s="5"/>
      <c r="N607" s="5">
        <f>SUM(M608:M628)</f>
        <v>20</v>
      </c>
      <c r="O607" s="4">
        <f>SUM(O608:O628)</f>
        <v>0</v>
      </c>
      <c r="P607" s="4">
        <f>SUM(P608:P628)</f>
        <v>0</v>
      </c>
      <c r="Q607" s="35"/>
      <c r="R607" s="35"/>
    </row>
    <row r="608" spans="1:18" ht="39.6" x14ac:dyDescent="0.3">
      <c r="A608" s="3" t="str">
        <f>Autovalutazione!A628</f>
        <v>12.1.</v>
      </c>
      <c r="B608" s="6" t="str">
        <f>Autovalutazione!C628</f>
        <v xml:space="preserve">La direzione aziendale ha esplicitamente dichiarato di voler aiutare i collaboratori ad adottare uno stile di vita sano e sicuro nel loro tempo libero? </v>
      </c>
      <c r="C608" s="38">
        <f>IF(ISBLANK(Autovalutazione!D629),0,1)</f>
        <v>0</v>
      </c>
      <c r="D608" s="293" t="str">
        <f>IF(AND(Autovalutazione!D629="",Autovalutazione!E629=""),"*","")</f>
        <v>*</v>
      </c>
      <c r="E608" s="39" t="str">
        <f>IF(ISBLANK(Autovalutazione!F629),"",Autovalutazione!F629)</f>
        <v/>
      </c>
      <c r="F608" s="235"/>
      <c r="G608" s="235"/>
      <c r="H608" s="235"/>
      <c r="I608" s="235"/>
      <c r="J608" s="235"/>
      <c r="K608" s="235"/>
      <c r="L608" s="229"/>
      <c r="M608" s="37">
        <v>1</v>
      </c>
      <c r="N608" s="27"/>
      <c r="O608" s="28">
        <f t="shared" ref="O608:O628" si="110">C608*M608</f>
        <v>0</v>
      </c>
      <c r="P608" s="43">
        <f t="shared" ref="P608:P626" si="111">L608*M608</f>
        <v>0</v>
      </c>
      <c r="Q608" s="36"/>
      <c r="R608" s="27"/>
    </row>
    <row r="609" spans="1:18" ht="26.4" x14ac:dyDescent="0.3">
      <c r="A609" s="3" t="str">
        <f>Autovalutazione!A629</f>
        <v>12.2.</v>
      </c>
      <c r="B609" s="6" t="str">
        <f>Autovalutazione!C629</f>
        <v xml:space="preserve">È previsto un budget per i progetti di sicurezza nel tempo libero? </v>
      </c>
      <c r="C609" s="38">
        <f>IF(ISBLANK(Autovalutazione!D630),0,1)</f>
        <v>0</v>
      </c>
      <c r="D609" s="293" t="str">
        <f>IF(AND(Autovalutazione!D630="",Autovalutazione!E630=""),"*","")</f>
        <v>*</v>
      </c>
      <c r="E609" s="39" t="str">
        <f>IF(ISBLANK(Autovalutazione!F630),"",Autovalutazione!F630)</f>
        <v/>
      </c>
      <c r="F609" s="235"/>
      <c r="G609" s="235"/>
      <c r="H609" s="235"/>
      <c r="I609" s="235"/>
      <c r="J609" s="235"/>
      <c r="K609" s="235"/>
      <c r="L609" s="229"/>
      <c r="M609" s="37">
        <v>1</v>
      </c>
      <c r="N609" s="27"/>
      <c r="O609" s="28">
        <f t="shared" si="110"/>
        <v>0</v>
      </c>
      <c r="P609" s="43">
        <f t="shared" si="111"/>
        <v>0</v>
      </c>
      <c r="Q609" s="36"/>
      <c r="R609" s="27"/>
    </row>
    <row r="610" spans="1:18" ht="39.6" x14ac:dyDescent="0.3">
      <c r="A610" s="3" t="str">
        <f>Autovalutazione!A630</f>
        <v>12.3.</v>
      </c>
      <c r="B610" s="6" t="str">
        <f>Autovalutazione!C630</f>
        <v xml:space="preserve">Vi sono responsabili o gruppi di lavoro che pianificano e coordinano le misure di prevenzione degli infortuni nel tempo libero? </v>
      </c>
      <c r="C610" s="38">
        <f>IF(ISBLANK(Autovalutazione!D631),0,1)</f>
        <v>0</v>
      </c>
      <c r="D610" s="293" t="str">
        <f>IF(AND(Autovalutazione!D631="",Autovalutazione!E631=""),"*","")</f>
        <v>*</v>
      </c>
      <c r="E610" s="39" t="str">
        <f>IF(ISBLANK(Autovalutazione!F631),"",Autovalutazione!F631)</f>
        <v/>
      </c>
      <c r="F610" s="235"/>
      <c r="G610" s="235"/>
      <c r="H610" s="235"/>
      <c r="I610" s="235"/>
      <c r="J610" s="235"/>
      <c r="K610" s="235"/>
      <c r="L610" s="229"/>
      <c r="M610" s="37">
        <v>1</v>
      </c>
      <c r="N610" s="27"/>
      <c r="O610" s="28">
        <f t="shared" si="110"/>
        <v>0</v>
      </c>
      <c r="P610" s="43">
        <f t="shared" si="111"/>
        <v>0</v>
      </c>
      <c r="Q610" s="36"/>
      <c r="R610" s="27"/>
    </row>
    <row r="611" spans="1:18" ht="39.6" x14ac:dyDescent="0.3">
      <c r="A611" s="3" t="str">
        <f>Autovalutazione!A631</f>
        <v>12.4.</v>
      </c>
      <c r="B611" s="6" t="str">
        <f>Autovalutazione!C631</f>
        <v xml:space="preserve">I responsabili o i membri del gruppo di lavoro hanno una formazione in materia di prevenzione degli infortuni nel tempo libero (per es. corsi Suva, upi, ecc.)? </v>
      </c>
      <c r="C611" s="38">
        <f>IF(ISBLANK(Autovalutazione!D632),0,1)</f>
        <v>0</v>
      </c>
      <c r="D611" s="293" t="str">
        <f>IF(AND(Autovalutazione!D632="",Autovalutazione!E632=""),"*","")</f>
        <v>*</v>
      </c>
      <c r="E611" s="39" t="str">
        <f>IF(ISBLANK(Autovalutazione!F632),"",Autovalutazione!F632)</f>
        <v/>
      </c>
      <c r="F611" s="235"/>
      <c r="G611" s="235"/>
      <c r="H611" s="235"/>
      <c r="I611" s="235"/>
      <c r="J611" s="235"/>
      <c r="K611" s="235"/>
      <c r="L611" s="229"/>
      <c r="M611" s="37">
        <v>1</v>
      </c>
      <c r="N611" s="27"/>
      <c r="O611" s="28">
        <f t="shared" si="110"/>
        <v>0</v>
      </c>
      <c r="P611" s="43">
        <f t="shared" si="111"/>
        <v>0</v>
      </c>
      <c r="Q611" s="36"/>
      <c r="R611" s="27"/>
    </row>
    <row r="612" spans="1:18" ht="39.6" x14ac:dyDescent="0.3">
      <c r="A612" s="3" t="str">
        <f>Autovalutazione!A632</f>
        <v>12.5.</v>
      </c>
      <c r="B612" s="6" t="str">
        <f>Autovalutazione!C632</f>
        <v xml:space="preserve">I collaboratori vengono periodicamente informati in azienda sulle dinamiche degli infortuni nel tempo libero (tramite riunioni, rivista, Intranet, e-mail, albo ecc.)? </v>
      </c>
      <c r="C612" s="38">
        <f>IF(ISBLANK(Autovalutazione!D633),0,1)</f>
        <v>0</v>
      </c>
      <c r="D612" s="293" t="str">
        <f>IF(AND(Autovalutazione!D633="",Autovalutazione!E633=""),"*","")</f>
        <v>*</v>
      </c>
      <c r="E612" s="39" t="str">
        <f>IF(ISBLANK(Autovalutazione!F633),"",Autovalutazione!F633)</f>
        <v/>
      </c>
      <c r="F612" s="235"/>
      <c r="G612" s="235"/>
      <c r="H612" s="235"/>
      <c r="I612" s="235"/>
      <c r="J612" s="235"/>
      <c r="K612" s="235"/>
      <c r="L612" s="229"/>
      <c r="M612" s="37">
        <v>1</v>
      </c>
      <c r="N612" s="27"/>
      <c r="O612" s="28">
        <f t="shared" si="110"/>
        <v>0</v>
      </c>
      <c r="P612" s="43">
        <f t="shared" si="111"/>
        <v>0</v>
      </c>
      <c r="Q612" s="36"/>
      <c r="R612" s="27"/>
    </row>
    <row r="613" spans="1:18" ht="26.4" x14ac:dyDescent="0.3">
      <c r="A613" s="3" t="str">
        <f>Autovalutazione!A633</f>
        <v>12.6.a</v>
      </c>
      <c r="B613" s="6" t="str">
        <f>Autovalutazione!C633</f>
        <v>Gli infortuni nel tempo libero vengono:
registrati?</v>
      </c>
      <c r="C613" s="38">
        <f>IF(ISBLANK(Autovalutazione!D634),0,1)</f>
        <v>0</v>
      </c>
      <c r="D613" s="293" t="str">
        <f>IF(AND(Autovalutazione!D634="",Autovalutazione!E634=""),"*","")</f>
        <v>*</v>
      </c>
      <c r="E613" s="39" t="str">
        <f>IF(ISBLANK(Autovalutazione!F634),"",Autovalutazione!F634)</f>
        <v/>
      </c>
      <c r="F613" s="235"/>
      <c r="G613" s="235"/>
      <c r="H613" s="235"/>
      <c r="I613" s="235"/>
      <c r="J613" s="235"/>
      <c r="K613" s="235"/>
      <c r="L613" s="229"/>
      <c r="M613" s="37">
        <v>1</v>
      </c>
      <c r="N613" s="27"/>
      <c r="O613" s="28">
        <f t="shared" si="110"/>
        <v>0</v>
      </c>
      <c r="P613" s="43">
        <f t="shared" si="111"/>
        <v>0</v>
      </c>
      <c r="Q613" s="36"/>
      <c r="R613" s="27"/>
    </row>
    <row r="614" spans="1:18" x14ac:dyDescent="0.3">
      <c r="A614" s="3" t="str">
        <f>Autovalutazione!A634</f>
        <v>12.6.b</v>
      </c>
      <c r="B614" s="6" t="str">
        <f>Autovalutazione!C634</f>
        <v>analizzati?</v>
      </c>
      <c r="C614" s="38">
        <f>IF(ISBLANK(Autovalutazione!D635),0,1)</f>
        <v>0</v>
      </c>
      <c r="D614" s="293" t="str">
        <f>IF(AND(Autovalutazione!D635="",Autovalutazione!E635=""),"*","")</f>
        <v>*</v>
      </c>
      <c r="E614" s="39" t="str">
        <f>IF(ISBLANK(Autovalutazione!F635),"",Autovalutazione!F635)</f>
        <v/>
      </c>
      <c r="F614" s="235"/>
      <c r="G614" s="235"/>
      <c r="H614" s="235"/>
      <c r="I614" s="235"/>
      <c r="J614" s="235"/>
      <c r="K614" s="235"/>
      <c r="L614" s="229"/>
      <c r="M614" s="37">
        <v>1</v>
      </c>
      <c r="N614" s="27"/>
      <c r="O614" s="28">
        <f t="shared" si="110"/>
        <v>0</v>
      </c>
      <c r="P614" s="43">
        <f t="shared" si="111"/>
        <v>0</v>
      </c>
      <c r="Q614" s="36"/>
      <c r="R614" s="27"/>
    </row>
    <row r="615" spans="1:18" x14ac:dyDescent="0.3">
      <c r="A615" s="3" t="str">
        <f>Autovalutazione!A635</f>
        <v>12.6.c</v>
      </c>
      <c r="B615" s="6" t="str">
        <f>Autovalutazione!C635</f>
        <v>valutati?</v>
      </c>
      <c r="C615" s="38">
        <f>IF(ISBLANK(Autovalutazione!D636),0,1)</f>
        <v>0</v>
      </c>
      <c r="D615" s="293" t="str">
        <f>IF(AND(Autovalutazione!D636="",Autovalutazione!E636=""),"*","")</f>
        <v>*</v>
      </c>
      <c r="E615" s="39" t="str">
        <f>IF(ISBLANK(Autovalutazione!F636),"",Autovalutazione!F636)</f>
        <v/>
      </c>
      <c r="F615" s="235"/>
      <c r="G615" s="235"/>
      <c r="H615" s="235"/>
      <c r="I615" s="235"/>
      <c r="J615" s="235"/>
      <c r="K615" s="235"/>
      <c r="L615" s="229"/>
      <c r="M615" s="37">
        <v>1</v>
      </c>
      <c r="N615" s="27"/>
      <c r="O615" s="28">
        <f t="shared" si="110"/>
        <v>0</v>
      </c>
      <c r="P615" s="43">
        <f t="shared" si="111"/>
        <v>0</v>
      </c>
      <c r="Q615" s="36"/>
      <c r="R615" s="27"/>
    </row>
    <row r="616" spans="1:18" x14ac:dyDescent="0.3">
      <c r="A616" s="3" t="str">
        <f>Autovalutazione!A636</f>
        <v>12.6.d</v>
      </c>
      <c r="B616" s="6" t="str">
        <f>Autovalutazione!C636</f>
        <v xml:space="preserve">comunicati? </v>
      </c>
      <c r="C616" s="38">
        <f>IF(ISBLANK(Autovalutazione!D637),0,1)</f>
        <v>0</v>
      </c>
      <c r="D616" s="293" t="str">
        <f>IF(AND(Autovalutazione!D637="",Autovalutazione!E637=""),"*","")</f>
        <v>*</v>
      </c>
      <c r="E616" s="39" t="str">
        <f>IF(ISBLANK(Autovalutazione!F637),"",Autovalutazione!F637)</f>
        <v/>
      </c>
      <c r="F616" s="235"/>
      <c r="G616" s="235"/>
      <c r="H616" s="235"/>
      <c r="I616" s="235"/>
      <c r="J616" s="235"/>
      <c r="K616" s="235"/>
      <c r="L616" s="229"/>
      <c r="M616" s="37">
        <v>1</v>
      </c>
      <c r="N616" s="27"/>
      <c r="O616" s="28">
        <f t="shared" si="110"/>
        <v>0</v>
      </c>
      <c r="P616" s="43">
        <f t="shared" si="111"/>
        <v>0</v>
      </c>
      <c r="Q616" s="36"/>
      <c r="R616" s="27"/>
    </row>
    <row r="617" spans="1:18" ht="26.4" x14ac:dyDescent="0.3">
      <c r="A617" s="3" t="str">
        <f>Autovalutazione!A637</f>
        <v>12.7.</v>
      </c>
      <c r="B617" s="6" t="str">
        <f>Autovalutazione!C637</f>
        <v>Dagli infortuni nel tempo libero si deducono eventuali ambiti di intervento?</v>
      </c>
      <c r="C617" s="38">
        <f>IF(ISBLANK(Autovalutazione!D638),0,1)</f>
        <v>0</v>
      </c>
      <c r="D617" s="293" t="str">
        <f>IF(AND(Autovalutazione!D638="",Autovalutazione!E638=""),"*","")</f>
        <v>*</v>
      </c>
      <c r="E617" s="39" t="str">
        <f>IF(ISBLANK(Autovalutazione!F638),"",Autovalutazione!F638)</f>
        <v/>
      </c>
      <c r="F617" s="235"/>
      <c r="G617" s="235"/>
      <c r="H617" s="235"/>
      <c r="I617" s="235"/>
      <c r="J617" s="235"/>
      <c r="K617" s="235"/>
      <c r="L617" s="229"/>
      <c r="M617" s="37">
        <v>1</v>
      </c>
      <c r="N617" s="27"/>
      <c r="O617" s="28">
        <f t="shared" si="110"/>
        <v>0</v>
      </c>
      <c r="P617" s="43">
        <f t="shared" si="111"/>
        <v>0</v>
      </c>
      <c r="Q617" s="36"/>
      <c r="R617" s="27"/>
    </row>
    <row r="618" spans="1:18" ht="39.6" x14ac:dyDescent="0.3">
      <c r="A618" s="3" t="str">
        <f>Autovalutazione!A638</f>
        <v>12.8.</v>
      </c>
      <c r="B618" s="6" t="str">
        <f>Autovalutazione!C638</f>
        <v xml:space="preserve">Vi sono categorie di lavoratori (coll. giovani, anziani, uomini, donne) che causano un numero particolarmente elevato di infortuni? </v>
      </c>
      <c r="C618" s="38">
        <f>IF(ISBLANK(Autovalutazione!D639),0,1)</f>
        <v>0</v>
      </c>
      <c r="D618" s="293" t="str">
        <f>IF(AND(Autovalutazione!D639="",Autovalutazione!E639=""),"*","")</f>
        <v>*</v>
      </c>
      <c r="E618" s="39" t="str">
        <f>IF(ISBLANK(Autovalutazione!F639),"",Autovalutazione!F639)</f>
        <v/>
      </c>
      <c r="F618" s="235"/>
      <c r="G618" s="235"/>
      <c r="H618" s="235"/>
      <c r="I618" s="235"/>
      <c r="J618" s="235"/>
      <c r="K618" s="235"/>
      <c r="L618" s="229"/>
      <c r="M618" s="37">
        <v>1</v>
      </c>
      <c r="N618" s="27"/>
      <c r="O618" s="28">
        <f t="shared" si="110"/>
        <v>0</v>
      </c>
      <c r="P618" s="43">
        <f t="shared" si="111"/>
        <v>0</v>
      </c>
      <c r="Q618" s="36"/>
      <c r="R618" s="27"/>
    </row>
    <row r="619" spans="1:18" x14ac:dyDescent="0.3">
      <c r="A619" s="3" t="str">
        <f>Autovalutazione!A639</f>
        <v>12.9.</v>
      </c>
      <c r="B619" s="6" t="str">
        <f>Autovalutazione!C639</f>
        <v xml:space="preserve">L'azienda ha associazioni sportive proprie? </v>
      </c>
      <c r="C619" s="38">
        <f>IF(ISBLANK(Autovalutazione!D640),0,1)</f>
        <v>0</v>
      </c>
      <c r="D619" s="293" t="str">
        <f>IF(AND(Autovalutazione!D640="",Autovalutazione!E640=""),"*","")</f>
        <v>*</v>
      </c>
      <c r="E619" s="39" t="str">
        <f>IF(ISBLANK(Autovalutazione!F640),"",Autovalutazione!F640)</f>
        <v/>
      </c>
      <c r="F619" s="235"/>
      <c r="G619" s="235"/>
      <c r="H619" s="235"/>
      <c r="I619" s="235"/>
      <c r="J619" s="235"/>
      <c r="K619" s="235"/>
      <c r="L619" s="229"/>
      <c r="M619" s="37">
        <v>1</v>
      </c>
      <c r="N619" s="27"/>
      <c r="O619" s="28">
        <f t="shared" si="110"/>
        <v>0</v>
      </c>
      <c r="P619" s="43">
        <f t="shared" si="111"/>
        <v>0</v>
      </c>
      <c r="Q619" s="36"/>
      <c r="R619" s="27"/>
    </row>
    <row r="620" spans="1:18" ht="52.8" x14ac:dyDescent="0.3">
      <c r="A620" s="3" t="str">
        <f>Autovalutazione!A640</f>
        <v>12.10.</v>
      </c>
      <c r="B620" s="6" t="str">
        <f>Autovalutazione!C640</f>
        <v>Vi sono collaboratori all'interno dell'azienda che possiedono buone conoscenze e abilità sportive (per es. allenatori di calcio, responsabili di gruppi podistici, istruttori di fitness ecc.)?</v>
      </c>
      <c r="C620" s="38">
        <f>IF(ISBLANK(Autovalutazione!D641),0,1)</f>
        <v>0</v>
      </c>
      <c r="D620" s="293" t="str">
        <f>IF(AND(Autovalutazione!D641="",Autovalutazione!E641=""),"*","")</f>
        <v>*</v>
      </c>
      <c r="E620" s="39" t="str">
        <f>IF(ISBLANK(Autovalutazione!F641),"",Autovalutazione!F641)</f>
        <v/>
      </c>
      <c r="F620" s="235"/>
      <c r="G620" s="235"/>
      <c r="H620" s="235"/>
      <c r="I620" s="235"/>
      <c r="J620" s="235"/>
      <c r="K620" s="235"/>
      <c r="L620" s="229"/>
      <c r="M620" s="37"/>
      <c r="N620" s="27"/>
      <c r="O620" s="28">
        <f t="shared" si="110"/>
        <v>0</v>
      </c>
      <c r="P620" s="43">
        <f t="shared" si="111"/>
        <v>0</v>
      </c>
      <c r="Q620" s="36"/>
      <c r="R620" s="27"/>
    </row>
    <row r="621" spans="1:18" ht="39.6" x14ac:dyDescent="0.3">
      <c r="A621" s="3" t="str">
        <f>Autovalutazione!A641</f>
        <v>12.11.a</v>
      </c>
      <c r="B621" s="6" t="str">
        <f>Autovalutazione!C641</f>
        <v xml:space="preserve">Si sono già svolti progetti o sono state adottate misure in azienda per promuovere la sicurezza nel tempo libero? Se sì, quali tematiche generali sono state affrontate? </v>
      </c>
      <c r="C621" s="38">
        <f>IF(ISBLANK(Autovalutazione!D642),0,1)</f>
        <v>0</v>
      </c>
      <c r="D621" s="293" t="str">
        <f>IF(AND(Autovalutazione!D642="",Autovalutazione!E642=""),"*","")</f>
        <v>*</v>
      </c>
      <c r="E621" s="39" t="str">
        <f>IF(ISBLANK(Autovalutazione!F642),"",Autovalutazione!F642)</f>
        <v/>
      </c>
      <c r="F621" s="235"/>
      <c r="G621" s="235"/>
      <c r="H621" s="235"/>
      <c r="I621" s="235"/>
      <c r="J621" s="235"/>
      <c r="K621" s="235"/>
      <c r="L621" s="229"/>
      <c r="M621" s="37">
        <v>1</v>
      </c>
      <c r="N621" s="27"/>
      <c r="O621" s="28">
        <f t="shared" si="110"/>
        <v>0</v>
      </c>
      <c r="P621" s="43">
        <f t="shared" si="111"/>
        <v>0</v>
      </c>
      <c r="Q621" s="36"/>
      <c r="R621" s="27"/>
    </row>
    <row r="622" spans="1:18" x14ac:dyDescent="0.3">
      <c r="A622" s="3" t="str">
        <f>Autovalutazione!A642</f>
        <v>12.11.b</v>
      </c>
      <c r="B622" s="6" t="str">
        <f>Autovalutazione!C642</f>
        <v xml:space="preserve">rischio di inciampare e cadere (cadute in piano)? </v>
      </c>
      <c r="C622" s="38">
        <f>IF(ISBLANK(Autovalutazione!D643),0,1)</f>
        <v>0</v>
      </c>
      <c r="D622" s="293" t="str">
        <f>IF(AND(Autovalutazione!D643="",Autovalutazione!E643=""),"*","")</f>
        <v>*</v>
      </c>
      <c r="E622" s="39" t="str">
        <f>IF(ISBLANK(Autovalutazione!F643),"",Autovalutazione!F643)</f>
        <v/>
      </c>
      <c r="F622" s="235"/>
      <c r="G622" s="235"/>
      <c r="H622" s="235"/>
      <c r="I622" s="235"/>
      <c r="J622" s="235"/>
      <c r="K622" s="235"/>
      <c r="L622" s="229"/>
      <c r="M622" s="37">
        <v>1</v>
      </c>
      <c r="N622" s="27"/>
      <c r="O622" s="28">
        <f t="shared" si="110"/>
        <v>0</v>
      </c>
      <c r="P622" s="43">
        <f t="shared" si="111"/>
        <v>0</v>
      </c>
      <c r="Q622" s="36"/>
      <c r="R622" s="27"/>
    </row>
    <row r="623" spans="1:18" x14ac:dyDescent="0.3">
      <c r="A623" s="3" t="str">
        <f>Autovalutazione!A643</f>
        <v>12.11.c</v>
      </c>
      <c r="B623" s="6" t="str">
        <f>Autovalutazione!C643</f>
        <v>sport con la palla?</v>
      </c>
      <c r="C623" s="38">
        <f>IF(ISBLANK(Autovalutazione!D644),0,1)</f>
        <v>0</v>
      </c>
      <c r="D623" s="293" t="str">
        <f>IF(AND(Autovalutazione!D644="",Autovalutazione!E644=""),"*","")</f>
        <v>*</v>
      </c>
      <c r="E623" s="39" t="str">
        <f>IF(ISBLANK(Autovalutazione!F644),"",Autovalutazione!F644)</f>
        <v/>
      </c>
      <c r="F623" s="235"/>
      <c r="G623" s="235"/>
      <c r="H623" s="235"/>
      <c r="I623" s="235"/>
      <c r="J623" s="235"/>
      <c r="K623" s="235"/>
      <c r="L623" s="229"/>
      <c r="M623" s="37">
        <v>1</v>
      </c>
      <c r="N623" s="27"/>
      <c r="O623" s="28">
        <f t="shared" si="110"/>
        <v>0</v>
      </c>
      <c r="P623" s="43">
        <f t="shared" si="111"/>
        <v>0</v>
      </c>
      <c r="Q623" s="36"/>
      <c r="R623" s="27"/>
    </row>
    <row r="624" spans="1:18" x14ac:dyDescent="0.3">
      <c r="A624" s="3" t="str">
        <f>Autovalutazione!A644</f>
        <v>12.11.d</v>
      </c>
      <c r="B624" s="6" t="str">
        <f>Autovalutazione!C644</f>
        <v>sport invernali?</v>
      </c>
      <c r="C624" s="38">
        <f>IF(ISBLANK(Autovalutazione!D645),0,1)</f>
        <v>0</v>
      </c>
      <c r="D624" s="293" t="str">
        <f>IF(AND(Autovalutazione!D645="",Autovalutazione!E645=""),"*","")</f>
        <v>*</v>
      </c>
      <c r="E624" s="39" t="str">
        <f>IF(ISBLANK(Autovalutazione!F645),"",Autovalutazione!F645)</f>
        <v/>
      </c>
      <c r="F624" s="235"/>
      <c r="G624" s="235"/>
      <c r="H624" s="235"/>
      <c r="I624" s="235"/>
      <c r="J624" s="235"/>
      <c r="K624" s="235"/>
      <c r="L624" s="229"/>
      <c r="M624" s="37">
        <v>1</v>
      </c>
      <c r="N624" s="27"/>
      <c r="O624" s="28">
        <f t="shared" si="110"/>
        <v>0</v>
      </c>
      <c r="P624" s="43">
        <f t="shared" si="111"/>
        <v>0</v>
      </c>
      <c r="Q624" s="36"/>
      <c r="R624" s="27"/>
    </row>
    <row r="625" spans="1:18" x14ac:dyDescent="0.3">
      <c r="A625" s="3" t="str">
        <f>Autovalutazione!A645</f>
        <v>12.11.e</v>
      </c>
      <c r="B625" s="6" t="str">
        <f>Autovalutazione!C645</f>
        <v>casa e giardino?</v>
      </c>
      <c r="C625" s="38">
        <f>IF(ISBLANK(Autovalutazione!D646),0,1)</f>
        <v>0</v>
      </c>
      <c r="D625" s="293" t="str">
        <f>IF(AND(Autovalutazione!D646="",Autovalutazione!E646=""),"*","")</f>
        <v>*</v>
      </c>
      <c r="E625" s="39" t="str">
        <f>IF(ISBLANK(Autovalutazione!F646),"",Autovalutazione!F646)</f>
        <v/>
      </c>
      <c r="F625" s="235"/>
      <c r="G625" s="235"/>
      <c r="H625" s="235"/>
      <c r="I625" s="235"/>
      <c r="J625" s="235"/>
      <c r="K625" s="235"/>
      <c r="L625" s="229"/>
      <c r="M625" s="37">
        <v>1</v>
      </c>
      <c r="N625" s="27"/>
      <c r="O625" s="28">
        <f t="shared" si="110"/>
        <v>0</v>
      </c>
      <c r="P625" s="43">
        <f t="shared" si="111"/>
        <v>0</v>
      </c>
      <c r="Q625" s="36"/>
      <c r="R625" s="27"/>
    </row>
    <row r="626" spans="1:18" x14ac:dyDescent="0.3">
      <c r="A626" s="3" t="str">
        <f>Autovalutazione!A646</f>
        <v>12.11.f</v>
      </c>
      <c r="B626" s="6" t="str">
        <f>Autovalutazione!C646</f>
        <v xml:space="preserve">altro? </v>
      </c>
      <c r="C626" s="38">
        <f>IF(ISBLANK(Autovalutazione!D647),0,1)</f>
        <v>0</v>
      </c>
      <c r="D626" s="293" t="str">
        <f>IF(AND(Autovalutazione!D647="",Autovalutazione!E647=""),"*","")</f>
        <v>*</v>
      </c>
      <c r="E626" s="39" t="str">
        <f>IF(ISBLANK(Autovalutazione!F647),"",Autovalutazione!F647)</f>
        <v/>
      </c>
      <c r="F626" s="235"/>
      <c r="G626" s="235"/>
      <c r="H626" s="235"/>
      <c r="I626" s="235"/>
      <c r="J626" s="235"/>
      <c r="K626" s="235"/>
      <c r="L626" s="229"/>
      <c r="M626" s="37">
        <v>1</v>
      </c>
      <c r="N626" s="27"/>
      <c r="O626" s="28">
        <f t="shared" si="110"/>
        <v>0</v>
      </c>
      <c r="P626" s="43">
        <f t="shared" si="111"/>
        <v>0</v>
      </c>
      <c r="Q626" s="36"/>
      <c r="R626" s="27"/>
    </row>
    <row r="627" spans="1:18" ht="26.4" x14ac:dyDescent="0.3">
      <c r="A627" s="3" t="str">
        <f>Autovalutazione!A647</f>
        <v>12.12.</v>
      </c>
      <c r="B627" s="6" t="str">
        <f>Autovalutazione!C647</f>
        <v xml:space="preserve">Con le misure / i progetti sulla sicurezza nel tempo libero si intende raggiungere obiettivi concreti? Se sì, quali? </v>
      </c>
      <c r="C627" s="38">
        <f>IF(ISBLANK(Autovalutazione!D648),0,1)</f>
        <v>0</v>
      </c>
      <c r="D627" s="293" t="str">
        <f>IF(AND(Autovalutazione!D648="",Autovalutazione!E648=""),"*","")</f>
        <v>*</v>
      </c>
      <c r="E627" s="39" t="str">
        <f>IF(ISBLANK(Autovalutazione!F648),"",Autovalutazione!F648)</f>
        <v/>
      </c>
      <c r="F627" s="235"/>
      <c r="G627" s="235"/>
      <c r="H627" s="235"/>
      <c r="I627" s="235"/>
      <c r="J627" s="235"/>
      <c r="K627" s="235"/>
      <c r="L627" s="229"/>
      <c r="M627" s="37">
        <v>1</v>
      </c>
      <c r="N627" s="27"/>
      <c r="O627" s="28">
        <f t="shared" si="110"/>
        <v>0</v>
      </c>
      <c r="P627" s="43">
        <f t="shared" ref="P627" si="112">L627*M627</f>
        <v>0</v>
      </c>
      <c r="Q627" s="36"/>
      <c r="R627" s="27"/>
    </row>
    <row r="628" spans="1:18" ht="26.4" x14ac:dyDescent="0.3">
      <c r="A628" s="3" t="str">
        <f>Autovalutazione!A648</f>
        <v>12.13.</v>
      </c>
      <c r="B628" s="6" t="str">
        <f>Autovalutazione!C648</f>
        <v xml:space="preserve">Tali misure / progetti sono sottoposti a valutazione da cui poi si ricavano insegnamenti preziosi per misure / progetti futuri? </v>
      </c>
      <c r="C628" s="38">
        <f>IF(ISBLANK(Autovalutazione!D649),0,1)</f>
        <v>0</v>
      </c>
      <c r="D628" s="293" t="str">
        <f>IF(AND(Autovalutazione!D649="",Autovalutazione!E649=""),"*","")</f>
        <v>*</v>
      </c>
      <c r="E628" s="39" t="str">
        <f>IF(ISBLANK(Autovalutazione!F649),"",Autovalutazione!F649)</f>
        <v/>
      </c>
      <c r="F628" s="235"/>
      <c r="G628" s="235"/>
      <c r="H628" s="235"/>
      <c r="I628" s="235"/>
      <c r="J628" s="235"/>
      <c r="K628" s="235"/>
      <c r="L628" s="229"/>
      <c r="M628" s="37">
        <v>1</v>
      </c>
      <c r="N628" s="27"/>
      <c r="O628" s="28">
        <f t="shared" si="110"/>
        <v>0</v>
      </c>
      <c r="P628" s="43">
        <f t="shared" ref="P628" si="113">L628*M628</f>
        <v>0</v>
      </c>
      <c r="Q628" s="36"/>
      <c r="R628" s="27"/>
    </row>
    <row r="629" spans="1:18" x14ac:dyDescent="0.3">
      <c r="A629" s="34" t="str">
        <f>Autovalutazione!A650</f>
        <v>13</v>
      </c>
      <c r="B629" s="7" t="str">
        <f>Autovalutazione!B650</f>
        <v>GSA: gestione della salute in azienda (parte facoltativa)</v>
      </c>
      <c r="C629" s="30">
        <f>O629/N629</f>
        <v>0</v>
      </c>
      <c r="D629" s="18"/>
      <c r="E629" s="18"/>
      <c r="F629" s="18"/>
      <c r="G629" s="18"/>
      <c r="H629" s="18"/>
      <c r="I629" s="18"/>
      <c r="J629" s="18"/>
      <c r="K629" s="18"/>
      <c r="L629" s="231">
        <f>P629/N629</f>
        <v>0</v>
      </c>
      <c r="M629" s="5"/>
      <c r="N629" s="5">
        <f>SUM(M630:M656)</f>
        <v>26</v>
      </c>
      <c r="O629" s="4">
        <f>SUM(O630:O656)</f>
        <v>0</v>
      </c>
      <c r="P629" s="4">
        <f>SUM(P630:P656)</f>
        <v>0</v>
      </c>
      <c r="Q629" s="35"/>
      <c r="R629" s="35"/>
    </row>
    <row r="630" spans="1:18" ht="39.6" x14ac:dyDescent="0.3">
      <c r="A630" s="3" t="str">
        <f>Autovalutazione!A652</f>
        <v>13.1.</v>
      </c>
      <c r="B630" s="6" t="str">
        <f>Autovalutazione!C652</f>
        <v xml:space="preserve">La direzione aziendale ha esplicitamente dichiarato di voler integrare la gestione della salute in azienda nella politica aziendale e nei suoi principi di conduzione? </v>
      </c>
      <c r="C630" s="38">
        <f>IF(ISBLANK(Autovalutazione!D653),0,1)</f>
        <v>0</v>
      </c>
      <c r="D630" s="293" t="str">
        <f>IF(AND(Autovalutazione!D653="",Autovalutazione!E653=""),"*","")</f>
        <v>*</v>
      </c>
      <c r="E630" s="39" t="str">
        <f>IF(ISBLANK(Autovalutazione!F653),"",Autovalutazione!F653)</f>
        <v/>
      </c>
      <c r="F630" s="235"/>
      <c r="G630" s="235"/>
      <c r="H630" s="235"/>
      <c r="I630" s="235"/>
      <c r="J630" s="235"/>
      <c r="K630" s="235"/>
      <c r="L630" s="229"/>
      <c r="M630" s="37">
        <v>1</v>
      </c>
      <c r="N630" s="27"/>
      <c r="O630" s="28">
        <f t="shared" ref="O630:O656" si="114">C630*M630</f>
        <v>0</v>
      </c>
      <c r="P630" s="43">
        <f t="shared" ref="P630:P652" si="115">L630*M630</f>
        <v>0</v>
      </c>
      <c r="Q630" s="36"/>
      <c r="R630" s="27"/>
    </row>
    <row r="631" spans="1:18" x14ac:dyDescent="0.3">
      <c r="A631" s="3" t="str">
        <f>Autovalutazione!A653</f>
        <v>13.2.a</v>
      </c>
      <c r="B631" s="6" t="str">
        <f>Autovalutazione!C653</f>
        <v>Esiste al riguardo un piano con:obiettivi?</v>
      </c>
      <c r="C631" s="38">
        <f>IF(ISBLANK(Autovalutazione!D654),0,1)</f>
        <v>0</v>
      </c>
      <c r="D631" s="293" t="str">
        <f>IF(AND(Autovalutazione!D654="",Autovalutazione!E654=""),"*","")</f>
        <v>*</v>
      </c>
      <c r="E631" s="39" t="str">
        <f>IF(ISBLANK(Autovalutazione!F654),"",Autovalutazione!F654)</f>
        <v/>
      </c>
      <c r="F631" s="235"/>
      <c r="G631" s="235"/>
      <c r="H631" s="235"/>
      <c r="I631" s="235"/>
      <c r="J631" s="235"/>
      <c r="K631" s="235"/>
      <c r="L631" s="229"/>
      <c r="M631" s="37">
        <v>1</v>
      </c>
      <c r="N631" s="27"/>
      <c r="O631" s="28">
        <f t="shared" si="114"/>
        <v>0</v>
      </c>
      <c r="P631" s="43">
        <f t="shared" si="115"/>
        <v>0</v>
      </c>
      <c r="Q631" s="36"/>
      <c r="R631" s="27"/>
    </row>
    <row r="632" spans="1:18" x14ac:dyDescent="0.3">
      <c r="A632" s="3" t="str">
        <f>Autovalutazione!A654</f>
        <v>13.2.b</v>
      </c>
      <c r="B632" s="6" t="str">
        <f>Autovalutazione!C654</f>
        <v>svolgimento e tempistiche?</v>
      </c>
      <c r="C632" s="38">
        <f>IF(ISBLANK(Autovalutazione!D655),0,1)</f>
        <v>0</v>
      </c>
      <c r="D632" s="293" t="str">
        <f>IF(AND(Autovalutazione!D655="",Autovalutazione!E655=""),"*","")</f>
        <v>*</v>
      </c>
      <c r="E632" s="39" t="str">
        <f>IF(ISBLANK(Autovalutazione!F655),"",Autovalutazione!F655)</f>
        <v/>
      </c>
      <c r="F632" s="235"/>
      <c r="G632" s="235"/>
      <c r="H632" s="235"/>
      <c r="I632" s="235"/>
      <c r="J632" s="235"/>
      <c r="K632" s="235"/>
      <c r="L632" s="229"/>
      <c r="M632" s="37">
        <v>1</v>
      </c>
      <c r="N632" s="27"/>
      <c r="O632" s="28">
        <f t="shared" si="114"/>
        <v>0</v>
      </c>
      <c r="P632" s="43">
        <f t="shared" si="115"/>
        <v>0</v>
      </c>
      <c r="Q632" s="36"/>
      <c r="R632" s="27"/>
    </row>
    <row r="633" spans="1:18" x14ac:dyDescent="0.3">
      <c r="A633" s="3" t="str">
        <f>Autovalutazione!A655</f>
        <v>13.2.c</v>
      </c>
      <c r="B633" s="6" t="str">
        <f>Autovalutazione!C655</f>
        <v>comunicazione ai gruppi target?</v>
      </c>
      <c r="C633" s="38">
        <f>IF(ISBLANK(Autovalutazione!D656),0,1)</f>
        <v>0</v>
      </c>
      <c r="D633" s="293" t="str">
        <f>IF(AND(Autovalutazione!D656="",Autovalutazione!E656=""),"*","")</f>
        <v>*</v>
      </c>
      <c r="E633" s="39" t="str">
        <f>IF(ISBLANK(Autovalutazione!F656),"",Autovalutazione!F656)</f>
        <v/>
      </c>
      <c r="F633" s="235"/>
      <c r="G633" s="235"/>
      <c r="H633" s="235"/>
      <c r="I633" s="235"/>
      <c r="J633" s="235"/>
      <c r="K633" s="235"/>
      <c r="L633" s="229"/>
      <c r="M633" s="37">
        <v>1</v>
      </c>
      <c r="N633" s="27"/>
      <c r="O633" s="28">
        <f t="shared" si="114"/>
        <v>0</v>
      </c>
      <c r="P633" s="43">
        <f t="shared" si="115"/>
        <v>0</v>
      </c>
      <c r="Q633" s="36"/>
      <c r="R633" s="27"/>
    </row>
    <row r="634" spans="1:18" x14ac:dyDescent="0.3">
      <c r="A634" s="3" t="str">
        <f>Autovalutazione!A656</f>
        <v>13.2.d</v>
      </c>
      <c r="B634" s="6" t="str">
        <f>Autovalutazione!C656</f>
        <v xml:space="preserve">budget per progetti di GSA? </v>
      </c>
      <c r="C634" s="38">
        <f>IF(ISBLANK(Autovalutazione!D657),0,1)</f>
        <v>0</v>
      </c>
      <c r="D634" s="293" t="str">
        <f>IF(AND(Autovalutazione!D657="",Autovalutazione!E657=""),"*","")</f>
        <v>*</v>
      </c>
      <c r="E634" s="39" t="str">
        <f>IF(ISBLANK(Autovalutazione!F657),"",Autovalutazione!F657)</f>
        <v/>
      </c>
      <c r="F634" s="235"/>
      <c r="G634" s="235"/>
      <c r="H634" s="235"/>
      <c r="I634" s="235"/>
      <c r="J634" s="235"/>
      <c r="K634" s="235"/>
      <c r="L634" s="229"/>
      <c r="M634" s="37">
        <v>1</v>
      </c>
      <c r="N634" s="27"/>
      <c r="O634" s="28">
        <f t="shared" si="114"/>
        <v>0</v>
      </c>
      <c r="P634" s="43">
        <f t="shared" si="115"/>
        <v>0</v>
      </c>
      <c r="Q634" s="36"/>
      <c r="R634" s="27"/>
    </row>
    <row r="635" spans="1:18" ht="26.4" x14ac:dyDescent="0.3">
      <c r="A635" s="3" t="str">
        <f>Autovalutazione!A657</f>
        <v>13.3.</v>
      </c>
      <c r="B635" s="6" t="str">
        <f>Autovalutazione!C657</f>
        <v xml:space="preserve">Vi sono responsabili o gruppi di lavoro che pianificano e coordinano le misure di prevenzione della GSA? </v>
      </c>
      <c r="C635" s="38">
        <f>IF(ISBLANK(Autovalutazione!D658),0,1)</f>
        <v>0</v>
      </c>
      <c r="D635" s="293" t="str">
        <f>IF(AND(Autovalutazione!D658="",Autovalutazione!E658=""),"*","")</f>
        <v>*</v>
      </c>
      <c r="E635" s="39" t="str">
        <f>IF(ISBLANK(Autovalutazione!F658),"",Autovalutazione!F658)</f>
        <v/>
      </c>
      <c r="F635" s="235"/>
      <c r="G635" s="235"/>
      <c r="H635" s="235"/>
      <c r="I635" s="235"/>
      <c r="J635" s="235"/>
      <c r="K635" s="235"/>
      <c r="L635" s="229"/>
      <c r="M635" s="37">
        <v>1</v>
      </c>
      <c r="N635" s="27"/>
      <c r="O635" s="28">
        <f t="shared" si="114"/>
        <v>0</v>
      </c>
      <c r="P635" s="43">
        <f t="shared" si="115"/>
        <v>0</v>
      </c>
      <c r="Q635" s="36"/>
      <c r="R635" s="27"/>
    </row>
    <row r="636" spans="1:18" ht="26.4" x14ac:dyDescent="0.3">
      <c r="A636" s="3" t="str">
        <f>Autovalutazione!A658</f>
        <v>13.4.</v>
      </c>
      <c r="B636" s="6" t="str">
        <f>Autovalutazione!C658</f>
        <v xml:space="preserve">Tali responsabili o i membri del gruppo di lavoro hanno una formazione in materia di GSA e prevenzione? </v>
      </c>
      <c r="C636" s="38">
        <f>IF(ISBLANK(Autovalutazione!D659),0,1)</f>
        <v>0</v>
      </c>
      <c r="D636" s="293" t="str">
        <f>IF(AND(Autovalutazione!D659="",Autovalutazione!E659=""),"*","")</f>
        <v>*</v>
      </c>
      <c r="E636" s="39" t="str">
        <f>IF(ISBLANK(Autovalutazione!F659),"",Autovalutazione!F659)</f>
        <v/>
      </c>
      <c r="F636" s="235"/>
      <c r="G636" s="235"/>
      <c r="H636" s="235"/>
      <c r="I636" s="235"/>
      <c r="J636" s="235"/>
      <c r="K636" s="235"/>
      <c r="L636" s="229"/>
      <c r="M636" s="37">
        <v>1</v>
      </c>
      <c r="N636" s="27"/>
      <c r="O636" s="28">
        <f t="shared" si="114"/>
        <v>0</v>
      </c>
      <c r="P636" s="43">
        <f t="shared" si="115"/>
        <v>0</v>
      </c>
      <c r="Q636" s="36"/>
      <c r="R636" s="27"/>
    </row>
    <row r="637" spans="1:18" ht="52.8" x14ac:dyDescent="0.3">
      <c r="A637" s="3" t="str">
        <f>Autovalutazione!A659</f>
        <v>13.5.</v>
      </c>
      <c r="B637" s="6" t="str">
        <f>Autovalutazione!C659</f>
        <v>Le misure e gli ambiti di attuazione si basano su analisi del fabbisogno aziendale o delle esigenze dei collaboratori (condotte per es. attraverso sondaggi tra il personale o circoli della salute)?</v>
      </c>
      <c r="C637" s="38">
        <f>IF(ISBLANK(Autovalutazione!D660),0,1)</f>
        <v>0</v>
      </c>
      <c r="D637" s="293" t="str">
        <f>IF(AND(Autovalutazione!D660="",Autovalutazione!E660=""),"*","")</f>
        <v>*</v>
      </c>
      <c r="E637" s="39" t="str">
        <f>IF(ISBLANK(Autovalutazione!F660),"",Autovalutazione!F660)</f>
        <v/>
      </c>
      <c r="F637" s="235"/>
      <c r="G637" s="235"/>
      <c r="H637" s="235"/>
      <c r="I637" s="235"/>
      <c r="J637" s="235"/>
      <c r="K637" s="235"/>
      <c r="L637" s="229"/>
      <c r="M637" s="37">
        <v>1</v>
      </c>
      <c r="N637" s="27"/>
      <c r="O637" s="28">
        <f t="shared" si="114"/>
        <v>0</v>
      </c>
      <c r="P637" s="43">
        <f t="shared" si="115"/>
        <v>0</v>
      </c>
      <c r="Q637" s="36"/>
      <c r="R637" s="27"/>
    </row>
    <row r="638" spans="1:18" ht="52.8" x14ac:dyDescent="0.3">
      <c r="A638" s="3" t="str">
        <f>Autovalutazione!A660</f>
        <v>13.6.a</v>
      </c>
      <c r="B638" s="6" t="str">
        <f>Autovalutazione!C660</f>
        <v>Per mantenersi in salute i collaboratori ricevono sostegno sugli argomenti sottostanti attraverso corsi, workshop o altro da svolgere nel proprio ambito di responsabilità:
sufficiente movimento / sport?</v>
      </c>
      <c r="C638" s="38">
        <f>IF(ISBLANK(Autovalutazione!D661),0,1)</f>
        <v>0</v>
      </c>
      <c r="D638" s="293" t="str">
        <f>IF(AND(Autovalutazione!D661="",Autovalutazione!E661=""),"*","")</f>
        <v>*</v>
      </c>
      <c r="E638" s="39" t="str">
        <f>IF(ISBLANK(Autovalutazione!F661),"",Autovalutazione!F661)</f>
        <v/>
      </c>
      <c r="F638" s="235"/>
      <c r="G638" s="235"/>
      <c r="H638" s="235"/>
      <c r="I638" s="235"/>
      <c r="J638" s="235"/>
      <c r="K638" s="235"/>
      <c r="L638" s="229"/>
      <c r="M638" s="37">
        <v>1</v>
      </c>
      <c r="N638" s="27"/>
      <c r="O638" s="28">
        <f t="shared" si="114"/>
        <v>0</v>
      </c>
      <c r="P638" s="43">
        <f t="shared" si="115"/>
        <v>0</v>
      </c>
      <c r="Q638" s="36"/>
      <c r="R638" s="27"/>
    </row>
    <row r="639" spans="1:18" x14ac:dyDescent="0.3">
      <c r="A639" s="3" t="str">
        <f>Autovalutazione!A661</f>
        <v>13.6.b</v>
      </c>
      <c r="B639" s="6" t="str">
        <f>Autovalutazione!C661</f>
        <v>alimentazione / peso corporeo sano?</v>
      </c>
      <c r="C639" s="38">
        <f>IF(ISBLANK(Autovalutazione!D662),0,1)</f>
        <v>0</v>
      </c>
      <c r="D639" s="293" t="str">
        <f>IF(AND(Autovalutazione!D662="",Autovalutazione!E662=""),"*","")</f>
        <v>*</v>
      </c>
      <c r="E639" s="39" t="str">
        <f>IF(ISBLANK(Autovalutazione!F662),"",Autovalutazione!F662)</f>
        <v/>
      </c>
      <c r="F639" s="235"/>
      <c r="G639" s="235"/>
      <c r="H639" s="235"/>
      <c r="I639" s="235"/>
      <c r="J639" s="235"/>
      <c r="K639" s="235"/>
      <c r="L639" s="229"/>
      <c r="M639" s="37">
        <v>1</v>
      </c>
      <c r="N639" s="27"/>
      <c r="O639" s="28">
        <f t="shared" si="114"/>
        <v>0</v>
      </c>
      <c r="P639" s="43">
        <f t="shared" si="115"/>
        <v>0</v>
      </c>
      <c r="Q639" s="36"/>
      <c r="R639" s="27"/>
    </row>
    <row r="640" spans="1:18" ht="39.6" x14ac:dyDescent="0.3">
      <c r="A640" s="3" t="str">
        <f>Autovalutazione!A662</f>
        <v>13.6.c</v>
      </c>
      <c r="B640" s="6" t="str">
        <f>Autovalutazione!C662</f>
        <v>strategie antistress e prevenzione del burnout (gestione dello stress / tecniche e possibilità di rilassamento, gestione del tempo, affrontare i cambiamenti)?</v>
      </c>
      <c r="C640" s="38">
        <f>IF(ISBLANK(Autovalutazione!D663),0,1)</f>
        <v>0</v>
      </c>
      <c r="D640" s="293" t="str">
        <f>IF(AND(Autovalutazione!D663="",Autovalutazione!E663=""),"*","")</f>
        <v>*</v>
      </c>
      <c r="E640" s="39" t="str">
        <f>IF(ISBLANK(Autovalutazione!F663),"",Autovalutazione!F663)</f>
        <v/>
      </c>
      <c r="F640" s="235"/>
      <c r="G640" s="235"/>
      <c r="H640" s="235"/>
      <c r="I640" s="235"/>
      <c r="J640" s="235"/>
      <c r="K640" s="235"/>
      <c r="L640" s="229"/>
      <c r="M640" s="37">
        <v>1</v>
      </c>
      <c r="N640" s="27"/>
      <c r="O640" s="28">
        <f t="shared" si="114"/>
        <v>0</v>
      </c>
      <c r="P640" s="43">
        <f t="shared" si="115"/>
        <v>0</v>
      </c>
      <c r="Q640" s="36"/>
      <c r="R640" s="27"/>
    </row>
    <row r="641" spans="1:18" ht="26.4" x14ac:dyDescent="0.3">
      <c r="A641" s="3" t="str">
        <f>Autovalutazione!A663</f>
        <v>13.6.d</v>
      </c>
      <c r="B641" s="6" t="str">
        <f>Autovalutazione!C663</f>
        <v xml:space="preserve">gestione di condizioni organizzative particolari come il lavoro a turni / lavoro notturno? </v>
      </c>
      <c r="C641" s="38">
        <f>IF(ISBLANK(Autovalutazione!D664),0,1)</f>
        <v>0</v>
      </c>
      <c r="D641" s="293" t="str">
        <f>IF(AND(Autovalutazione!D664="",Autovalutazione!E664=""),"*","")</f>
        <v>*</v>
      </c>
      <c r="E641" s="39" t="str">
        <f>IF(ISBLANK(Autovalutazione!F664),"",Autovalutazione!F664)</f>
        <v/>
      </c>
      <c r="F641" s="235"/>
      <c r="G641" s="235"/>
      <c r="H641" s="235"/>
      <c r="I641" s="235"/>
      <c r="J641" s="235"/>
      <c r="K641" s="235"/>
      <c r="L641" s="229"/>
      <c r="M641" s="37">
        <v>1</v>
      </c>
      <c r="N641" s="27"/>
      <c r="O641" s="28">
        <f t="shared" si="114"/>
        <v>0</v>
      </c>
      <c r="P641" s="43">
        <f t="shared" ref="P641" si="116">L641*M641</f>
        <v>0</v>
      </c>
      <c r="Q641" s="36"/>
      <c r="R641" s="27"/>
    </row>
    <row r="642" spans="1:18" x14ac:dyDescent="0.3">
      <c r="A642" s="3" t="str">
        <f>Autovalutazione!A664</f>
        <v>13.6.e</v>
      </c>
      <c r="B642" s="6" t="str">
        <f>Autovalutazione!C664</f>
        <v>equilibrio tra lavoro e vita privata (work-life balance)?</v>
      </c>
      <c r="C642" s="38">
        <f>IF(ISBLANK(Autovalutazione!D665),0,1)</f>
        <v>0</v>
      </c>
      <c r="D642" s="293" t="str">
        <f>IF(AND(Autovalutazione!D665="",Autovalutazione!E665=""),"*","")</f>
        <v>*</v>
      </c>
      <c r="E642" s="39" t="str">
        <f>IF(ISBLANK(Autovalutazione!F665),"",Autovalutazione!F665)</f>
        <v/>
      </c>
      <c r="F642" s="235"/>
      <c r="G642" s="235"/>
      <c r="H642" s="235"/>
      <c r="I642" s="235"/>
      <c r="J642" s="235"/>
      <c r="K642" s="235"/>
      <c r="L642" s="229"/>
      <c r="M642" s="37">
        <v>1</v>
      </c>
      <c r="N642" s="27"/>
      <c r="O642" s="28">
        <f t="shared" si="114"/>
        <v>0</v>
      </c>
      <c r="P642" s="43">
        <f t="shared" si="115"/>
        <v>0</v>
      </c>
      <c r="Q642" s="36"/>
      <c r="R642" s="27"/>
    </row>
    <row r="643" spans="1:18" x14ac:dyDescent="0.3">
      <c r="A643" s="3" t="str">
        <f>Autovalutazione!A665</f>
        <v>13.6.f</v>
      </c>
      <c r="B643" s="6" t="str">
        <f>Autovalutazione!C665</f>
        <v xml:space="preserve">sonno e riposo? </v>
      </c>
      <c r="C643" s="38">
        <f>IF(ISBLANK(Autovalutazione!D666),0,1)</f>
        <v>0</v>
      </c>
      <c r="D643" s="293" t="str">
        <f>IF(AND(Autovalutazione!D666="",Autovalutazione!E666=""),"*","")</f>
        <v>*</v>
      </c>
      <c r="E643" s="39" t="str">
        <f>IF(ISBLANK(Autovalutazione!F666),"",Autovalutazione!F666)</f>
        <v/>
      </c>
      <c r="F643" s="235"/>
      <c r="G643" s="235"/>
      <c r="H643" s="235"/>
      <c r="I643" s="235"/>
      <c r="J643" s="235"/>
      <c r="K643" s="235"/>
      <c r="L643" s="229"/>
      <c r="M643" s="37">
        <v>1</v>
      </c>
      <c r="N643" s="27"/>
      <c r="O643" s="28">
        <f t="shared" si="114"/>
        <v>0</v>
      </c>
      <c r="P643" s="43">
        <f t="shared" si="115"/>
        <v>0</v>
      </c>
      <c r="Q643" s="36"/>
      <c r="R643" s="27"/>
    </row>
    <row r="644" spans="1:18" x14ac:dyDescent="0.3">
      <c r="A644" s="3">
        <f>Autovalutazione!A667</f>
        <v>0</v>
      </c>
      <c r="B644" s="6">
        <f>Autovalutazione!C667</f>
        <v>0</v>
      </c>
      <c r="C644" s="38">
        <f>IF(ISBLANK(Autovalutazione!D668),0,1)</f>
        <v>0</v>
      </c>
      <c r="D644" s="293" t="str">
        <f>IF(AND(Autovalutazione!D668="",Autovalutazione!E668=""),"*","")</f>
        <v>*</v>
      </c>
      <c r="E644" s="39" t="str">
        <f>IF(ISBLANK(Autovalutazione!F668),"",Autovalutazione!F668)</f>
        <v/>
      </c>
      <c r="F644" s="235"/>
      <c r="G644" s="235"/>
      <c r="H644" s="235"/>
      <c r="I644" s="235"/>
      <c r="J644" s="235"/>
      <c r="K644" s="235"/>
      <c r="L644" s="229"/>
      <c r="M644" s="37"/>
      <c r="N644" s="27"/>
      <c r="O644" s="28">
        <f t="shared" si="114"/>
        <v>0</v>
      </c>
      <c r="P644" s="43">
        <f t="shared" si="115"/>
        <v>0</v>
      </c>
      <c r="Q644" s="36"/>
      <c r="R644" s="27"/>
    </row>
    <row r="645" spans="1:18" ht="66" x14ac:dyDescent="0.3">
      <c r="A645" s="3" t="str">
        <f>Autovalutazione!A668</f>
        <v>13.7.a</v>
      </c>
      <c r="B645" s="6" t="str">
        <f>Autovalutazione!C668</f>
        <v>Si incentivano le seguenti risorse in ambito lavorativo:
corsi formativi per quadri (importanza / ruolo dei quadri nella GSA, sviluppo di una cultura di stima e considerazione, incentivo al lavoro di squadra, gestione dei conflitti o delle dipendenze ecc.)?</v>
      </c>
      <c r="C645" s="38">
        <f>IF(ISBLANK(Autovalutazione!D669),0,1)</f>
        <v>0</v>
      </c>
      <c r="D645" s="293" t="str">
        <f>IF(AND(Autovalutazione!D669="",Autovalutazione!E669=""),"*","")</f>
        <v>*</v>
      </c>
      <c r="E645" s="39" t="str">
        <f>IF(ISBLANK(Autovalutazione!F669),"",Autovalutazione!F669)</f>
        <v/>
      </c>
      <c r="F645" s="235"/>
      <c r="G645" s="235"/>
      <c r="H645" s="235"/>
      <c r="I645" s="235"/>
      <c r="J645" s="235"/>
      <c r="K645" s="235"/>
      <c r="L645" s="229"/>
      <c r="M645" s="37">
        <v>1</v>
      </c>
      <c r="N645" s="27"/>
      <c r="O645" s="28">
        <f t="shared" si="114"/>
        <v>0</v>
      </c>
      <c r="P645" s="43">
        <f t="shared" si="115"/>
        <v>0</v>
      </c>
      <c r="Q645" s="36"/>
      <c r="R645" s="27"/>
    </row>
    <row r="646" spans="1:18" ht="26.4" x14ac:dyDescent="0.3">
      <c r="A646" s="3" t="str">
        <f>Autovalutazione!A669</f>
        <v>13.7.b</v>
      </c>
      <c r="B646" s="6" t="str">
        <f>Autovalutazione!C669</f>
        <v xml:space="preserve">infrastruttura inerente alla salute come ambienti di ritrovo, sale ricreazione, aree ristoro, spazi adibiti al riposo, docce? </v>
      </c>
      <c r="C646" s="38">
        <f>IF(ISBLANK(Autovalutazione!D670),0,1)</f>
        <v>0</v>
      </c>
      <c r="D646" s="293" t="str">
        <f>IF(AND(Autovalutazione!D670="",Autovalutazione!E670=""),"*","")</f>
        <v>*</v>
      </c>
      <c r="E646" s="39" t="str">
        <f>IF(ISBLANK(Autovalutazione!F670),"",Autovalutazione!F670)</f>
        <v/>
      </c>
      <c r="F646" s="235"/>
      <c r="G646" s="235"/>
      <c r="H646" s="235"/>
      <c r="I646" s="235"/>
      <c r="J646" s="235"/>
      <c r="K646" s="235"/>
      <c r="L646" s="229"/>
      <c r="M646" s="37">
        <v>1</v>
      </c>
      <c r="N646" s="27"/>
      <c r="O646" s="28">
        <f t="shared" si="114"/>
        <v>0</v>
      </c>
      <c r="P646" s="43">
        <f t="shared" si="115"/>
        <v>0</v>
      </c>
      <c r="Q646" s="36"/>
      <c r="R646" s="27"/>
    </row>
    <row r="647" spans="1:18" ht="52.8" x14ac:dyDescent="0.3">
      <c r="A647" s="3" t="str">
        <f>Autovalutazione!A670</f>
        <v>13.7.c</v>
      </c>
      <c r="B647" s="6" t="str">
        <f>Autovalutazione!C670</f>
        <v>organizzazione degli ambienti e dei posti di lavoro secondo principi ergonomici e che favoriscono la salute, per es. con controlli periodici e analisi sistematiche in caso di cambiamenti e acquisti di nuove attrezzature e simili?</v>
      </c>
      <c r="C647" s="38">
        <f>IF(ISBLANK(Autovalutazione!D671),0,1)</f>
        <v>0</v>
      </c>
      <c r="D647" s="293" t="str">
        <f>IF(AND(Autovalutazione!D671="",Autovalutazione!E671=""),"*","")</f>
        <v>*</v>
      </c>
      <c r="E647" s="39" t="str">
        <f>IF(ISBLANK(Autovalutazione!F671),"",Autovalutazione!F671)</f>
        <v/>
      </c>
      <c r="F647" s="235"/>
      <c r="G647" s="235"/>
      <c r="H647" s="235"/>
      <c r="I647" s="235"/>
      <c r="J647" s="235"/>
      <c r="K647" s="235"/>
      <c r="L647" s="229"/>
      <c r="M647" s="37">
        <v>1</v>
      </c>
      <c r="N647" s="27"/>
      <c r="O647" s="28">
        <f t="shared" si="114"/>
        <v>0</v>
      </c>
      <c r="P647" s="43">
        <f t="shared" si="115"/>
        <v>0</v>
      </c>
      <c r="Q647" s="36"/>
      <c r="R647" s="27"/>
    </row>
    <row r="648" spans="1:18" ht="52.8" x14ac:dyDescent="0.3">
      <c r="A648" s="3" t="str">
        <f>Autovalutazione!A671</f>
        <v>13.7.d</v>
      </c>
      <c r="B648" s="6" t="str">
        <f>Autovalutazione!C671</f>
        <v xml:space="preserve">corsi su come mantenere sul lavoro una postura e un atteggiamento che salvaguardino il benessere del corpo, per es. come sollevare e trasportare correttamente i carichi, ergonomia al videoterminale? </v>
      </c>
      <c r="C648" s="38">
        <f>IF(ISBLANK(Autovalutazione!D672),0,1)</f>
        <v>0</v>
      </c>
      <c r="D648" s="293" t="str">
        <f>IF(AND(Autovalutazione!D672="",Autovalutazione!E672=""),"*","")</f>
        <v>*</v>
      </c>
      <c r="E648" s="39" t="str">
        <f>IF(ISBLANK(Autovalutazione!F672),"",Autovalutazione!F672)</f>
        <v/>
      </c>
      <c r="F648" s="235"/>
      <c r="G648" s="235"/>
      <c r="H648" s="235"/>
      <c r="I648" s="235"/>
      <c r="J648" s="235"/>
      <c r="K648" s="235"/>
      <c r="L648" s="229"/>
      <c r="M648" s="37">
        <v>1</v>
      </c>
      <c r="N648" s="27"/>
      <c r="O648" s="28">
        <f t="shared" si="114"/>
        <v>0</v>
      </c>
      <c r="P648" s="43">
        <f t="shared" si="115"/>
        <v>0</v>
      </c>
      <c r="Q648" s="36"/>
      <c r="R648" s="27"/>
    </row>
    <row r="649" spans="1:18" ht="39.6" x14ac:dyDescent="0.3">
      <c r="A649" s="3" t="str">
        <f>Autovalutazione!A672</f>
        <v>13.7.e</v>
      </c>
      <c r="B649" s="6" t="str">
        <f>Autovalutazione!C672</f>
        <v xml:space="preserve">inserimento di nuovi collaboratori (adottando per es. un programma sistematico di introduzione al lavoro, tutor personali ecc.)? </v>
      </c>
      <c r="C649" s="38">
        <f>IF(ISBLANK(Autovalutazione!D673),0,1)</f>
        <v>0</v>
      </c>
      <c r="D649" s="293" t="str">
        <f>IF(AND(Autovalutazione!D673="",Autovalutazione!E673=""),"*","")</f>
        <v>*</v>
      </c>
      <c r="E649" s="39" t="str">
        <f>IF(ISBLANK(Autovalutazione!F673),"",Autovalutazione!F673)</f>
        <v/>
      </c>
      <c r="F649" s="235"/>
      <c r="G649" s="235"/>
      <c r="H649" s="235"/>
      <c r="I649" s="235"/>
      <c r="J649" s="235"/>
      <c r="K649" s="235"/>
      <c r="L649" s="229"/>
      <c r="M649" s="37">
        <v>1</v>
      </c>
      <c r="N649" s="27"/>
      <c r="O649" s="28">
        <f t="shared" si="114"/>
        <v>0</v>
      </c>
      <c r="P649" s="43">
        <f t="shared" si="115"/>
        <v>0</v>
      </c>
      <c r="Q649" s="36"/>
      <c r="R649" s="27"/>
    </row>
    <row r="650" spans="1:18" ht="26.4" x14ac:dyDescent="0.3">
      <c r="A650" s="3" t="str">
        <f>Autovalutazione!A673</f>
        <v>13.7.f</v>
      </c>
      <c r="B650" s="6" t="str">
        <f>Autovalutazione!C673</f>
        <v xml:space="preserve">formazione continua anche in materia di competenze sociali e umane? </v>
      </c>
      <c r="C650" s="38">
        <f>IF(ISBLANK(Autovalutazione!D674),0,1)</f>
        <v>0</v>
      </c>
      <c r="D650" s="293" t="str">
        <f>IF(AND(Autovalutazione!D674="",Autovalutazione!E674=""),"*","")</f>
        <v>*</v>
      </c>
      <c r="E650" s="39" t="str">
        <f>IF(ISBLANK(Autovalutazione!F674),"",Autovalutazione!F674)</f>
        <v/>
      </c>
      <c r="F650" s="235"/>
      <c r="G650" s="235"/>
      <c r="H650" s="235"/>
      <c r="I650" s="235"/>
      <c r="J650" s="235"/>
      <c r="K650" s="235"/>
      <c r="L650" s="229"/>
      <c r="M650" s="37">
        <v>1</v>
      </c>
      <c r="N650" s="27"/>
      <c r="O650" s="28">
        <f t="shared" si="114"/>
        <v>0</v>
      </c>
      <c r="P650" s="43">
        <f t="shared" si="115"/>
        <v>0</v>
      </c>
      <c r="Q650" s="36"/>
      <c r="R650" s="27"/>
    </row>
    <row r="651" spans="1:18" ht="26.4" x14ac:dyDescent="0.3">
      <c r="A651" s="3" t="str">
        <f>Autovalutazione!A674</f>
        <v>13.7.g</v>
      </c>
      <c r="B651" s="6" t="str">
        <f>Autovalutazione!C674</f>
        <v>incentivazione di una buona cooperazione all'interno del team (progetti in comune, riunioni di team, eventi informali)?</v>
      </c>
      <c r="C651" s="38">
        <f>IF(ISBLANK(Autovalutazione!D675),0,1)</f>
        <v>0</v>
      </c>
      <c r="D651" s="293" t="str">
        <f>IF(AND(Autovalutazione!D675="",Autovalutazione!E675=""),"*","")</f>
        <v>*</v>
      </c>
      <c r="E651" s="39" t="str">
        <f>IF(ISBLANK(Autovalutazione!F675),"",Autovalutazione!F675)</f>
        <v/>
      </c>
      <c r="F651" s="235"/>
      <c r="G651" s="235"/>
      <c r="H651" s="235"/>
      <c r="I651" s="235"/>
      <c r="J651" s="235"/>
      <c r="K651" s="235"/>
      <c r="L651" s="229"/>
      <c r="M651" s="37">
        <v>1</v>
      </c>
      <c r="N651" s="27"/>
      <c r="O651" s="28">
        <f t="shared" si="114"/>
        <v>0</v>
      </c>
      <c r="P651" s="43">
        <f t="shared" si="115"/>
        <v>0</v>
      </c>
      <c r="Q651" s="36"/>
      <c r="R651" s="27"/>
    </row>
    <row r="652" spans="1:18" ht="26.4" x14ac:dyDescent="0.3">
      <c r="A652" s="3" t="str">
        <f>Autovalutazione!A675</f>
        <v>13.7.h</v>
      </c>
      <c r="B652" s="6" t="str">
        <f>Autovalutazione!C675</f>
        <v xml:space="preserve">incentivazione della collaborazione e comunicazione tra divisioni e livelli gerarchici diversi? </v>
      </c>
      <c r="C652" s="38">
        <f>IF(ISBLANK(Autovalutazione!D676),0,1)</f>
        <v>0</v>
      </c>
      <c r="D652" s="293" t="str">
        <f>IF(AND(Autovalutazione!D676="",Autovalutazione!E676=""),"*","")</f>
        <v>*</v>
      </c>
      <c r="E652" s="39" t="str">
        <f>IF(ISBLANK(Autovalutazione!F676),"",Autovalutazione!F676)</f>
        <v/>
      </c>
      <c r="F652" s="235"/>
      <c r="G652" s="235"/>
      <c r="H652" s="235"/>
      <c r="I652" s="235"/>
      <c r="J652" s="235"/>
      <c r="K652" s="235"/>
      <c r="L652" s="229"/>
      <c r="M652" s="37">
        <v>1</v>
      </c>
      <c r="N652" s="27"/>
      <c r="O652" s="28">
        <f t="shared" si="114"/>
        <v>0</v>
      </c>
      <c r="P652" s="43">
        <f t="shared" si="115"/>
        <v>0</v>
      </c>
      <c r="Q652" s="36"/>
      <c r="R652" s="27"/>
    </row>
    <row r="653" spans="1:18" ht="26.4" x14ac:dyDescent="0.3">
      <c r="A653" s="3" t="str">
        <f>Autovalutazione!A676</f>
        <v>13.7.i</v>
      </c>
      <c r="B653" s="6" t="str">
        <f>Autovalutazione!C676</f>
        <v xml:space="preserve">proposte e misure per conciliare lavoro, famiglia / tempo libero? </v>
      </c>
      <c r="C653" s="38">
        <f>IF(ISBLANK(Autovalutazione!D677),0,1)</f>
        <v>0</v>
      </c>
      <c r="D653" s="293" t="str">
        <f>IF(AND(Autovalutazione!D677="",Autovalutazione!E677=""),"*","")</f>
        <v>*</v>
      </c>
      <c r="E653" s="39" t="str">
        <f>IF(ISBLANK(Autovalutazione!F677),"",Autovalutazione!F677)</f>
        <v/>
      </c>
      <c r="F653" s="235"/>
      <c r="G653" s="235"/>
      <c r="H653" s="235"/>
      <c r="I653" s="235"/>
      <c r="J653" s="235"/>
      <c r="K653" s="235"/>
      <c r="L653" s="229"/>
      <c r="M653" s="37">
        <v>1</v>
      </c>
      <c r="N653" s="27"/>
      <c r="O653" s="28">
        <f t="shared" si="114"/>
        <v>0</v>
      </c>
      <c r="P653" s="43">
        <f t="shared" ref="P653:P654" si="117">L653*M653</f>
        <v>0</v>
      </c>
      <c r="Q653" s="36"/>
      <c r="R653" s="27"/>
    </row>
    <row r="654" spans="1:18" ht="26.4" x14ac:dyDescent="0.3">
      <c r="A654" s="3" t="str">
        <f>Autovalutazione!A677</f>
        <v>13.7.j</v>
      </c>
      <c r="B654" s="6" t="str">
        <f>Autovalutazione!C677</f>
        <v xml:space="preserve">disponibilità di un'istanza neutrale a cui rivolgersi in caso di situazioni conflittuali o problemi personali? </v>
      </c>
      <c r="C654" s="38">
        <f>IF(ISBLANK(Autovalutazione!D678),0,1)</f>
        <v>0</v>
      </c>
      <c r="D654" s="293" t="str">
        <f>IF(AND(Autovalutazione!D678="",Autovalutazione!E678=""),"*","")</f>
        <v>*</v>
      </c>
      <c r="E654" s="39" t="str">
        <f>IF(ISBLANK(Autovalutazione!F678),"",Autovalutazione!F678)</f>
        <v/>
      </c>
      <c r="F654" s="235"/>
      <c r="G654" s="235"/>
      <c r="H654" s="235"/>
      <c r="I654" s="235"/>
      <c r="J654" s="235"/>
      <c r="K654" s="235"/>
      <c r="L654" s="229"/>
      <c r="M654" s="37">
        <v>1</v>
      </c>
      <c r="N654" s="27"/>
      <c r="O654" s="28">
        <f t="shared" si="114"/>
        <v>0</v>
      </c>
      <c r="P654" s="43">
        <f t="shared" si="117"/>
        <v>0</v>
      </c>
      <c r="Q654" s="36"/>
      <c r="R654" s="27"/>
    </row>
    <row r="655" spans="1:18" ht="26.4" x14ac:dyDescent="0.3">
      <c r="A655" s="3" t="str">
        <f>Autovalutazione!A678</f>
        <v>13.8.</v>
      </c>
      <c r="B655" s="6" t="str">
        <f>Autovalutazione!C678</f>
        <v xml:space="preserve">Vi sono in azienda progetti di GSA in corso? 
Se sì, da quanto tempo e su quali argomenti? </v>
      </c>
      <c r="C655" s="38">
        <f>IF(ISBLANK(Autovalutazione!D679),0,1)</f>
        <v>0</v>
      </c>
      <c r="D655" s="293" t="str">
        <f>IF(AND(Autovalutazione!D679="",Autovalutazione!E679=""),"*","")</f>
        <v>*</v>
      </c>
      <c r="E655" s="39" t="str">
        <f>IF(ISBLANK(Autovalutazione!F679),"",Autovalutazione!F679)</f>
        <v/>
      </c>
      <c r="F655" s="235"/>
      <c r="G655" s="235"/>
      <c r="H655" s="235"/>
      <c r="I655" s="235"/>
      <c r="J655" s="235"/>
      <c r="K655" s="235"/>
      <c r="L655" s="229"/>
      <c r="M655" s="37">
        <v>1</v>
      </c>
      <c r="N655" s="27"/>
      <c r="O655" s="28">
        <f t="shared" si="114"/>
        <v>0</v>
      </c>
      <c r="P655" s="43">
        <f t="shared" ref="P655" si="118">L655*M655</f>
        <v>0</v>
      </c>
      <c r="Q655" s="36"/>
      <c r="R655" s="27"/>
    </row>
    <row r="656" spans="1:18" ht="39.6" x14ac:dyDescent="0.3">
      <c r="A656" s="3" t="str">
        <f>Autovalutazione!A679</f>
        <v>13.9.</v>
      </c>
      <c r="B656" s="6" t="str">
        <f>Autovalutazione!C679</f>
        <v xml:space="preserve">Vengono valutate la qualità e l'efficacia delle misure e dei progetti di GSA e se ne ricavano poi insegnamenti per misure / progetti futuri? </v>
      </c>
      <c r="C656" s="38">
        <f>IF(ISBLANK(Autovalutazione!D680),0,1)</f>
        <v>0</v>
      </c>
      <c r="D656" s="293" t="str">
        <f>IF(AND(Autovalutazione!D680="",Autovalutazione!E680=""),"*","")</f>
        <v>*</v>
      </c>
      <c r="E656" s="39" t="str">
        <f>IF(ISBLANK(Autovalutazione!F680),"",Autovalutazione!F680)</f>
        <v/>
      </c>
      <c r="F656" s="235"/>
      <c r="G656" s="235"/>
      <c r="H656" s="235"/>
      <c r="I656" s="235"/>
      <c r="J656" s="235"/>
      <c r="K656" s="235"/>
      <c r="L656" s="229"/>
      <c r="M656" s="37">
        <v>1</v>
      </c>
      <c r="N656" s="27"/>
      <c r="O656" s="28">
        <f t="shared" si="114"/>
        <v>0</v>
      </c>
      <c r="P656" s="43">
        <f t="shared" ref="P656" si="119">L656*M656</f>
        <v>0</v>
      </c>
      <c r="Q656" s="36"/>
      <c r="R656" s="27"/>
    </row>
    <row r="657" spans="1:18" x14ac:dyDescent="0.3">
      <c r="A657" s="34" t="str">
        <f>Autovalutazione!A681</f>
        <v>14</v>
      </c>
      <c r="B657" s="7" t="str">
        <f>Autovalutazione!B681</f>
        <v>Ampliamento per l'ISO 45001 (parte facoltativa)</v>
      </c>
      <c r="C657" s="30">
        <f>O657/N657</f>
        <v>0</v>
      </c>
      <c r="D657" s="18"/>
      <c r="E657" s="18"/>
      <c r="F657" s="18"/>
      <c r="G657" s="18"/>
      <c r="H657" s="18"/>
      <c r="I657" s="18"/>
      <c r="J657" s="18"/>
      <c r="K657" s="18"/>
      <c r="L657" s="231">
        <f>P657/N657</f>
        <v>0</v>
      </c>
      <c r="M657" s="5"/>
      <c r="N657" s="5">
        <f>SUM(M658,M662,M664,M667,M669,M673,M675)</f>
        <v>7</v>
      </c>
      <c r="O657" s="4">
        <f>SUM(Q658:Q679)</f>
        <v>0</v>
      </c>
      <c r="P657" s="4">
        <f>SUM(R658:R679)</f>
        <v>0</v>
      </c>
      <c r="Q657" s="35"/>
      <c r="R657" s="35"/>
    </row>
    <row r="658" spans="1:18" ht="26.4" x14ac:dyDescent="0.3">
      <c r="A658" s="20" t="str">
        <f>Autovalutazione!A685</f>
        <v>14.1.</v>
      </c>
      <c r="B658" s="20" t="str">
        <f>Autovalutazione!B685</f>
        <v>Comprendere le esigenze e le aspettative dei lavoratori e di altre parti interessate (4.2)</v>
      </c>
      <c r="C658" s="21">
        <f>O658/N658</f>
        <v>0</v>
      </c>
      <c r="D658" s="23"/>
      <c r="E658" s="23"/>
      <c r="F658" s="23"/>
      <c r="G658" s="23"/>
      <c r="H658" s="23"/>
      <c r="I658" s="23"/>
      <c r="J658" s="23"/>
      <c r="K658" s="23"/>
      <c r="L658" s="50">
        <f>P658/N658</f>
        <v>0</v>
      </c>
      <c r="M658" s="22">
        <v>1</v>
      </c>
      <c r="N658" s="22">
        <f>SUM(M659:M661)</f>
        <v>3</v>
      </c>
      <c r="O658" s="24">
        <f>SUM(O659:O661)</f>
        <v>0</v>
      </c>
      <c r="P658" s="24">
        <f>SUM(P659:P661)</f>
        <v>0</v>
      </c>
      <c r="Q658" s="52">
        <f>O658/$N658*$M658</f>
        <v>0</v>
      </c>
      <c r="R658" s="52">
        <f>P658/$N658*$M658</f>
        <v>0</v>
      </c>
    </row>
    <row r="659" spans="1:18" ht="52.8" x14ac:dyDescent="0.3">
      <c r="A659" s="3" t="str">
        <f>Autovalutazione!A686</f>
        <v>14.1.1.</v>
      </c>
      <c r="B659" s="6" t="str">
        <f>Autovalutazione!C686</f>
        <v>Sono state determinate le parti interessate che sono rilevanti per il vostro SG-SSL oltre ai propri dipendenti?  (per es. ente publico, fornitori, organizzazione dei lavoratori, visitatori, pubblico e vicinato in genere, clienti, media, NGO)</v>
      </c>
      <c r="C659" s="38">
        <f>IF(ISBLANK(Autovalutazione!D686),0,1)</f>
        <v>0</v>
      </c>
      <c r="D659" s="293" t="str">
        <f>IF(AND(Autovalutazione!D686="",Autovalutazione!E686=""),"*","")</f>
        <v>*</v>
      </c>
      <c r="E659" s="39" t="str">
        <f>IF(ISBLANK(Autovalutazione!F686),"",Autovalutazione!F686)</f>
        <v/>
      </c>
      <c r="F659" s="235"/>
      <c r="G659" s="235"/>
      <c r="H659" s="235"/>
      <c r="I659" s="235"/>
      <c r="J659" s="235"/>
      <c r="K659" s="235"/>
      <c r="L659" s="229"/>
      <c r="M659" s="37">
        <v>1</v>
      </c>
      <c r="N659" s="27"/>
      <c r="O659" s="28">
        <f>C659*M659</f>
        <v>0</v>
      </c>
      <c r="P659" s="43">
        <f t="shared" ref="P659:P660" si="120">L659*M659</f>
        <v>0</v>
      </c>
      <c r="Q659" s="36"/>
      <c r="R659" s="27"/>
    </row>
    <row r="660" spans="1:18" ht="66" x14ac:dyDescent="0.3">
      <c r="A660" s="3" t="str">
        <f>Autovalutazione!A687</f>
        <v>14.1.2.</v>
      </c>
      <c r="B660" s="6" t="str">
        <f>Autovalutazione!C687</f>
        <v>Sono stati determinati i requisiti e le aspettative rilevanti (esigenze) dei dipendenti e delle altre parti interessate? (per es. tabella con collaboatori e altre parti interessate rilevanti in riferimento al SG-SSL con esigenze e aspettative, opportunità e rischi, obiettivi/misure determinati)</v>
      </c>
      <c r="C660" s="38">
        <f>IF(ISBLANK(Autovalutazione!D687),0,1)</f>
        <v>0</v>
      </c>
      <c r="D660" s="293" t="str">
        <f>IF(AND(Autovalutazione!D687="",Autovalutazione!E687=""),"*","")</f>
        <v>*</v>
      </c>
      <c r="E660" s="39" t="str">
        <f>IF(ISBLANK(Autovalutazione!F687),"",Autovalutazione!F687)</f>
        <v/>
      </c>
      <c r="F660" s="235"/>
      <c r="G660" s="235"/>
      <c r="H660" s="235"/>
      <c r="I660" s="235"/>
      <c r="J660" s="235"/>
      <c r="K660" s="235"/>
      <c r="L660" s="229"/>
      <c r="M660" s="37">
        <v>1</v>
      </c>
      <c r="N660" s="27"/>
      <c r="O660" s="28">
        <f>C660*M660</f>
        <v>0</v>
      </c>
      <c r="P660" s="43">
        <f t="shared" si="120"/>
        <v>0</v>
      </c>
      <c r="Q660" s="36"/>
      <c r="R660" s="27"/>
    </row>
    <row r="661" spans="1:18" ht="16.5" customHeight="1" x14ac:dyDescent="0.3">
      <c r="A661" s="3" t="str">
        <f>Autovalutazione!A688</f>
        <v>14.1.3.</v>
      </c>
      <c r="B661" s="6" t="str">
        <f>Autovalutazione!C688</f>
        <v xml:space="preserve">I requisiti e le aspettative rilevanti sono valutati e sorvegliati? </v>
      </c>
      <c r="C661" s="38">
        <f>IF(ISBLANK(Autovalutazione!D688),0,1)</f>
        <v>0</v>
      </c>
      <c r="D661" s="293" t="str">
        <f>IF(AND(Autovalutazione!D688="",Autovalutazione!E688=""),"*","")</f>
        <v>*</v>
      </c>
      <c r="E661" s="39" t="str">
        <f>IF(ISBLANK(Autovalutazione!F688),"",Autovalutazione!F688)</f>
        <v/>
      </c>
      <c r="F661" s="235"/>
      <c r="G661" s="235"/>
      <c r="H661" s="235"/>
      <c r="I661" s="235"/>
      <c r="J661" s="235"/>
      <c r="K661" s="235"/>
      <c r="L661" s="229"/>
      <c r="M661" s="37">
        <v>1</v>
      </c>
      <c r="N661" s="27"/>
      <c r="O661" s="28">
        <f>C661*M661</f>
        <v>0</v>
      </c>
      <c r="P661" s="43">
        <f t="shared" ref="P661" si="121">L661*M661</f>
        <v>0</v>
      </c>
      <c r="Q661" s="36"/>
      <c r="R661" s="27"/>
    </row>
    <row r="662" spans="1:18" x14ac:dyDescent="0.3">
      <c r="A662" s="20" t="str">
        <f>Autovalutazione!A689</f>
        <v>14.2.</v>
      </c>
      <c r="B662" s="20" t="str">
        <f>Autovalutazione!B689</f>
        <v>Sistema di gestione per la SSL (4.4.)</v>
      </c>
      <c r="C662" s="21">
        <f>O662/N662</f>
        <v>0</v>
      </c>
      <c r="D662" s="23"/>
      <c r="E662" s="23"/>
      <c r="F662" s="23"/>
      <c r="G662" s="23"/>
      <c r="H662" s="23"/>
      <c r="I662" s="23"/>
      <c r="J662" s="23"/>
      <c r="K662" s="23"/>
      <c r="L662" s="50">
        <f>P662/N662</f>
        <v>0</v>
      </c>
      <c r="M662" s="22">
        <v>1</v>
      </c>
      <c r="N662" s="22">
        <f>SUM(M663:M663)</f>
        <v>1</v>
      </c>
      <c r="O662" s="24">
        <f>SUM(O663:O663)</f>
        <v>0</v>
      </c>
      <c r="P662" s="284">
        <f>SUM(P663:P663)</f>
        <v>0</v>
      </c>
      <c r="Q662" s="52">
        <f>O662/$N662*$M662</f>
        <v>0</v>
      </c>
      <c r="R662" s="52">
        <f>P662/$N662*$M662</f>
        <v>0</v>
      </c>
    </row>
    <row r="663" spans="1:18" ht="66" x14ac:dyDescent="0.3">
      <c r="A663" s="3" t="str">
        <f>Autovalutazione!A690</f>
        <v>14.2.1</v>
      </c>
      <c r="B663" s="2" t="str">
        <f>Autovalutazione!C690</f>
        <v>Le informazioni documentate sono conservate nella misura richiesta, affinché si possa confidare che i processi siano eseguiti come sono stati pianificati inizialmente? (per es. registrazioni derivanti dai processi, notifiche di mutamento, rapporti, verbali ecc.)</v>
      </c>
      <c r="C663" s="38">
        <f>IF(ISBLANK(Autovalutazione!D690),0,1)</f>
        <v>0</v>
      </c>
      <c r="D663" s="293" t="str">
        <f>IF(AND(Autovalutazione!D690="",Autovalutazione!E690=""),"*","")</f>
        <v>*</v>
      </c>
      <c r="E663" s="39" t="str">
        <f>IF(ISBLANK(Autovalutazione!F690),"",Autovalutazione!F690)</f>
        <v/>
      </c>
      <c r="F663" s="235"/>
      <c r="G663" s="235"/>
      <c r="H663" s="235"/>
      <c r="I663" s="235"/>
      <c r="J663" s="235"/>
      <c r="K663" s="235"/>
      <c r="L663" s="229"/>
      <c r="M663" s="37">
        <v>1</v>
      </c>
      <c r="N663" s="27"/>
      <c r="O663" s="28">
        <f>C663*M663</f>
        <v>0</v>
      </c>
      <c r="P663" s="43">
        <f t="shared" ref="P663:P665" si="122">L663*M663</f>
        <v>0</v>
      </c>
      <c r="Q663" s="36"/>
      <c r="R663" s="27"/>
    </row>
    <row r="664" spans="1:18" x14ac:dyDescent="0.3">
      <c r="A664" s="20" t="str">
        <f>Autovalutazione!A691</f>
        <v>14.3.</v>
      </c>
      <c r="B664" s="20" t="str">
        <f>Autovalutazione!B691</f>
        <v>Azioni per affrontare rischi ed opportunità (6.1.)</v>
      </c>
      <c r="C664" s="21">
        <f>O664/N664</f>
        <v>0</v>
      </c>
      <c r="D664" s="23"/>
      <c r="E664" s="23"/>
      <c r="F664" s="232"/>
      <c r="G664" s="232"/>
      <c r="H664" s="232"/>
      <c r="I664" s="232"/>
      <c r="J664" s="232"/>
      <c r="K664" s="232"/>
      <c r="L664" s="50">
        <f>P664/N664</f>
        <v>0</v>
      </c>
      <c r="M664" s="22">
        <v>1</v>
      </c>
      <c r="N664" s="22">
        <f>SUM(M665:M666)</f>
        <v>2</v>
      </c>
      <c r="O664" s="24">
        <f>SUM(O665:O666)</f>
        <v>0</v>
      </c>
      <c r="P664" s="284">
        <f>SUM(P665:P666)</f>
        <v>0</v>
      </c>
      <c r="Q664" s="52">
        <f>O664/$N664*$M664</f>
        <v>0</v>
      </c>
      <c r="R664" s="52">
        <f>P664/$N664*$M664</f>
        <v>0</v>
      </c>
    </row>
    <row r="665" spans="1:18" ht="52.8" x14ac:dyDescent="0.3">
      <c r="A665" s="3" t="str">
        <f>Autovalutazione!A692</f>
        <v>14.3.1.</v>
      </c>
      <c r="B665" s="2" t="str">
        <f>Autovalutazione!C692</f>
        <v>Esiste una procedura per la determinazione dei rischi e delle opportunità per l'organizzazione? (per es. attraverso analisi dei pericoli, realizzazione di una matrice dei rischi, analisi SWOT con annessa necessità d'intervento)</v>
      </c>
      <c r="C665" s="38">
        <f>IF(ISBLANK(Autovalutazione!D692),0,1)</f>
        <v>0</v>
      </c>
      <c r="D665" s="293" t="str">
        <f>IF(AND(Autovalutazione!D692="",Autovalutazione!E692=""),"*","")</f>
        <v>*</v>
      </c>
      <c r="E665" s="39" t="str">
        <f>IF(ISBLANK(Autovalutazione!F692),"",Autovalutazione!F692)</f>
        <v/>
      </c>
      <c r="F665" s="235"/>
      <c r="G665" s="235"/>
      <c r="H665" s="235"/>
      <c r="I665" s="235"/>
      <c r="J665" s="235"/>
      <c r="K665" s="235"/>
      <c r="L665" s="229"/>
      <c r="M665" s="37">
        <v>1</v>
      </c>
      <c r="N665" s="27"/>
      <c r="O665" s="28">
        <f>C665*M665</f>
        <v>0</v>
      </c>
      <c r="P665" s="43">
        <f t="shared" si="122"/>
        <v>0</v>
      </c>
      <c r="Q665" s="36"/>
      <c r="R665" s="27"/>
    </row>
    <row r="666" spans="1:18" ht="29.4" customHeight="1" x14ac:dyDescent="0.3">
      <c r="A666" s="3" t="str">
        <f>Autovalutazione!A693</f>
        <v>14.3.2.</v>
      </c>
      <c r="B666" s="2" t="str">
        <f>Autovalutazione!C693</f>
        <v xml:space="preserve">I rischi e le opportunità SSL da considerare sono custoditi e adeguatamente curati come informazioni documentate? </v>
      </c>
      <c r="C666" s="38">
        <f>IF(ISBLANK(Autovalutazione!D693),0,1)</f>
        <v>0</v>
      </c>
      <c r="D666" s="293" t="str">
        <f>IF(AND(Autovalutazione!D693="",Autovalutazione!E693=""),"*","")</f>
        <v>*</v>
      </c>
      <c r="E666" s="39" t="str">
        <f>IF(ISBLANK(Autovalutazione!F693),"",Autovalutazione!F693)</f>
        <v/>
      </c>
      <c r="F666" s="235"/>
      <c r="G666" s="235"/>
      <c r="H666" s="235"/>
      <c r="I666" s="235"/>
      <c r="J666" s="235"/>
      <c r="K666" s="235"/>
      <c r="L666" s="229"/>
      <c r="M666" s="37">
        <v>1</v>
      </c>
      <c r="N666" s="27"/>
      <c r="O666" s="28">
        <f>C666*M666</f>
        <v>0</v>
      </c>
      <c r="P666" s="43">
        <f t="shared" ref="P666" si="123">L666*M666</f>
        <v>0</v>
      </c>
      <c r="Q666" s="36"/>
      <c r="R666" s="27"/>
    </row>
    <row r="667" spans="1:18" x14ac:dyDescent="0.3">
      <c r="A667" s="20" t="str">
        <f>Autovalutazione!A694</f>
        <v>14.4.</v>
      </c>
      <c r="B667" s="20" t="str">
        <f>Autovalutazione!B694</f>
        <v>Determinazione dei requisiti legali e altri requisiti (6.1.3.)</v>
      </c>
      <c r="C667" s="21">
        <f>O667/N667</f>
        <v>0</v>
      </c>
      <c r="D667" s="23"/>
      <c r="E667" s="23"/>
      <c r="F667" s="232"/>
      <c r="G667" s="232"/>
      <c r="H667" s="232"/>
      <c r="I667" s="232"/>
      <c r="J667" s="232"/>
      <c r="K667" s="232"/>
      <c r="L667" s="50">
        <f>P667/N667</f>
        <v>0</v>
      </c>
      <c r="M667" s="22">
        <v>1</v>
      </c>
      <c r="N667" s="22">
        <f>SUM(M668:M668)</f>
        <v>1</v>
      </c>
      <c r="O667" s="24">
        <f>SUM(O668:O668)</f>
        <v>0</v>
      </c>
      <c r="P667" s="284">
        <f>SUM(P668:P668)</f>
        <v>0</v>
      </c>
      <c r="Q667" s="52">
        <f>O667/$N667*$M667</f>
        <v>0</v>
      </c>
      <c r="R667" s="52">
        <f>P667/$N667*$M667</f>
        <v>0</v>
      </c>
    </row>
    <row r="668" spans="1:18" ht="52.8" x14ac:dyDescent="0.3">
      <c r="A668" s="3" t="str">
        <f>Autovalutazione!A695</f>
        <v>14.4.1.</v>
      </c>
      <c r="B668" s="2" t="str">
        <f>Autovalutazione!C695</f>
        <v>Le informazioni a riguardo alle mutazioni di obblighi legali e alle altre esigenze sono gestite in modo che la loro diffusione sia documentata adeguatamente e altresì inequivocabilmente accertata?</v>
      </c>
      <c r="C668" s="38">
        <f>IF(ISBLANK(Autovalutazione!D695),0,1)</f>
        <v>0</v>
      </c>
      <c r="D668" s="293" t="str">
        <f>IF(AND(Autovalutazione!D695="",Autovalutazione!E695=""),"*","")</f>
        <v>*</v>
      </c>
      <c r="E668" s="39" t="str">
        <f>IF(ISBLANK(Autovalutazione!F695),"",Autovalutazione!F695)</f>
        <v/>
      </c>
      <c r="F668" s="235"/>
      <c r="G668" s="235"/>
      <c r="H668" s="235"/>
      <c r="I668" s="235"/>
      <c r="J668" s="235"/>
      <c r="K668" s="235"/>
      <c r="L668" s="229"/>
      <c r="M668" s="37">
        <v>1</v>
      </c>
      <c r="N668" s="27"/>
      <c r="O668" s="28">
        <f>C668*M668</f>
        <v>0</v>
      </c>
      <c r="P668" s="43">
        <f t="shared" ref="P668" si="124">L668*M668</f>
        <v>0</v>
      </c>
      <c r="Q668" s="36"/>
      <c r="R668" s="27"/>
    </row>
    <row r="669" spans="1:18" ht="15" customHeight="1" x14ac:dyDescent="0.3">
      <c r="A669" s="20" t="str">
        <f>Autovalutazione!A696</f>
        <v>14.5.</v>
      </c>
      <c r="B669" s="20" t="str">
        <f>Autovalutazione!B696</f>
        <v>Informazioni documentate (7.5.)</v>
      </c>
      <c r="C669" s="21">
        <f>O669/N669</f>
        <v>0</v>
      </c>
      <c r="D669" s="23"/>
      <c r="E669" s="23"/>
      <c r="F669" s="232"/>
      <c r="G669" s="232"/>
      <c r="H669" s="232"/>
      <c r="I669" s="232"/>
      <c r="J669" s="232"/>
      <c r="K669" s="232"/>
      <c r="L669" s="50">
        <f>P669/N669</f>
        <v>0</v>
      </c>
      <c r="M669" s="22">
        <v>1</v>
      </c>
      <c r="N669" s="22">
        <f>SUM(M670:M672)</f>
        <v>3</v>
      </c>
      <c r="O669" s="24">
        <f>SUM(O670:O672)</f>
        <v>0</v>
      </c>
      <c r="P669" s="24">
        <f>SUM(P670:P672)</f>
        <v>0</v>
      </c>
      <c r="Q669" s="52">
        <f>O669/$N669*$M669</f>
        <v>0</v>
      </c>
      <c r="R669" s="52">
        <f>P669/$N669*$M669</f>
        <v>0</v>
      </c>
    </row>
    <row r="670" spans="1:18" ht="132" x14ac:dyDescent="0.3">
      <c r="A670" s="3" t="str">
        <f>Autovalutazione!A697</f>
        <v>14.5.1.</v>
      </c>
      <c r="B670" s="2" t="str">
        <f>Autovalutazione!C697</f>
        <v>Esistono le informazioni documentate richieste per il SG-SSL? (tra l'altro informazioni documentate a riguardo di:
• campo d'impiego
• politica e obiettivi SSL
• obblighi legali e altre esigenze 
• competenze
• rischi e opportunità SSL
• informazioni che sono prodotte per il funzionamento dell'organizzazione
• attestazioni di risultati raggiunti ecc.)</v>
      </c>
      <c r="C670" s="38">
        <f>IF(ISBLANK(Autovalutazione!D697),0,1)</f>
        <v>0</v>
      </c>
      <c r="D670" s="293" t="str">
        <f>IF(AND(Autovalutazione!D697="",Autovalutazione!E697=""),"*","")</f>
        <v>*</v>
      </c>
      <c r="E670" s="39" t="str">
        <f>IF(ISBLANK(Autovalutazione!F697),"",Autovalutazione!F697)</f>
        <v/>
      </c>
      <c r="F670" s="235"/>
      <c r="G670" s="235"/>
      <c r="H670" s="235"/>
      <c r="I670" s="235"/>
      <c r="J670" s="235"/>
      <c r="K670" s="235"/>
      <c r="L670" s="229"/>
      <c r="M670" s="37">
        <v>1</v>
      </c>
      <c r="N670" s="27"/>
      <c r="O670" s="28">
        <f>C670*M670</f>
        <v>0</v>
      </c>
      <c r="P670" s="43">
        <f t="shared" ref="P670:P671" si="125">L670*M670</f>
        <v>0</v>
      </c>
      <c r="Q670" s="36"/>
      <c r="R670" s="27"/>
    </row>
    <row r="671" spans="1:18" ht="52.8" x14ac:dyDescent="0.3">
      <c r="A671" s="3" t="str">
        <f>Autovalutazione!A698</f>
        <v>14.5.2.</v>
      </c>
      <c r="B671" s="2" t="str">
        <f>Autovalutazione!C698</f>
        <v>Ci si accerta di eseguire una adeguata marcatura e descrizione durante la produzione e l'attualizzazione delle informazioni documentate? (per es. titolo, data, autore, numero di riferimento, stato di revisione attuale)</v>
      </c>
      <c r="C671" s="38">
        <f>IF(ISBLANK(Autovalutazione!D698),0,1)</f>
        <v>0</v>
      </c>
      <c r="D671" s="293" t="str">
        <f>IF(AND(Autovalutazione!D698="",Autovalutazione!E698=""),"*","")</f>
        <v>*</v>
      </c>
      <c r="E671" s="39" t="str">
        <f>IF(ISBLANK(Autovalutazione!F698),"",Autovalutazione!F698)</f>
        <v/>
      </c>
      <c r="F671" s="235"/>
      <c r="G671" s="235"/>
      <c r="H671" s="235"/>
      <c r="I671" s="235"/>
      <c r="J671" s="235"/>
      <c r="K671" s="235"/>
      <c r="L671" s="229"/>
      <c r="M671" s="37">
        <v>1</v>
      </c>
      <c r="N671" s="27"/>
      <c r="O671" s="28">
        <f>C671*M671</f>
        <v>0</v>
      </c>
      <c r="P671" s="43">
        <f t="shared" si="125"/>
        <v>0</v>
      </c>
      <c r="Q671" s="36"/>
      <c r="R671" s="27"/>
    </row>
    <row r="672" spans="1:18" ht="52.8" x14ac:dyDescent="0.3">
      <c r="A672" s="3" t="str">
        <f>Autovalutazione!A699</f>
        <v>14.5.3.</v>
      </c>
      <c r="B672" s="2" t="str">
        <f>Autovalutazione!C699</f>
        <v>È stata definita una procedura per la direzione delle informazioni documentate? (elaborazione, associazione, classificazione, autorizzazione, distribuzione, applicazionie, revisione, ritiro, archiviazione, cancellazione)</v>
      </c>
      <c r="C672" s="38">
        <f>IF(ISBLANK(Autovalutazione!D699),0,1)</f>
        <v>0</v>
      </c>
      <c r="D672" s="293" t="str">
        <f>IF(AND(Autovalutazione!D699="",Autovalutazione!E699=""),"*","")</f>
        <v>*</v>
      </c>
      <c r="E672" s="39" t="str">
        <f>IF(ISBLANK(Autovalutazione!F699),"",Autovalutazione!F699)</f>
        <v/>
      </c>
      <c r="F672" s="235"/>
      <c r="G672" s="235"/>
      <c r="H672" s="235"/>
      <c r="I672" s="235"/>
      <c r="J672" s="235"/>
      <c r="K672" s="235"/>
      <c r="L672" s="229"/>
      <c r="M672" s="37">
        <v>1</v>
      </c>
      <c r="N672" s="27"/>
      <c r="O672" s="28">
        <f>C672*M672</f>
        <v>0</v>
      </c>
      <c r="P672" s="43">
        <f t="shared" ref="P672" si="126">L672*M672</f>
        <v>0</v>
      </c>
      <c r="Q672" s="36"/>
      <c r="R672" s="27"/>
    </row>
    <row r="673" spans="1:18" x14ac:dyDescent="0.3">
      <c r="A673" s="20" t="str">
        <f>Autovalutazione!A700</f>
        <v>14.6.</v>
      </c>
      <c r="B673" s="20" t="str">
        <f>Autovalutazione!B700</f>
        <v>Approvvigionamento (8.1.4.)</v>
      </c>
      <c r="C673" s="21">
        <f>O673/N673</f>
        <v>0</v>
      </c>
      <c r="D673" s="23"/>
      <c r="E673" s="23"/>
      <c r="F673" s="232"/>
      <c r="G673" s="232"/>
      <c r="H673" s="232"/>
      <c r="I673" s="232"/>
      <c r="J673" s="232"/>
      <c r="K673" s="232"/>
      <c r="L673" s="50">
        <f>P673/N673</f>
        <v>0</v>
      </c>
      <c r="M673" s="22">
        <v>1</v>
      </c>
      <c r="N673" s="22">
        <f>SUM(M674:M674)</f>
        <v>1</v>
      </c>
      <c r="O673" s="24">
        <f>SUM(O674:O674)</f>
        <v>0</v>
      </c>
      <c r="P673" s="284">
        <f>SUM(P674:P674)</f>
        <v>0</v>
      </c>
      <c r="Q673" s="52">
        <f>O673/$N673*$M673</f>
        <v>0</v>
      </c>
      <c r="R673" s="52">
        <f>P673/$N673*$M673</f>
        <v>0</v>
      </c>
    </row>
    <row r="674" spans="1:18" ht="45" customHeight="1" x14ac:dyDescent="0.3">
      <c r="A674" s="3" t="str">
        <f>Autovalutazione!A701</f>
        <v>14.6.1.</v>
      </c>
      <c r="B674" s="2" t="str">
        <f>Autovalutazione!C701</f>
        <v>È stato assicurato siano gestiti e verificati le funzioni e i processi che sono stati scorporati? (non più eseguiti da propri dipendenti)</v>
      </c>
      <c r="C674" s="38">
        <f>IF(ISBLANK(Autovalutazione!D701),0,1)</f>
        <v>0</v>
      </c>
      <c r="D674" s="293" t="str">
        <f>IF(AND(Autovalutazione!D701="",Autovalutazione!E701=""),"*","")</f>
        <v>*</v>
      </c>
      <c r="E674" s="39" t="str">
        <f>IF(ISBLANK(Autovalutazione!F701),"",Autovalutazione!F701)</f>
        <v/>
      </c>
      <c r="F674" s="235"/>
      <c r="G674" s="235"/>
      <c r="H674" s="235"/>
      <c r="I674" s="235"/>
      <c r="J674" s="235"/>
      <c r="K674" s="235"/>
      <c r="L674" s="229"/>
      <c r="M674" s="37">
        <v>1</v>
      </c>
      <c r="N674" s="27"/>
      <c r="O674" s="28">
        <f>C674*M674</f>
        <v>0</v>
      </c>
      <c r="P674" s="43">
        <f t="shared" ref="P674" si="127">L674*M674</f>
        <v>0</v>
      </c>
      <c r="Q674" s="36"/>
      <c r="R674" s="27"/>
    </row>
    <row r="675" spans="1:18" x14ac:dyDescent="0.3">
      <c r="A675" s="20" t="str">
        <f>Autovalutazione!A702</f>
        <v>14.7.</v>
      </c>
      <c r="B675" s="20" t="str">
        <f>Autovalutazione!B702</f>
        <v>Valutazione delle prestazioni (9.)</v>
      </c>
      <c r="C675" s="21">
        <f>O675/N675</f>
        <v>0</v>
      </c>
      <c r="D675" s="23"/>
      <c r="E675" s="23"/>
      <c r="F675" s="232"/>
      <c r="G675" s="232"/>
      <c r="H675" s="232"/>
      <c r="I675" s="232"/>
      <c r="J675" s="232"/>
      <c r="K675" s="232"/>
      <c r="L675" s="50">
        <f>P675/N675</f>
        <v>0</v>
      </c>
      <c r="M675" s="22">
        <v>1</v>
      </c>
      <c r="N675" s="22">
        <f>SUM(M676:M679)</f>
        <v>4</v>
      </c>
      <c r="O675" s="24">
        <f>SUM(O676:O679)</f>
        <v>0</v>
      </c>
      <c r="P675" s="24">
        <f>SUM(P676:P679)</f>
        <v>0</v>
      </c>
      <c r="Q675" s="52">
        <f>O675/$N675*$M675</f>
        <v>0</v>
      </c>
      <c r="R675" s="52">
        <f>P675/$N675*$M675</f>
        <v>0</v>
      </c>
    </row>
    <row r="676" spans="1:18" ht="42.75" customHeight="1" x14ac:dyDescent="0.3">
      <c r="A676" s="3" t="str">
        <f>Autovalutazione!A703</f>
        <v>14.7.1.</v>
      </c>
      <c r="B676" s="2" t="str">
        <f>Autovalutazione!C703</f>
        <v>Sono stati definiti, applicati e mantenuti i processi per il controllo, la misurazione, l'analisi e la valutazione del rendimento SSL?</v>
      </c>
      <c r="C676" s="38">
        <f>IF(ISBLANK(Autovalutazione!D703),0,1)</f>
        <v>0</v>
      </c>
      <c r="D676" s="293" t="str">
        <f>IF(AND(Autovalutazione!D703="",Autovalutazione!E703=""),"*","")</f>
        <v>*</v>
      </c>
      <c r="E676" s="39" t="str">
        <f>IF(ISBLANK(Autovalutazione!F703),"",Autovalutazione!F703)</f>
        <v/>
      </c>
      <c r="F676" s="235"/>
      <c r="G676" s="235"/>
      <c r="H676" s="235"/>
      <c r="I676" s="235"/>
      <c r="J676" s="235"/>
      <c r="K676" s="235"/>
      <c r="L676" s="229"/>
      <c r="M676" s="37">
        <v>1</v>
      </c>
      <c r="N676" s="27"/>
      <c r="O676" s="28">
        <f>C676*M676</f>
        <v>0</v>
      </c>
      <c r="P676" s="43">
        <f t="shared" ref="P676:P678" si="128">L676*M676</f>
        <v>0</v>
      </c>
      <c r="Q676" s="36"/>
      <c r="R676" s="27"/>
    </row>
    <row r="677" spans="1:18" ht="41.25" customHeight="1" x14ac:dyDescent="0.3">
      <c r="A677" s="3" t="str">
        <f>Autovalutazione!A704</f>
        <v>14.7.2.</v>
      </c>
      <c r="B677" s="2" t="str">
        <f>Autovalutazione!C704</f>
        <v>Sono stati defniti, applicati e mantenuti i processi per la valutazione della compliance con gli obblighi legali e le altre esigenze?</v>
      </c>
      <c r="C677" s="38">
        <f>IF(ISBLANK(Autovalutazione!D704),0,1)</f>
        <v>0</v>
      </c>
      <c r="D677" s="293" t="str">
        <f>IF(AND(Autovalutazione!D704="",Autovalutazione!E704=""),"*","")</f>
        <v>*</v>
      </c>
      <c r="E677" s="39" t="str">
        <f>IF(ISBLANK(Autovalutazione!F704),"",Autovalutazione!F704)</f>
        <v/>
      </c>
      <c r="F677" s="235"/>
      <c r="G677" s="235"/>
      <c r="H677" s="235"/>
      <c r="I677" s="235"/>
      <c r="J677" s="235"/>
      <c r="K677" s="235"/>
      <c r="L677" s="229"/>
      <c r="M677" s="37">
        <v>1</v>
      </c>
      <c r="N677" s="27"/>
      <c r="O677" s="28">
        <f>C677*M677</f>
        <v>0</v>
      </c>
      <c r="P677" s="43">
        <f t="shared" si="128"/>
        <v>0</v>
      </c>
      <c r="Q677" s="36"/>
      <c r="R677" s="27"/>
    </row>
    <row r="678" spans="1:18" ht="26.4" x14ac:dyDescent="0.3">
      <c r="A678" s="3" t="str">
        <f>Autovalutazione!A705</f>
        <v>14.7.3.</v>
      </c>
      <c r="B678" s="2" t="str">
        <f>Autovalutazione!C705</f>
        <v>Sono stati formati gli auditor affinché siano in grado di eseguire i controlli del sistema SSL?</v>
      </c>
      <c r="C678" s="38">
        <f>IF(ISBLANK(Autovalutazione!D705),0,1)</f>
        <v>0</v>
      </c>
      <c r="D678" s="293" t="str">
        <f>IF(AND(Autovalutazione!D705="",Autovalutazione!E705=""),"*","")</f>
        <v>*</v>
      </c>
      <c r="E678" s="39" t="str">
        <f>IF(ISBLANK(Autovalutazione!F705),"",Autovalutazione!F705)</f>
        <v/>
      </c>
      <c r="F678" s="235"/>
      <c r="G678" s="235"/>
      <c r="H678" s="235"/>
      <c r="I678" s="235"/>
      <c r="J678" s="235"/>
      <c r="K678" s="235"/>
      <c r="L678" s="229"/>
      <c r="M678" s="37">
        <v>1</v>
      </c>
      <c r="N678" s="27"/>
      <c r="O678" s="28">
        <f>C678*M678</f>
        <v>0</v>
      </c>
      <c r="P678" s="43">
        <f t="shared" si="128"/>
        <v>0</v>
      </c>
      <c r="Q678" s="36"/>
      <c r="R678" s="27"/>
    </row>
    <row r="679" spans="1:18" ht="26.4" x14ac:dyDescent="0.3">
      <c r="A679" s="3" t="str">
        <f>Autovalutazione!A706</f>
        <v>14.7.4.</v>
      </c>
      <c r="B679" s="2" t="str">
        <f>Autovalutazione!C706</f>
        <v>È possibile accertare attraverso gli audits interni che i requisiti alla ISO 45001 siano adempiuti?</v>
      </c>
      <c r="C679" s="38">
        <f>IF(ISBLANK(Autovalutazione!D706),0,1)</f>
        <v>0</v>
      </c>
      <c r="D679" s="293" t="str">
        <f>IF(AND(Autovalutazione!D706="",Autovalutazione!E706=""),"*","")</f>
        <v>*</v>
      </c>
      <c r="E679" s="39" t="str">
        <f>IF(ISBLANK(Autovalutazione!F706),"",Autovalutazione!F706)</f>
        <v/>
      </c>
      <c r="F679" s="235"/>
      <c r="G679" s="235"/>
      <c r="H679" s="235"/>
      <c r="I679" s="235"/>
      <c r="J679" s="235"/>
      <c r="K679" s="235"/>
      <c r="L679" s="229"/>
      <c r="M679" s="37">
        <v>1</v>
      </c>
      <c r="N679" s="27"/>
      <c r="O679" s="28">
        <f>C679*M679</f>
        <v>0</v>
      </c>
      <c r="P679" s="43">
        <f t="shared" ref="P679" si="129">L679*M679</f>
        <v>0</v>
      </c>
      <c r="Q679" s="36"/>
      <c r="R679" s="27"/>
    </row>
    <row r="680" spans="1:18" x14ac:dyDescent="0.3">
      <c r="L680" s="239"/>
    </row>
    <row r="681" spans="1:18" x14ac:dyDescent="0.3">
      <c r="L681" s="239"/>
    </row>
    <row r="682" spans="1:18" x14ac:dyDescent="0.3">
      <c r="L682" s="239"/>
    </row>
    <row r="683" spans="1:18" x14ac:dyDescent="0.3">
      <c r="L683" s="239"/>
    </row>
    <row r="684" spans="1:18" x14ac:dyDescent="0.3">
      <c r="L684" s="239"/>
    </row>
    <row r="685" spans="1:18" x14ac:dyDescent="0.3">
      <c r="L685" s="239"/>
    </row>
    <row r="686" spans="1:18" x14ac:dyDescent="0.3">
      <c r="L686" s="239"/>
    </row>
    <row r="687" spans="1:18" x14ac:dyDescent="0.3">
      <c r="L687" s="239"/>
    </row>
    <row r="688" spans="1:18" x14ac:dyDescent="0.3">
      <c r="L688" s="239"/>
    </row>
    <row r="689" spans="12:12" x14ac:dyDescent="0.3">
      <c r="L689" s="239"/>
    </row>
    <row r="690" spans="12:12" x14ac:dyDescent="0.3">
      <c r="L690" s="239"/>
    </row>
    <row r="691" spans="12:12" x14ac:dyDescent="0.3">
      <c r="L691" s="239"/>
    </row>
    <row r="692" spans="12:12" x14ac:dyDescent="0.3">
      <c r="L692" s="239"/>
    </row>
    <row r="693" spans="12:12" x14ac:dyDescent="0.3">
      <c r="L693" s="239"/>
    </row>
    <row r="694" spans="12:12" x14ac:dyDescent="0.3">
      <c r="L694" s="239"/>
    </row>
    <row r="695" spans="12:12" x14ac:dyDescent="0.3">
      <c r="L695" s="239"/>
    </row>
    <row r="696" spans="12:12" x14ac:dyDescent="0.3">
      <c r="L696" s="239"/>
    </row>
    <row r="697" spans="12:12" x14ac:dyDescent="0.3">
      <c r="L697" s="239"/>
    </row>
    <row r="698" spans="12:12" x14ac:dyDescent="0.3">
      <c r="L698" s="239"/>
    </row>
    <row r="699" spans="12:12" x14ac:dyDescent="0.3">
      <c r="L699" s="239"/>
    </row>
    <row r="700" spans="12:12" x14ac:dyDescent="0.3">
      <c r="L700" s="239"/>
    </row>
    <row r="701" spans="12:12" x14ac:dyDescent="0.3">
      <c r="L701" s="239"/>
    </row>
    <row r="702" spans="12:12" x14ac:dyDescent="0.3">
      <c r="L702" s="239"/>
    </row>
    <row r="703" spans="12:12" x14ac:dyDescent="0.3">
      <c r="L703" s="239"/>
    </row>
    <row r="704" spans="12:12" x14ac:dyDescent="0.3">
      <c r="L704" s="239"/>
    </row>
    <row r="705" spans="12:12" x14ac:dyDescent="0.3">
      <c r="L705" s="239"/>
    </row>
    <row r="706" spans="12:12" x14ac:dyDescent="0.3">
      <c r="L706" s="239"/>
    </row>
    <row r="707" spans="12:12" x14ac:dyDescent="0.3">
      <c r="L707" s="239"/>
    </row>
    <row r="708" spans="12:12" x14ac:dyDescent="0.3">
      <c r="L708" s="239"/>
    </row>
    <row r="709" spans="12:12" x14ac:dyDescent="0.3">
      <c r="L709" s="239"/>
    </row>
    <row r="710" spans="12:12" x14ac:dyDescent="0.3">
      <c r="L710" s="239"/>
    </row>
    <row r="711" spans="12:12" x14ac:dyDescent="0.3">
      <c r="L711" s="239"/>
    </row>
    <row r="712" spans="12:12" x14ac:dyDescent="0.3">
      <c r="L712" s="239"/>
    </row>
    <row r="713" spans="12:12" x14ac:dyDescent="0.3">
      <c r="L713" s="239"/>
    </row>
    <row r="714" spans="12:12" x14ac:dyDescent="0.3">
      <c r="L714" s="239"/>
    </row>
    <row r="715" spans="12:12" x14ac:dyDescent="0.3">
      <c r="L715" s="239"/>
    </row>
    <row r="716" spans="12:12" x14ac:dyDescent="0.3">
      <c r="L716" s="239"/>
    </row>
    <row r="717" spans="12:12" x14ac:dyDescent="0.3">
      <c r="L717" s="239"/>
    </row>
    <row r="718" spans="12:12" x14ac:dyDescent="0.3">
      <c r="L718" s="239"/>
    </row>
    <row r="719" spans="12:12" x14ac:dyDescent="0.3">
      <c r="L719" s="239"/>
    </row>
    <row r="720" spans="12:12" x14ac:dyDescent="0.3">
      <c r="L720" s="239"/>
    </row>
    <row r="721" spans="12:12" x14ac:dyDescent="0.3">
      <c r="L721" s="239"/>
    </row>
    <row r="722" spans="12:12" x14ac:dyDescent="0.3">
      <c r="L722" s="239"/>
    </row>
    <row r="723" spans="12:12" x14ac:dyDescent="0.3">
      <c r="L723" s="239"/>
    </row>
    <row r="724" spans="12:12" x14ac:dyDescent="0.3">
      <c r="L724" s="239"/>
    </row>
    <row r="725" spans="12:12" x14ac:dyDescent="0.3">
      <c r="L725" s="239"/>
    </row>
    <row r="726" spans="12:12" x14ac:dyDescent="0.3">
      <c r="L726" s="239"/>
    </row>
    <row r="727" spans="12:12" x14ac:dyDescent="0.3">
      <c r="L727" s="239"/>
    </row>
    <row r="728" spans="12:12" x14ac:dyDescent="0.3">
      <c r="L728" s="239"/>
    </row>
    <row r="729" spans="12:12" x14ac:dyDescent="0.3">
      <c r="L729" s="239"/>
    </row>
    <row r="730" spans="12:12" x14ac:dyDescent="0.3">
      <c r="L730" s="239"/>
    </row>
    <row r="731" spans="12:12" x14ac:dyDescent="0.3">
      <c r="L731" s="239"/>
    </row>
    <row r="732" spans="12:12" x14ac:dyDescent="0.3">
      <c r="L732" s="239"/>
    </row>
    <row r="733" spans="12:12" x14ac:dyDescent="0.3">
      <c r="L733" s="239"/>
    </row>
    <row r="734" spans="12:12" x14ac:dyDescent="0.3">
      <c r="L734" s="239"/>
    </row>
    <row r="735" spans="12:12" x14ac:dyDescent="0.3">
      <c r="L735" s="239"/>
    </row>
    <row r="736" spans="12:12" x14ac:dyDescent="0.3">
      <c r="L736" s="239"/>
    </row>
    <row r="737" spans="12:12" x14ac:dyDescent="0.3">
      <c r="L737" s="239"/>
    </row>
    <row r="738" spans="12:12" x14ac:dyDescent="0.3">
      <c r="L738" s="239"/>
    </row>
    <row r="739" spans="12:12" x14ac:dyDescent="0.3">
      <c r="L739" s="239"/>
    </row>
    <row r="740" spans="12:12" x14ac:dyDescent="0.3">
      <c r="L740" s="239"/>
    </row>
    <row r="741" spans="12:12" x14ac:dyDescent="0.3">
      <c r="L741" s="239"/>
    </row>
    <row r="742" spans="12:12" x14ac:dyDescent="0.3">
      <c r="L742" s="239"/>
    </row>
    <row r="743" spans="12:12" x14ac:dyDescent="0.3">
      <c r="L743" s="239"/>
    </row>
    <row r="744" spans="12:12" x14ac:dyDescent="0.3">
      <c r="L744" s="239"/>
    </row>
    <row r="745" spans="12:12" x14ac:dyDescent="0.3">
      <c r="L745" s="239"/>
    </row>
    <row r="746" spans="12:12" x14ac:dyDescent="0.3">
      <c r="L746" s="239"/>
    </row>
    <row r="747" spans="12:12" x14ac:dyDescent="0.3">
      <c r="L747" s="239"/>
    </row>
    <row r="748" spans="12:12" x14ac:dyDescent="0.3">
      <c r="L748" s="239"/>
    </row>
    <row r="749" spans="12:12" x14ac:dyDescent="0.3">
      <c r="L749" s="239"/>
    </row>
    <row r="750" spans="12:12" x14ac:dyDescent="0.3">
      <c r="L750" s="239"/>
    </row>
    <row r="751" spans="12:12" x14ac:dyDescent="0.3">
      <c r="L751" s="239"/>
    </row>
    <row r="752" spans="12:12" x14ac:dyDescent="0.3">
      <c r="L752" s="239"/>
    </row>
    <row r="753" spans="12:12" x14ac:dyDescent="0.3">
      <c r="L753" s="239"/>
    </row>
    <row r="754" spans="12:12" x14ac:dyDescent="0.3">
      <c r="L754" s="239"/>
    </row>
    <row r="755" spans="12:12" x14ac:dyDescent="0.3">
      <c r="L755" s="239"/>
    </row>
    <row r="756" spans="12:12" x14ac:dyDescent="0.3">
      <c r="L756" s="239"/>
    </row>
    <row r="757" spans="12:12" x14ac:dyDescent="0.3">
      <c r="L757" s="239"/>
    </row>
    <row r="758" spans="12:12" x14ac:dyDescent="0.3">
      <c r="L758" s="239"/>
    </row>
    <row r="759" spans="12:12" x14ac:dyDescent="0.3">
      <c r="L759" s="239"/>
    </row>
    <row r="760" spans="12:12" x14ac:dyDescent="0.3">
      <c r="L760" s="239"/>
    </row>
    <row r="761" spans="12:12" x14ac:dyDescent="0.3">
      <c r="L761" s="239"/>
    </row>
    <row r="762" spans="12:12" x14ac:dyDescent="0.3">
      <c r="L762" s="239"/>
    </row>
    <row r="763" spans="12:12" x14ac:dyDescent="0.3">
      <c r="L763" s="239"/>
    </row>
    <row r="764" spans="12:12" x14ac:dyDescent="0.3">
      <c r="L764" s="239"/>
    </row>
    <row r="765" spans="12:12" x14ac:dyDescent="0.3">
      <c r="L765" s="239"/>
    </row>
    <row r="766" spans="12:12" x14ac:dyDescent="0.3">
      <c r="L766" s="239"/>
    </row>
    <row r="767" spans="12:12" x14ac:dyDescent="0.3">
      <c r="L767" s="239"/>
    </row>
    <row r="768" spans="12:12" x14ac:dyDescent="0.3">
      <c r="L768" s="239"/>
    </row>
    <row r="769" spans="12:12" x14ac:dyDescent="0.3">
      <c r="L769" s="239"/>
    </row>
    <row r="770" spans="12:12" x14ac:dyDescent="0.3">
      <c r="L770" s="239"/>
    </row>
    <row r="771" spans="12:12" x14ac:dyDescent="0.3">
      <c r="L771" s="239"/>
    </row>
    <row r="772" spans="12:12" x14ac:dyDescent="0.3">
      <c r="L772" s="239"/>
    </row>
    <row r="773" spans="12:12" x14ac:dyDescent="0.3">
      <c r="L773" s="239"/>
    </row>
    <row r="774" spans="12:12" x14ac:dyDescent="0.3">
      <c r="L774" s="239"/>
    </row>
    <row r="775" spans="12:12" x14ac:dyDescent="0.3">
      <c r="L775" s="239"/>
    </row>
    <row r="776" spans="12:12" x14ac:dyDescent="0.3">
      <c r="L776" s="239"/>
    </row>
    <row r="777" spans="12:12" x14ac:dyDescent="0.3">
      <c r="L777" s="239"/>
    </row>
    <row r="778" spans="12:12" x14ac:dyDescent="0.3">
      <c r="L778" s="239"/>
    </row>
    <row r="779" spans="12:12" x14ac:dyDescent="0.3">
      <c r="L779" s="239"/>
    </row>
    <row r="780" spans="12:12" x14ac:dyDescent="0.3">
      <c r="L780" s="239"/>
    </row>
    <row r="781" spans="12:12" x14ac:dyDescent="0.3">
      <c r="L781" s="239"/>
    </row>
    <row r="782" spans="12:12" x14ac:dyDescent="0.3">
      <c r="L782" s="239"/>
    </row>
    <row r="783" spans="12:12" x14ac:dyDescent="0.3">
      <c r="L783" s="239"/>
    </row>
    <row r="784" spans="12:12" x14ac:dyDescent="0.3">
      <c r="L784" s="239"/>
    </row>
    <row r="785" spans="12:12" x14ac:dyDescent="0.3">
      <c r="L785" s="239"/>
    </row>
    <row r="786" spans="12:12" x14ac:dyDescent="0.3">
      <c r="L786" s="239"/>
    </row>
    <row r="787" spans="12:12" x14ac:dyDescent="0.3">
      <c r="L787" s="239"/>
    </row>
    <row r="788" spans="12:12" x14ac:dyDescent="0.3">
      <c r="L788" s="239"/>
    </row>
    <row r="789" spans="12:12" x14ac:dyDescent="0.3">
      <c r="L789" s="239"/>
    </row>
    <row r="790" spans="12:12" x14ac:dyDescent="0.3">
      <c r="L790" s="239"/>
    </row>
    <row r="791" spans="12:12" x14ac:dyDescent="0.3">
      <c r="L791" s="239"/>
    </row>
    <row r="792" spans="12:12" x14ac:dyDescent="0.3">
      <c r="L792" s="239"/>
    </row>
    <row r="793" spans="12:12" x14ac:dyDescent="0.3">
      <c r="L793" s="239"/>
    </row>
    <row r="794" spans="12:12" x14ac:dyDescent="0.3">
      <c r="L794" s="239"/>
    </row>
    <row r="795" spans="12:12" x14ac:dyDescent="0.3">
      <c r="L795" s="239"/>
    </row>
    <row r="796" spans="12:12" x14ac:dyDescent="0.3">
      <c r="L796" s="239"/>
    </row>
    <row r="797" spans="12:12" x14ac:dyDescent="0.3">
      <c r="L797" s="239"/>
    </row>
    <row r="798" spans="12:12" x14ac:dyDescent="0.3">
      <c r="L798" s="239"/>
    </row>
    <row r="799" spans="12:12" x14ac:dyDescent="0.3">
      <c r="L799" s="239"/>
    </row>
    <row r="800" spans="12:12" x14ac:dyDescent="0.3">
      <c r="L800" s="239"/>
    </row>
    <row r="801" spans="12:12" x14ac:dyDescent="0.3">
      <c r="L801" s="239"/>
    </row>
    <row r="802" spans="12:12" x14ac:dyDescent="0.3">
      <c r="L802" s="239"/>
    </row>
    <row r="803" spans="12:12" x14ac:dyDescent="0.3">
      <c r="L803" s="239"/>
    </row>
    <row r="804" spans="12:12" x14ac:dyDescent="0.3">
      <c r="L804" s="239"/>
    </row>
    <row r="805" spans="12:12" x14ac:dyDescent="0.3">
      <c r="L805" s="239"/>
    </row>
    <row r="806" spans="12:12" x14ac:dyDescent="0.3">
      <c r="L806" s="239"/>
    </row>
    <row r="807" spans="12:12" x14ac:dyDescent="0.3">
      <c r="L807" s="239"/>
    </row>
    <row r="808" spans="12:12" x14ac:dyDescent="0.3">
      <c r="L808" s="239"/>
    </row>
    <row r="809" spans="12:12" x14ac:dyDescent="0.3">
      <c r="L809" s="239"/>
    </row>
    <row r="810" spans="12:12" x14ac:dyDescent="0.3">
      <c r="L810" s="239"/>
    </row>
    <row r="811" spans="12:12" x14ac:dyDescent="0.3">
      <c r="L811" s="239"/>
    </row>
    <row r="812" spans="12:12" x14ac:dyDescent="0.3">
      <c r="L812" s="239"/>
    </row>
    <row r="813" spans="12:12" x14ac:dyDescent="0.3">
      <c r="L813" s="239"/>
    </row>
    <row r="814" spans="12:12" x14ac:dyDescent="0.3">
      <c r="L814" s="239"/>
    </row>
    <row r="815" spans="12:12" x14ac:dyDescent="0.3">
      <c r="L815" s="239"/>
    </row>
    <row r="816" spans="12:12" x14ac:dyDescent="0.3">
      <c r="L816" s="239"/>
    </row>
    <row r="817" spans="12:12" x14ac:dyDescent="0.3">
      <c r="L817" s="239"/>
    </row>
    <row r="818" spans="12:12" x14ac:dyDescent="0.3">
      <c r="L818" s="239"/>
    </row>
    <row r="819" spans="12:12" x14ac:dyDescent="0.3">
      <c r="L819" s="239"/>
    </row>
    <row r="820" spans="12:12" x14ac:dyDescent="0.3">
      <c r="L820" s="239"/>
    </row>
    <row r="821" spans="12:12" x14ac:dyDescent="0.3">
      <c r="L821" s="239"/>
    </row>
    <row r="822" spans="12:12" x14ac:dyDescent="0.3">
      <c r="L822" s="239"/>
    </row>
    <row r="823" spans="12:12" x14ac:dyDescent="0.3">
      <c r="L823" s="239"/>
    </row>
    <row r="824" spans="12:12" x14ac:dyDescent="0.3">
      <c r="L824" s="239"/>
    </row>
    <row r="825" spans="12:12" x14ac:dyDescent="0.3">
      <c r="L825" s="239"/>
    </row>
    <row r="826" spans="12:12" x14ac:dyDescent="0.3">
      <c r="L826" s="239"/>
    </row>
    <row r="827" spans="12:12" x14ac:dyDescent="0.3">
      <c r="L827" s="239"/>
    </row>
    <row r="828" spans="12:12" x14ac:dyDescent="0.3">
      <c r="L828" s="239"/>
    </row>
    <row r="829" spans="12:12" x14ac:dyDescent="0.3">
      <c r="L829" s="239"/>
    </row>
    <row r="830" spans="12:12" x14ac:dyDescent="0.3">
      <c r="L830" s="239"/>
    </row>
    <row r="831" spans="12:12" x14ac:dyDescent="0.3">
      <c r="L831" s="239"/>
    </row>
    <row r="832" spans="12:12" x14ac:dyDescent="0.3">
      <c r="L832" s="239"/>
    </row>
    <row r="833" spans="12:12" x14ac:dyDescent="0.3">
      <c r="L833" s="239"/>
    </row>
    <row r="834" spans="12:12" x14ac:dyDescent="0.3">
      <c r="L834" s="239"/>
    </row>
    <row r="835" spans="12:12" x14ac:dyDescent="0.3">
      <c r="L835" s="239"/>
    </row>
    <row r="836" spans="12:12" x14ac:dyDescent="0.3">
      <c r="L836" s="239"/>
    </row>
    <row r="837" spans="12:12" x14ac:dyDescent="0.3">
      <c r="L837" s="239"/>
    </row>
    <row r="838" spans="12:12" x14ac:dyDescent="0.3">
      <c r="L838" s="239"/>
    </row>
    <row r="839" spans="12:12" x14ac:dyDescent="0.3">
      <c r="L839" s="239"/>
    </row>
    <row r="840" spans="12:12" x14ac:dyDescent="0.3">
      <c r="L840" s="239"/>
    </row>
    <row r="841" spans="12:12" x14ac:dyDescent="0.3">
      <c r="L841" s="239"/>
    </row>
    <row r="842" spans="12:12" x14ac:dyDescent="0.3">
      <c r="L842" s="239"/>
    </row>
    <row r="843" spans="12:12" x14ac:dyDescent="0.3">
      <c r="L843" s="239"/>
    </row>
    <row r="844" spans="12:12" x14ac:dyDescent="0.3">
      <c r="L844" s="239"/>
    </row>
    <row r="845" spans="12:12" x14ac:dyDescent="0.3">
      <c r="L845" s="239"/>
    </row>
    <row r="846" spans="12:12" x14ac:dyDescent="0.3">
      <c r="L846" s="239"/>
    </row>
    <row r="847" spans="12:12" x14ac:dyDescent="0.3">
      <c r="L847" s="239"/>
    </row>
    <row r="848" spans="12:12" x14ac:dyDescent="0.3">
      <c r="L848" s="239"/>
    </row>
    <row r="849" spans="12:12" x14ac:dyDescent="0.3">
      <c r="L849" s="239"/>
    </row>
    <row r="850" spans="12:12" x14ac:dyDescent="0.3">
      <c r="L850" s="239"/>
    </row>
    <row r="851" spans="12:12" x14ac:dyDescent="0.3">
      <c r="L851" s="239"/>
    </row>
    <row r="852" spans="12:12" x14ac:dyDescent="0.3">
      <c r="L852" s="239"/>
    </row>
    <row r="853" spans="12:12" x14ac:dyDescent="0.3">
      <c r="L853" s="239"/>
    </row>
    <row r="854" spans="12:12" x14ac:dyDescent="0.3">
      <c r="L854" s="239"/>
    </row>
    <row r="855" spans="12:12" x14ac:dyDescent="0.3">
      <c r="L855" s="239"/>
    </row>
    <row r="856" spans="12:12" x14ac:dyDescent="0.3">
      <c r="L856" s="239"/>
    </row>
    <row r="857" spans="12:12" x14ac:dyDescent="0.3">
      <c r="L857" s="239"/>
    </row>
    <row r="858" spans="12:12" x14ac:dyDescent="0.3">
      <c r="L858" s="239"/>
    </row>
    <row r="859" spans="12:12" x14ac:dyDescent="0.3">
      <c r="L859" s="239"/>
    </row>
    <row r="860" spans="12:12" x14ac:dyDescent="0.3">
      <c r="L860" s="239"/>
    </row>
    <row r="861" spans="12:12" x14ac:dyDescent="0.3">
      <c r="L861" s="239"/>
    </row>
    <row r="862" spans="12:12" x14ac:dyDescent="0.3">
      <c r="L862" s="239"/>
    </row>
    <row r="863" spans="12:12" x14ac:dyDescent="0.3">
      <c r="L863" s="239"/>
    </row>
    <row r="864" spans="12:12" x14ac:dyDescent="0.3">
      <c r="L864" s="239"/>
    </row>
    <row r="865" spans="12:12" x14ac:dyDescent="0.3">
      <c r="L865" s="239"/>
    </row>
    <row r="866" spans="12:12" x14ac:dyDescent="0.3">
      <c r="L866" s="239"/>
    </row>
    <row r="867" spans="12:12" x14ac:dyDescent="0.3">
      <c r="L867" s="239"/>
    </row>
    <row r="868" spans="12:12" x14ac:dyDescent="0.3">
      <c r="L868" s="239"/>
    </row>
    <row r="869" spans="12:12" x14ac:dyDescent="0.3">
      <c r="L869" s="239"/>
    </row>
    <row r="870" spans="12:12" x14ac:dyDescent="0.3">
      <c r="L870" s="239"/>
    </row>
    <row r="871" spans="12:12" x14ac:dyDescent="0.3">
      <c r="L871" s="239"/>
    </row>
    <row r="872" spans="12:12" x14ac:dyDescent="0.3">
      <c r="L872" s="239"/>
    </row>
    <row r="873" spans="12:12" x14ac:dyDescent="0.3">
      <c r="L873" s="239"/>
    </row>
    <row r="874" spans="12:12" x14ac:dyDescent="0.3">
      <c r="L874" s="239"/>
    </row>
    <row r="875" spans="12:12" x14ac:dyDescent="0.3">
      <c r="L875" s="239"/>
    </row>
    <row r="876" spans="12:12" x14ac:dyDescent="0.3">
      <c r="L876" s="239"/>
    </row>
    <row r="877" spans="12:12" x14ac:dyDescent="0.3">
      <c r="L877" s="239"/>
    </row>
    <row r="878" spans="12:12" x14ac:dyDescent="0.3">
      <c r="L878" s="239"/>
    </row>
    <row r="879" spans="12:12" x14ac:dyDescent="0.3">
      <c r="L879" s="239"/>
    </row>
    <row r="880" spans="12:12" x14ac:dyDescent="0.3">
      <c r="L880" s="239"/>
    </row>
    <row r="881" spans="12:12" x14ac:dyDescent="0.3">
      <c r="L881" s="239"/>
    </row>
    <row r="882" spans="12:12" x14ac:dyDescent="0.3">
      <c r="L882" s="239"/>
    </row>
    <row r="883" spans="12:12" x14ac:dyDescent="0.3">
      <c r="L883" s="239"/>
    </row>
    <row r="884" spans="12:12" x14ac:dyDescent="0.3">
      <c r="L884" s="239"/>
    </row>
    <row r="885" spans="12:12" x14ac:dyDescent="0.3">
      <c r="L885" s="239"/>
    </row>
    <row r="886" spans="12:12" x14ac:dyDescent="0.3">
      <c r="L886" s="239"/>
    </row>
    <row r="887" spans="12:12" x14ac:dyDescent="0.3">
      <c r="L887" s="239"/>
    </row>
    <row r="888" spans="12:12" x14ac:dyDescent="0.3">
      <c r="L888" s="239"/>
    </row>
    <row r="889" spans="12:12" x14ac:dyDescent="0.3">
      <c r="L889" s="239"/>
    </row>
    <row r="890" spans="12:12" x14ac:dyDescent="0.3">
      <c r="L890" s="239"/>
    </row>
    <row r="891" spans="12:12" x14ac:dyDescent="0.3">
      <c r="L891" s="239"/>
    </row>
    <row r="892" spans="12:12" x14ac:dyDescent="0.3">
      <c r="L892" s="239"/>
    </row>
    <row r="893" spans="12:12" x14ac:dyDescent="0.3">
      <c r="L893" s="239"/>
    </row>
    <row r="894" spans="12:12" x14ac:dyDescent="0.3">
      <c r="L894" s="239"/>
    </row>
    <row r="895" spans="12:12" x14ac:dyDescent="0.3">
      <c r="L895" s="239"/>
    </row>
    <row r="896" spans="12:12" x14ac:dyDescent="0.3">
      <c r="L896" s="239"/>
    </row>
    <row r="897" spans="12:12" x14ac:dyDescent="0.3">
      <c r="L897" s="239"/>
    </row>
    <row r="898" spans="12:12" x14ac:dyDescent="0.3">
      <c r="L898" s="239"/>
    </row>
    <row r="899" spans="12:12" x14ac:dyDescent="0.3">
      <c r="L899" s="239"/>
    </row>
    <row r="900" spans="12:12" x14ac:dyDescent="0.3">
      <c r="L900" s="239"/>
    </row>
    <row r="901" spans="12:12" x14ac:dyDescent="0.3">
      <c r="L901" s="239"/>
    </row>
    <row r="902" spans="12:12" x14ac:dyDescent="0.3">
      <c r="L902" s="239"/>
    </row>
    <row r="903" spans="12:12" x14ac:dyDescent="0.3">
      <c r="L903" s="239"/>
    </row>
    <row r="904" spans="12:12" x14ac:dyDescent="0.3">
      <c r="L904" s="239"/>
    </row>
    <row r="905" spans="12:12" x14ac:dyDescent="0.3">
      <c r="L905" s="239"/>
    </row>
    <row r="906" spans="12:12" x14ac:dyDescent="0.3">
      <c r="L906" s="239"/>
    </row>
    <row r="907" spans="12:12" x14ac:dyDescent="0.3">
      <c r="L907" s="239"/>
    </row>
    <row r="908" spans="12:12" x14ac:dyDescent="0.3">
      <c r="L908" s="239"/>
    </row>
    <row r="909" spans="12:12" x14ac:dyDescent="0.3">
      <c r="L909" s="239"/>
    </row>
    <row r="910" spans="12:12" x14ac:dyDescent="0.3">
      <c r="L910" s="239"/>
    </row>
    <row r="911" spans="12:12" x14ac:dyDescent="0.3">
      <c r="L911" s="239"/>
    </row>
    <row r="912" spans="12:12" x14ac:dyDescent="0.3">
      <c r="L912" s="239"/>
    </row>
    <row r="913" spans="12:12" x14ac:dyDescent="0.3">
      <c r="L913" s="239"/>
    </row>
    <row r="914" spans="12:12" x14ac:dyDescent="0.3">
      <c r="L914" s="239"/>
    </row>
    <row r="915" spans="12:12" x14ac:dyDescent="0.3">
      <c r="L915" s="239"/>
    </row>
    <row r="916" spans="12:12" x14ac:dyDescent="0.3">
      <c r="L916" s="239"/>
    </row>
    <row r="917" spans="12:12" x14ac:dyDescent="0.3">
      <c r="L917" s="239"/>
    </row>
    <row r="918" spans="12:12" x14ac:dyDescent="0.3">
      <c r="L918" s="239"/>
    </row>
    <row r="919" spans="12:12" x14ac:dyDescent="0.3">
      <c r="L919" s="239"/>
    </row>
    <row r="920" spans="12:12" x14ac:dyDescent="0.3">
      <c r="L920" s="239"/>
    </row>
    <row r="921" spans="12:12" x14ac:dyDescent="0.3">
      <c r="L921" s="239"/>
    </row>
    <row r="922" spans="12:12" x14ac:dyDescent="0.3">
      <c r="L922" s="239"/>
    </row>
    <row r="923" spans="12:12" x14ac:dyDescent="0.3">
      <c r="L923" s="239"/>
    </row>
    <row r="924" spans="12:12" x14ac:dyDescent="0.3">
      <c r="L924" s="239"/>
    </row>
    <row r="925" spans="12:12" x14ac:dyDescent="0.3">
      <c r="L925" s="239"/>
    </row>
    <row r="926" spans="12:12" x14ac:dyDescent="0.3">
      <c r="L926" s="239"/>
    </row>
    <row r="927" spans="12:12" x14ac:dyDescent="0.3">
      <c r="L927" s="239"/>
    </row>
    <row r="928" spans="12:12" x14ac:dyDescent="0.3">
      <c r="L928" s="239"/>
    </row>
    <row r="929" spans="12:12" x14ac:dyDescent="0.3">
      <c r="L929" s="239"/>
    </row>
    <row r="930" spans="12:12" x14ac:dyDescent="0.3">
      <c r="L930" s="239"/>
    </row>
    <row r="931" spans="12:12" x14ac:dyDescent="0.3">
      <c r="L931" s="239"/>
    </row>
    <row r="932" spans="12:12" x14ac:dyDescent="0.3">
      <c r="L932" s="239"/>
    </row>
    <row r="933" spans="12:12" x14ac:dyDescent="0.3">
      <c r="L933" s="239"/>
    </row>
    <row r="934" spans="12:12" x14ac:dyDescent="0.3">
      <c r="L934" s="239"/>
    </row>
    <row r="935" spans="12:12" x14ac:dyDescent="0.3">
      <c r="L935" s="239"/>
    </row>
    <row r="936" spans="12:12" x14ac:dyDescent="0.3">
      <c r="L936" s="239"/>
    </row>
    <row r="937" spans="12:12" x14ac:dyDescent="0.3">
      <c r="L937" s="239"/>
    </row>
    <row r="938" spans="12:12" x14ac:dyDescent="0.3">
      <c r="L938" s="239"/>
    </row>
    <row r="939" spans="12:12" x14ac:dyDescent="0.3">
      <c r="L939" s="239"/>
    </row>
    <row r="940" spans="12:12" x14ac:dyDescent="0.3">
      <c r="L940" s="239"/>
    </row>
    <row r="941" spans="12:12" x14ac:dyDescent="0.3">
      <c r="L941" s="239"/>
    </row>
    <row r="942" spans="12:12" x14ac:dyDescent="0.3">
      <c r="L942" s="239"/>
    </row>
    <row r="943" spans="12:12" x14ac:dyDescent="0.3">
      <c r="L943" s="239"/>
    </row>
    <row r="944" spans="12:12" x14ac:dyDescent="0.3">
      <c r="L944" s="239"/>
    </row>
    <row r="945" spans="12:12" x14ac:dyDescent="0.3">
      <c r="L945" s="239"/>
    </row>
    <row r="946" spans="12:12" x14ac:dyDescent="0.3">
      <c r="L946" s="239"/>
    </row>
    <row r="947" spans="12:12" x14ac:dyDescent="0.3">
      <c r="L947" s="239"/>
    </row>
    <row r="948" spans="12:12" x14ac:dyDescent="0.3">
      <c r="L948" s="239"/>
    </row>
    <row r="949" spans="12:12" x14ac:dyDescent="0.3">
      <c r="L949" s="239"/>
    </row>
    <row r="950" spans="12:12" x14ac:dyDescent="0.3">
      <c r="L950" s="239"/>
    </row>
    <row r="951" spans="12:12" x14ac:dyDescent="0.3">
      <c r="L951" s="239"/>
    </row>
    <row r="952" spans="12:12" x14ac:dyDescent="0.3">
      <c r="L952" s="239"/>
    </row>
    <row r="953" spans="12:12" x14ac:dyDescent="0.3">
      <c r="L953" s="239"/>
    </row>
    <row r="954" spans="12:12" x14ac:dyDescent="0.3">
      <c r="L954" s="239"/>
    </row>
    <row r="955" spans="12:12" x14ac:dyDescent="0.3">
      <c r="L955" s="239"/>
    </row>
    <row r="956" spans="12:12" x14ac:dyDescent="0.3">
      <c r="L956" s="239"/>
    </row>
    <row r="957" spans="12:12" x14ac:dyDescent="0.3">
      <c r="L957" s="239"/>
    </row>
    <row r="958" spans="12:12" x14ac:dyDescent="0.3">
      <c r="L958" s="239"/>
    </row>
    <row r="959" spans="12:12" x14ac:dyDescent="0.3">
      <c r="L959" s="239"/>
    </row>
    <row r="960" spans="12:12" x14ac:dyDescent="0.3">
      <c r="L960" s="239"/>
    </row>
    <row r="961" spans="12:12" x14ac:dyDescent="0.3">
      <c r="L961" s="239"/>
    </row>
    <row r="962" spans="12:12" x14ac:dyDescent="0.3">
      <c r="L962" s="239"/>
    </row>
    <row r="963" spans="12:12" x14ac:dyDescent="0.3">
      <c r="L963" s="239"/>
    </row>
    <row r="964" spans="12:12" x14ac:dyDescent="0.3">
      <c r="L964" s="239"/>
    </row>
    <row r="965" spans="12:12" x14ac:dyDescent="0.3">
      <c r="L965" s="239"/>
    </row>
    <row r="966" spans="12:12" x14ac:dyDescent="0.3">
      <c r="L966" s="239"/>
    </row>
    <row r="967" spans="12:12" x14ac:dyDescent="0.3">
      <c r="L967" s="239"/>
    </row>
    <row r="968" spans="12:12" x14ac:dyDescent="0.3">
      <c r="L968" s="239"/>
    </row>
    <row r="969" spans="12:12" x14ac:dyDescent="0.3">
      <c r="L969" s="239"/>
    </row>
    <row r="970" spans="12:12" x14ac:dyDescent="0.3">
      <c r="L970" s="239"/>
    </row>
    <row r="971" spans="12:12" x14ac:dyDescent="0.3">
      <c r="L971" s="239"/>
    </row>
    <row r="972" spans="12:12" x14ac:dyDescent="0.3">
      <c r="L972" s="239"/>
    </row>
    <row r="973" spans="12:12" x14ac:dyDescent="0.3">
      <c r="L973" s="239"/>
    </row>
    <row r="974" spans="12:12" x14ac:dyDescent="0.3">
      <c r="L974" s="239"/>
    </row>
    <row r="975" spans="12:12" x14ac:dyDescent="0.3">
      <c r="L975" s="239"/>
    </row>
    <row r="976" spans="12:12" x14ac:dyDescent="0.3">
      <c r="L976" s="239"/>
    </row>
    <row r="977" spans="12:12" x14ac:dyDescent="0.3">
      <c r="L977" s="239"/>
    </row>
    <row r="978" spans="12:12" x14ac:dyDescent="0.3">
      <c r="L978" s="239"/>
    </row>
    <row r="979" spans="12:12" x14ac:dyDescent="0.3">
      <c r="L979" s="239"/>
    </row>
    <row r="980" spans="12:12" x14ac:dyDescent="0.3">
      <c r="L980" s="239"/>
    </row>
    <row r="981" spans="12:12" x14ac:dyDescent="0.3">
      <c r="L981" s="239"/>
    </row>
    <row r="982" spans="12:12" x14ac:dyDescent="0.3">
      <c r="L982" s="239"/>
    </row>
    <row r="983" spans="12:12" x14ac:dyDescent="0.3">
      <c r="L983" s="239"/>
    </row>
    <row r="984" spans="12:12" x14ac:dyDescent="0.3">
      <c r="L984" s="239"/>
    </row>
    <row r="985" spans="12:12" x14ac:dyDescent="0.3">
      <c r="L985" s="239"/>
    </row>
    <row r="986" spans="12:12" x14ac:dyDescent="0.3">
      <c r="L986" s="239"/>
    </row>
    <row r="987" spans="12:12" x14ac:dyDescent="0.3">
      <c r="L987" s="239"/>
    </row>
    <row r="988" spans="12:12" x14ac:dyDescent="0.3">
      <c r="L988" s="239"/>
    </row>
    <row r="989" spans="12:12" x14ac:dyDescent="0.3">
      <c r="L989" s="239"/>
    </row>
    <row r="990" spans="12:12" x14ac:dyDescent="0.3">
      <c r="L990" s="239"/>
    </row>
    <row r="991" spans="12:12" x14ac:dyDescent="0.3">
      <c r="L991" s="239"/>
    </row>
    <row r="992" spans="12:12" x14ac:dyDescent="0.3">
      <c r="L992" s="239"/>
    </row>
    <row r="993" spans="12:12" x14ac:dyDescent="0.3">
      <c r="L993" s="239"/>
    </row>
    <row r="994" spans="12:12" x14ac:dyDescent="0.3">
      <c r="L994" s="239"/>
    </row>
    <row r="995" spans="12:12" x14ac:dyDescent="0.3">
      <c r="L995" s="239"/>
    </row>
    <row r="996" spans="12:12" x14ac:dyDescent="0.3">
      <c r="L996" s="239"/>
    </row>
    <row r="997" spans="12:12" x14ac:dyDescent="0.3">
      <c r="L997" s="239"/>
    </row>
    <row r="998" spans="12:12" x14ac:dyDescent="0.3">
      <c r="L998" s="239"/>
    </row>
    <row r="999" spans="12:12" x14ac:dyDescent="0.3">
      <c r="L999" s="239"/>
    </row>
    <row r="1000" spans="12:12" x14ac:dyDescent="0.3">
      <c r="L1000" s="239"/>
    </row>
    <row r="1001" spans="12:12" x14ac:dyDescent="0.3">
      <c r="L1001" s="239"/>
    </row>
    <row r="1002" spans="12:12" x14ac:dyDescent="0.3">
      <c r="L1002" s="239"/>
    </row>
    <row r="1003" spans="12:12" x14ac:dyDescent="0.3">
      <c r="L1003" s="239"/>
    </row>
    <row r="1004" spans="12:12" x14ac:dyDescent="0.3">
      <c r="L1004" s="239"/>
    </row>
    <row r="1005" spans="12:12" x14ac:dyDescent="0.3">
      <c r="L1005" s="239"/>
    </row>
    <row r="1006" spans="12:12" x14ac:dyDescent="0.3">
      <c r="L1006" s="239"/>
    </row>
    <row r="1007" spans="12:12" x14ac:dyDescent="0.3">
      <c r="L1007" s="239"/>
    </row>
    <row r="1008" spans="12:12" x14ac:dyDescent="0.3">
      <c r="L1008" s="239"/>
    </row>
    <row r="1009" spans="12:12" x14ac:dyDescent="0.3">
      <c r="L1009" s="239"/>
    </row>
    <row r="1010" spans="12:12" x14ac:dyDescent="0.3">
      <c r="L1010" s="239"/>
    </row>
    <row r="1011" spans="12:12" x14ac:dyDescent="0.3">
      <c r="L1011" s="239"/>
    </row>
    <row r="1012" spans="12:12" x14ac:dyDescent="0.3">
      <c r="L1012" s="239"/>
    </row>
    <row r="1013" spans="12:12" x14ac:dyDescent="0.3">
      <c r="L1013" s="239"/>
    </row>
    <row r="1014" spans="12:12" x14ac:dyDescent="0.3">
      <c r="L1014" s="239"/>
    </row>
    <row r="1015" spans="12:12" x14ac:dyDescent="0.3">
      <c r="L1015" s="239"/>
    </row>
    <row r="1016" spans="12:12" x14ac:dyDescent="0.3">
      <c r="L1016" s="239"/>
    </row>
    <row r="1017" spans="12:12" x14ac:dyDescent="0.3">
      <c r="L1017" s="239"/>
    </row>
    <row r="1018" spans="12:12" x14ac:dyDescent="0.3">
      <c r="L1018" s="239"/>
    </row>
    <row r="1019" spans="12:12" x14ac:dyDescent="0.3">
      <c r="L1019" s="239"/>
    </row>
    <row r="1020" spans="12:12" x14ac:dyDescent="0.3">
      <c r="L1020" s="239"/>
    </row>
    <row r="1021" spans="12:12" x14ac:dyDescent="0.3">
      <c r="L1021" s="239"/>
    </row>
    <row r="1022" spans="12:12" x14ac:dyDescent="0.3">
      <c r="L1022" s="239"/>
    </row>
    <row r="1023" spans="12:12" x14ac:dyDescent="0.3">
      <c r="L1023" s="239"/>
    </row>
    <row r="1024" spans="12:12" x14ac:dyDescent="0.3">
      <c r="L1024" s="239"/>
    </row>
    <row r="1025" spans="12:12" x14ac:dyDescent="0.3">
      <c r="L1025" s="239"/>
    </row>
    <row r="1026" spans="12:12" x14ac:dyDescent="0.3">
      <c r="L1026" s="239"/>
    </row>
    <row r="1027" spans="12:12" x14ac:dyDescent="0.3">
      <c r="L1027" s="239"/>
    </row>
    <row r="1028" spans="12:12" x14ac:dyDescent="0.3">
      <c r="L1028" s="239"/>
    </row>
    <row r="1029" spans="12:12" x14ac:dyDescent="0.3">
      <c r="L1029" s="239"/>
    </row>
    <row r="1030" spans="12:12" x14ac:dyDescent="0.3">
      <c r="L1030" s="239"/>
    </row>
    <row r="1031" spans="12:12" x14ac:dyDescent="0.3">
      <c r="L1031" s="239"/>
    </row>
    <row r="1032" spans="12:12" x14ac:dyDescent="0.3">
      <c r="L1032" s="239"/>
    </row>
    <row r="1033" spans="12:12" x14ac:dyDescent="0.3">
      <c r="L1033" s="239"/>
    </row>
    <row r="1034" spans="12:12" x14ac:dyDescent="0.3">
      <c r="L1034" s="239"/>
    </row>
    <row r="1035" spans="12:12" x14ac:dyDescent="0.3">
      <c r="L1035" s="239"/>
    </row>
    <row r="1036" spans="12:12" x14ac:dyDescent="0.3">
      <c r="L1036" s="239"/>
    </row>
    <row r="1037" spans="12:12" x14ac:dyDescent="0.3">
      <c r="L1037" s="239"/>
    </row>
    <row r="1038" spans="12:12" x14ac:dyDescent="0.3">
      <c r="L1038" s="239"/>
    </row>
    <row r="1039" spans="12:12" x14ac:dyDescent="0.3">
      <c r="L1039" s="239"/>
    </row>
    <row r="1040" spans="12:12" x14ac:dyDescent="0.3">
      <c r="L1040" s="239"/>
    </row>
    <row r="1041" spans="12:12" x14ac:dyDescent="0.3">
      <c r="L1041" s="239"/>
    </row>
    <row r="1042" spans="12:12" x14ac:dyDescent="0.3">
      <c r="L1042" s="239"/>
    </row>
    <row r="1043" spans="12:12" x14ac:dyDescent="0.3">
      <c r="L1043" s="239"/>
    </row>
    <row r="1044" spans="12:12" x14ac:dyDescent="0.3">
      <c r="L1044" s="239"/>
    </row>
    <row r="1045" spans="12:12" x14ac:dyDescent="0.3">
      <c r="L1045" s="239"/>
    </row>
    <row r="1046" spans="12:12" x14ac:dyDescent="0.3">
      <c r="L1046" s="239"/>
    </row>
    <row r="1047" spans="12:12" x14ac:dyDescent="0.3">
      <c r="L1047" s="239"/>
    </row>
    <row r="1048" spans="12:12" x14ac:dyDescent="0.3">
      <c r="L1048" s="239"/>
    </row>
    <row r="1049" spans="12:12" x14ac:dyDescent="0.3">
      <c r="L1049" s="239"/>
    </row>
    <row r="1050" spans="12:12" x14ac:dyDescent="0.3">
      <c r="L1050" s="239"/>
    </row>
    <row r="1051" spans="12:12" x14ac:dyDescent="0.3">
      <c r="L1051" s="239"/>
    </row>
    <row r="1052" spans="12:12" x14ac:dyDescent="0.3">
      <c r="L1052" s="239"/>
    </row>
    <row r="1053" spans="12:12" x14ac:dyDescent="0.3">
      <c r="L1053" s="239"/>
    </row>
    <row r="1054" spans="12:12" x14ac:dyDescent="0.3">
      <c r="L1054" s="239"/>
    </row>
    <row r="1055" spans="12:12" x14ac:dyDescent="0.3">
      <c r="L1055" s="239"/>
    </row>
    <row r="1056" spans="12:12" x14ac:dyDescent="0.3">
      <c r="L1056" s="239"/>
    </row>
    <row r="1057" spans="12:12" x14ac:dyDescent="0.3">
      <c r="L1057" s="239"/>
    </row>
    <row r="1058" spans="12:12" x14ac:dyDescent="0.3">
      <c r="L1058" s="239"/>
    </row>
    <row r="1059" spans="12:12" x14ac:dyDescent="0.3">
      <c r="L1059" s="239"/>
    </row>
    <row r="1060" spans="12:12" x14ac:dyDescent="0.3">
      <c r="L1060" s="239"/>
    </row>
    <row r="1061" spans="12:12" x14ac:dyDescent="0.3">
      <c r="L1061" s="239"/>
    </row>
    <row r="1062" spans="12:12" x14ac:dyDescent="0.3">
      <c r="L1062" s="239"/>
    </row>
    <row r="1063" spans="12:12" x14ac:dyDescent="0.3">
      <c r="L1063" s="239"/>
    </row>
    <row r="1064" spans="12:12" x14ac:dyDescent="0.3">
      <c r="L1064" s="239"/>
    </row>
    <row r="1065" spans="12:12" x14ac:dyDescent="0.3">
      <c r="L1065" s="239"/>
    </row>
    <row r="1066" spans="12:12" x14ac:dyDescent="0.3">
      <c r="L1066" s="239"/>
    </row>
    <row r="1067" spans="12:12" x14ac:dyDescent="0.3">
      <c r="L1067" s="239"/>
    </row>
    <row r="1068" spans="12:12" x14ac:dyDescent="0.3">
      <c r="L1068" s="239"/>
    </row>
    <row r="1069" spans="12:12" x14ac:dyDescent="0.3">
      <c r="L1069" s="239"/>
    </row>
    <row r="1070" spans="12:12" x14ac:dyDescent="0.3">
      <c r="L1070" s="239"/>
    </row>
    <row r="1071" spans="12:12" x14ac:dyDescent="0.3">
      <c r="L1071" s="239"/>
    </row>
    <row r="1072" spans="12:12" x14ac:dyDescent="0.3">
      <c r="L1072" s="239"/>
    </row>
    <row r="1073" spans="12:12" x14ac:dyDescent="0.3">
      <c r="L1073" s="239"/>
    </row>
    <row r="1074" spans="12:12" x14ac:dyDescent="0.3">
      <c r="L1074" s="239"/>
    </row>
    <row r="1075" spans="12:12" x14ac:dyDescent="0.3">
      <c r="L1075" s="239"/>
    </row>
    <row r="1076" spans="12:12" x14ac:dyDescent="0.3">
      <c r="L1076" s="239"/>
    </row>
    <row r="1077" spans="12:12" x14ac:dyDescent="0.3">
      <c r="L1077" s="239"/>
    </row>
    <row r="1078" spans="12:12" x14ac:dyDescent="0.3">
      <c r="L1078" s="239"/>
    </row>
    <row r="1079" spans="12:12" x14ac:dyDescent="0.3">
      <c r="L1079" s="239"/>
    </row>
    <row r="1080" spans="12:12" x14ac:dyDescent="0.3">
      <c r="L1080" s="239"/>
    </row>
    <row r="1081" spans="12:12" x14ac:dyDescent="0.3">
      <c r="L1081" s="239"/>
    </row>
    <row r="1082" spans="12:12" x14ac:dyDescent="0.3">
      <c r="L1082" s="239"/>
    </row>
    <row r="1083" spans="12:12" x14ac:dyDescent="0.3">
      <c r="L1083" s="239"/>
    </row>
    <row r="1084" spans="12:12" x14ac:dyDescent="0.3">
      <c r="L1084" s="239"/>
    </row>
    <row r="1085" spans="12:12" x14ac:dyDescent="0.3">
      <c r="L1085" s="239"/>
    </row>
    <row r="1086" spans="12:12" x14ac:dyDescent="0.3">
      <c r="L1086" s="239"/>
    </row>
    <row r="1087" spans="12:12" x14ac:dyDescent="0.3">
      <c r="L1087" s="239"/>
    </row>
    <row r="1088" spans="12:12" x14ac:dyDescent="0.3">
      <c r="L1088" s="239"/>
    </row>
    <row r="1089" spans="12:12" x14ac:dyDescent="0.3">
      <c r="L1089" s="239"/>
    </row>
    <row r="1090" spans="12:12" x14ac:dyDescent="0.3">
      <c r="L1090" s="239"/>
    </row>
    <row r="1091" spans="12:12" x14ac:dyDescent="0.3">
      <c r="L1091" s="239"/>
    </row>
    <row r="1092" spans="12:12" x14ac:dyDescent="0.3">
      <c r="L1092" s="239"/>
    </row>
    <row r="1093" spans="12:12" x14ac:dyDescent="0.3">
      <c r="L1093" s="239"/>
    </row>
    <row r="1094" spans="12:12" x14ac:dyDescent="0.3">
      <c r="L1094" s="239"/>
    </row>
    <row r="1095" spans="12:12" x14ac:dyDescent="0.3">
      <c r="L1095" s="239"/>
    </row>
    <row r="1096" spans="12:12" x14ac:dyDescent="0.3">
      <c r="L1096" s="239"/>
    </row>
    <row r="1097" spans="12:12" x14ac:dyDescent="0.3">
      <c r="L1097" s="239"/>
    </row>
    <row r="1098" spans="12:12" x14ac:dyDescent="0.3">
      <c r="L1098" s="239"/>
    </row>
    <row r="1099" spans="12:12" x14ac:dyDescent="0.3">
      <c r="L1099" s="239"/>
    </row>
    <row r="1100" spans="12:12" x14ac:dyDescent="0.3">
      <c r="L1100" s="239"/>
    </row>
    <row r="1101" spans="12:12" x14ac:dyDescent="0.3">
      <c r="L1101" s="239"/>
    </row>
    <row r="1102" spans="12:12" x14ac:dyDescent="0.3">
      <c r="L1102" s="239"/>
    </row>
    <row r="1103" spans="12:12" x14ac:dyDescent="0.3">
      <c r="L1103" s="239"/>
    </row>
    <row r="1104" spans="12:12" x14ac:dyDescent="0.3">
      <c r="L1104" s="239"/>
    </row>
    <row r="1105" spans="12:12" x14ac:dyDescent="0.3">
      <c r="L1105" s="239"/>
    </row>
    <row r="1106" spans="12:12" x14ac:dyDescent="0.3">
      <c r="L1106" s="239"/>
    </row>
    <row r="1107" spans="12:12" x14ac:dyDescent="0.3">
      <c r="L1107" s="239"/>
    </row>
    <row r="1108" spans="12:12" x14ac:dyDescent="0.3">
      <c r="L1108" s="239"/>
    </row>
    <row r="1109" spans="12:12" x14ac:dyDescent="0.3">
      <c r="L1109" s="239"/>
    </row>
    <row r="1110" spans="12:12" x14ac:dyDescent="0.3">
      <c r="L1110" s="239"/>
    </row>
    <row r="1111" spans="12:12" x14ac:dyDescent="0.3">
      <c r="L1111" s="239"/>
    </row>
    <row r="1112" spans="12:12" x14ac:dyDescent="0.3">
      <c r="L1112" s="239"/>
    </row>
    <row r="1113" spans="12:12" x14ac:dyDescent="0.3">
      <c r="L1113" s="239"/>
    </row>
    <row r="1114" spans="12:12" x14ac:dyDescent="0.3">
      <c r="L1114" s="239"/>
    </row>
    <row r="1115" spans="12:12" x14ac:dyDescent="0.3">
      <c r="L1115" s="239"/>
    </row>
    <row r="1116" spans="12:12" x14ac:dyDescent="0.3">
      <c r="L1116" s="239"/>
    </row>
    <row r="1117" spans="12:12" x14ac:dyDescent="0.3">
      <c r="L1117" s="239"/>
    </row>
    <row r="1118" spans="12:12" x14ac:dyDescent="0.3">
      <c r="L1118" s="239"/>
    </row>
    <row r="1119" spans="12:12" x14ac:dyDescent="0.3">
      <c r="L1119" s="239"/>
    </row>
    <row r="1120" spans="12:12" x14ac:dyDescent="0.3">
      <c r="L1120" s="239"/>
    </row>
    <row r="1121" spans="12:12" x14ac:dyDescent="0.3">
      <c r="L1121" s="239"/>
    </row>
    <row r="1122" spans="12:12" x14ac:dyDescent="0.3">
      <c r="L1122" s="239"/>
    </row>
    <row r="1123" spans="12:12" x14ac:dyDescent="0.3">
      <c r="L1123" s="239"/>
    </row>
    <row r="1124" spans="12:12" x14ac:dyDescent="0.3">
      <c r="L1124" s="239"/>
    </row>
    <row r="1125" spans="12:12" x14ac:dyDescent="0.3">
      <c r="L1125" s="239"/>
    </row>
    <row r="1126" spans="12:12" x14ac:dyDescent="0.3">
      <c r="L1126" s="239"/>
    </row>
    <row r="1127" spans="12:12" x14ac:dyDescent="0.3">
      <c r="L1127" s="239"/>
    </row>
    <row r="1128" spans="12:12" x14ac:dyDescent="0.3">
      <c r="L1128" s="239"/>
    </row>
    <row r="1129" spans="12:12" x14ac:dyDescent="0.3">
      <c r="L1129" s="239"/>
    </row>
    <row r="1130" spans="12:12" x14ac:dyDescent="0.3">
      <c r="L1130" s="239"/>
    </row>
    <row r="1131" spans="12:12" x14ac:dyDescent="0.3">
      <c r="L1131" s="239"/>
    </row>
    <row r="1132" spans="12:12" x14ac:dyDescent="0.3">
      <c r="L1132" s="239"/>
    </row>
    <row r="1133" spans="12:12" x14ac:dyDescent="0.3">
      <c r="L1133" s="239"/>
    </row>
    <row r="1134" spans="12:12" x14ac:dyDescent="0.3">
      <c r="L1134" s="239"/>
    </row>
    <row r="1135" spans="12:12" x14ac:dyDescent="0.3">
      <c r="L1135" s="239"/>
    </row>
    <row r="1136" spans="12:12" x14ac:dyDescent="0.3">
      <c r="L1136" s="239"/>
    </row>
    <row r="1137" spans="12:12" x14ac:dyDescent="0.3">
      <c r="L1137" s="239"/>
    </row>
    <row r="1138" spans="12:12" x14ac:dyDescent="0.3">
      <c r="L1138" s="239"/>
    </row>
    <row r="1139" spans="12:12" x14ac:dyDescent="0.3">
      <c r="L1139" s="239"/>
    </row>
    <row r="1140" spans="12:12" x14ac:dyDescent="0.3">
      <c r="L1140" s="239"/>
    </row>
    <row r="1141" spans="12:12" x14ac:dyDescent="0.3">
      <c r="L1141" s="239"/>
    </row>
    <row r="1142" spans="12:12" x14ac:dyDescent="0.3">
      <c r="L1142" s="239"/>
    </row>
    <row r="1143" spans="12:12" x14ac:dyDescent="0.3">
      <c r="L1143" s="239"/>
    </row>
    <row r="1144" spans="12:12" x14ac:dyDescent="0.3">
      <c r="L1144" s="239"/>
    </row>
    <row r="1145" spans="12:12" x14ac:dyDescent="0.3">
      <c r="L1145" s="239"/>
    </row>
    <row r="1146" spans="12:12" x14ac:dyDescent="0.3">
      <c r="L1146" s="239"/>
    </row>
    <row r="1147" spans="12:12" x14ac:dyDescent="0.3">
      <c r="L1147" s="239"/>
    </row>
    <row r="1148" spans="12:12" x14ac:dyDescent="0.3">
      <c r="L1148" s="239"/>
    </row>
    <row r="1149" spans="12:12" x14ac:dyDescent="0.3">
      <c r="L1149" s="239"/>
    </row>
    <row r="1150" spans="12:12" x14ac:dyDescent="0.3">
      <c r="L1150" s="239"/>
    </row>
    <row r="1151" spans="12:12" x14ac:dyDescent="0.3">
      <c r="L1151" s="239"/>
    </row>
    <row r="1152" spans="12:12" x14ac:dyDescent="0.3">
      <c r="L1152" s="239"/>
    </row>
    <row r="1153" spans="12:12" x14ac:dyDescent="0.3">
      <c r="L1153" s="239"/>
    </row>
    <row r="1154" spans="12:12" x14ac:dyDescent="0.3">
      <c r="L1154" s="239"/>
    </row>
    <row r="1155" spans="12:12" x14ac:dyDescent="0.3">
      <c r="L1155" s="239"/>
    </row>
    <row r="1156" spans="12:12" x14ac:dyDescent="0.3">
      <c r="L1156" s="239"/>
    </row>
    <row r="1157" spans="12:12" x14ac:dyDescent="0.3">
      <c r="L1157" s="239"/>
    </row>
    <row r="1158" spans="12:12" x14ac:dyDescent="0.3">
      <c r="L1158" s="239"/>
    </row>
    <row r="1159" spans="12:12" x14ac:dyDescent="0.3">
      <c r="L1159" s="239"/>
    </row>
    <row r="1160" spans="12:12" x14ac:dyDescent="0.3">
      <c r="L1160" s="239"/>
    </row>
    <row r="1161" spans="12:12" x14ac:dyDescent="0.3">
      <c r="L1161" s="239"/>
    </row>
    <row r="1162" spans="12:12" x14ac:dyDescent="0.3">
      <c r="L1162" s="239"/>
    </row>
    <row r="1163" spans="12:12" x14ac:dyDescent="0.3">
      <c r="L1163" s="239"/>
    </row>
    <row r="1164" spans="12:12" x14ac:dyDescent="0.3">
      <c r="L1164" s="239"/>
    </row>
    <row r="1165" spans="12:12" x14ac:dyDescent="0.3">
      <c r="L1165" s="239"/>
    </row>
    <row r="1166" spans="12:12" x14ac:dyDescent="0.3">
      <c r="L1166" s="239"/>
    </row>
    <row r="1167" spans="12:12" x14ac:dyDescent="0.3">
      <c r="L1167" s="239"/>
    </row>
    <row r="1168" spans="12:12" x14ac:dyDescent="0.3">
      <c r="L1168" s="239"/>
    </row>
    <row r="1169" spans="12:12" x14ac:dyDescent="0.3">
      <c r="L1169" s="239"/>
    </row>
    <row r="1170" spans="12:12" x14ac:dyDescent="0.3">
      <c r="L1170" s="239"/>
    </row>
    <row r="1171" spans="12:12" x14ac:dyDescent="0.3">
      <c r="L1171" s="239"/>
    </row>
    <row r="1172" spans="12:12" x14ac:dyDescent="0.3">
      <c r="L1172" s="239"/>
    </row>
    <row r="1173" spans="12:12" x14ac:dyDescent="0.3">
      <c r="L1173" s="239"/>
    </row>
    <row r="1174" spans="12:12" x14ac:dyDescent="0.3">
      <c r="L1174" s="239"/>
    </row>
    <row r="1175" spans="12:12" x14ac:dyDescent="0.3">
      <c r="L1175" s="239"/>
    </row>
    <row r="1176" spans="12:12" x14ac:dyDescent="0.3">
      <c r="L1176" s="239"/>
    </row>
    <row r="1177" spans="12:12" x14ac:dyDescent="0.3">
      <c r="L1177" s="239"/>
    </row>
    <row r="1178" spans="12:12" x14ac:dyDescent="0.3">
      <c r="L1178" s="239"/>
    </row>
    <row r="1179" spans="12:12" x14ac:dyDescent="0.3">
      <c r="L1179" s="239"/>
    </row>
    <row r="1180" spans="12:12" x14ac:dyDescent="0.3">
      <c r="L1180" s="239"/>
    </row>
    <row r="1181" spans="12:12" x14ac:dyDescent="0.3">
      <c r="L1181" s="239"/>
    </row>
    <row r="1182" spans="12:12" x14ac:dyDescent="0.3">
      <c r="L1182" s="239"/>
    </row>
    <row r="1183" spans="12:12" x14ac:dyDescent="0.3">
      <c r="L1183" s="239"/>
    </row>
    <row r="1184" spans="12:12" x14ac:dyDescent="0.3">
      <c r="L1184" s="239"/>
    </row>
    <row r="1185" spans="12:12" x14ac:dyDescent="0.3">
      <c r="L1185" s="239"/>
    </row>
    <row r="1186" spans="12:12" x14ac:dyDescent="0.3">
      <c r="L1186" s="239"/>
    </row>
    <row r="1187" spans="12:12" x14ac:dyDescent="0.3">
      <c r="L1187" s="239"/>
    </row>
    <row r="1188" spans="12:12" x14ac:dyDescent="0.3">
      <c r="L1188" s="239"/>
    </row>
    <row r="1189" spans="12:12" x14ac:dyDescent="0.3">
      <c r="L1189" s="239"/>
    </row>
    <row r="1190" spans="12:12" x14ac:dyDescent="0.3">
      <c r="L1190" s="239"/>
    </row>
    <row r="1191" spans="12:12" x14ac:dyDescent="0.3">
      <c r="L1191" s="239"/>
    </row>
    <row r="1192" spans="12:12" x14ac:dyDescent="0.3">
      <c r="L1192" s="239"/>
    </row>
    <row r="1193" spans="12:12" x14ac:dyDescent="0.3">
      <c r="L1193" s="239"/>
    </row>
    <row r="1194" spans="12:12" x14ac:dyDescent="0.3">
      <c r="L1194" s="239"/>
    </row>
    <row r="1195" spans="12:12" x14ac:dyDescent="0.3">
      <c r="L1195" s="239"/>
    </row>
    <row r="1196" spans="12:12" x14ac:dyDescent="0.3">
      <c r="L1196" s="239"/>
    </row>
    <row r="1197" spans="12:12" x14ac:dyDescent="0.3">
      <c r="L1197" s="239"/>
    </row>
    <row r="1198" spans="12:12" x14ac:dyDescent="0.3">
      <c r="L1198" s="239"/>
    </row>
    <row r="1199" spans="12:12" x14ac:dyDescent="0.3">
      <c r="L1199" s="239"/>
    </row>
    <row r="1200" spans="12:12" x14ac:dyDescent="0.3">
      <c r="L1200" s="239"/>
    </row>
    <row r="1201" spans="12:12" x14ac:dyDescent="0.3">
      <c r="L1201" s="239"/>
    </row>
    <row r="1202" spans="12:12" x14ac:dyDescent="0.3">
      <c r="L1202" s="239"/>
    </row>
    <row r="1203" spans="12:12" x14ac:dyDescent="0.3">
      <c r="L1203" s="239"/>
    </row>
    <row r="1204" spans="12:12" x14ac:dyDescent="0.3">
      <c r="L1204" s="239"/>
    </row>
    <row r="1205" spans="12:12" x14ac:dyDescent="0.3">
      <c r="L1205" s="239"/>
    </row>
    <row r="1206" spans="12:12" x14ac:dyDescent="0.3">
      <c r="L1206" s="239"/>
    </row>
    <row r="1207" spans="12:12" x14ac:dyDescent="0.3">
      <c r="L1207" s="239"/>
    </row>
    <row r="1208" spans="12:12" x14ac:dyDescent="0.3">
      <c r="L1208" s="239"/>
    </row>
    <row r="1209" spans="12:12" x14ac:dyDescent="0.3">
      <c r="L1209" s="239"/>
    </row>
    <row r="1210" spans="12:12" x14ac:dyDescent="0.3">
      <c r="L1210" s="239"/>
    </row>
    <row r="1211" spans="12:12" x14ac:dyDescent="0.3">
      <c r="L1211" s="239"/>
    </row>
    <row r="1212" spans="12:12" x14ac:dyDescent="0.3">
      <c r="L1212" s="239"/>
    </row>
    <row r="1213" spans="12:12" x14ac:dyDescent="0.3">
      <c r="L1213" s="239"/>
    </row>
    <row r="1214" spans="12:12" x14ac:dyDescent="0.3">
      <c r="L1214" s="239"/>
    </row>
    <row r="1215" spans="12:12" x14ac:dyDescent="0.3">
      <c r="L1215" s="239"/>
    </row>
    <row r="1216" spans="12:12" x14ac:dyDescent="0.3">
      <c r="L1216" s="239"/>
    </row>
    <row r="1217" spans="12:12" x14ac:dyDescent="0.3">
      <c r="L1217" s="239"/>
    </row>
    <row r="1218" spans="12:12" x14ac:dyDescent="0.3">
      <c r="L1218" s="239"/>
    </row>
    <row r="1219" spans="12:12" x14ac:dyDescent="0.3">
      <c r="L1219" s="239"/>
    </row>
    <row r="1220" spans="12:12" x14ac:dyDescent="0.3">
      <c r="L1220" s="239"/>
    </row>
    <row r="1221" spans="12:12" x14ac:dyDescent="0.3">
      <c r="L1221" s="239"/>
    </row>
    <row r="1222" spans="12:12" x14ac:dyDescent="0.3">
      <c r="L1222" s="239"/>
    </row>
    <row r="1223" spans="12:12" x14ac:dyDescent="0.3">
      <c r="L1223" s="239"/>
    </row>
    <row r="1224" spans="12:12" x14ac:dyDescent="0.3">
      <c r="L1224" s="239"/>
    </row>
    <row r="1225" spans="12:12" x14ac:dyDescent="0.3">
      <c r="L1225" s="239"/>
    </row>
    <row r="1226" spans="12:12" x14ac:dyDescent="0.3">
      <c r="L1226" s="239"/>
    </row>
    <row r="1227" spans="12:12" x14ac:dyDescent="0.3">
      <c r="L1227" s="239"/>
    </row>
    <row r="1228" spans="12:12" x14ac:dyDescent="0.3">
      <c r="L1228" s="239"/>
    </row>
    <row r="1229" spans="12:12" x14ac:dyDescent="0.3">
      <c r="L1229" s="239"/>
    </row>
    <row r="1230" spans="12:12" x14ac:dyDescent="0.3">
      <c r="L1230" s="239"/>
    </row>
    <row r="1231" spans="12:12" x14ac:dyDescent="0.3">
      <c r="L1231" s="239"/>
    </row>
    <row r="1232" spans="12:12" x14ac:dyDescent="0.3">
      <c r="L1232" s="239"/>
    </row>
    <row r="1233" spans="12:12" x14ac:dyDescent="0.3">
      <c r="L1233" s="239"/>
    </row>
    <row r="1234" spans="12:12" x14ac:dyDescent="0.3">
      <c r="L1234" s="239"/>
    </row>
    <row r="1235" spans="12:12" x14ac:dyDescent="0.3">
      <c r="L1235" s="239"/>
    </row>
    <row r="1236" spans="12:12" x14ac:dyDescent="0.3">
      <c r="L1236" s="239"/>
    </row>
    <row r="1237" spans="12:12" x14ac:dyDescent="0.3">
      <c r="L1237" s="239"/>
    </row>
    <row r="1238" spans="12:12" x14ac:dyDescent="0.3">
      <c r="L1238" s="239"/>
    </row>
    <row r="1239" spans="12:12" x14ac:dyDescent="0.3">
      <c r="L1239" s="239"/>
    </row>
    <row r="1240" spans="12:12" x14ac:dyDescent="0.3">
      <c r="L1240" s="239"/>
    </row>
    <row r="1241" spans="12:12" x14ac:dyDescent="0.3">
      <c r="L1241" s="239"/>
    </row>
    <row r="1242" spans="12:12" x14ac:dyDescent="0.3">
      <c r="L1242" s="239"/>
    </row>
    <row r="1243" spans="12:12" x14ac:dyDescent="0.3">
      <c r="L1243" s="239"/>
    </row>
    <row r="1244" spans="12:12" x14ac:dyDescent="0.3">
      <c r="L1244" s="239"/>
    </row>
    <row r="1245" spans="12:12" x14ac:dyDescent="0.3">
      <c r="L1245" s="239"/>
    </row>
    <row r="1246" spans="12:12" x14ac:dyDescent="0.3">
      <c r="L1246" s="239"/>
    </row>
    <row r="1247" spans="12:12" x14ac:dyDescent="0.3">
      <c r="L1247" s="239"/>
    </row>
    <row r="1248" spans="12:12" x14ac:dyDescent="0.3">
      <c r="L1248" s="239"/>
    </row>
    <row r="1249" spans="12:12" x14ac:dyDescent="0.3">
      <c r="L1249" s="239"/>
    </row>
    <row r="1250" spans="12:12" x14ac:dyDescent="0.3">
      <c r="L1250" s="239"/>
    </row>
    <row r="1251" spans="12:12" x14ac:dyDescent="0.3">
      <c r="L1251" s="239"/>
    </row>
    <row r="1252" spans="12:12" x14ac:dyDescent="0.3">
      <c r="L1252" s="239"/>
    </row>
    <row r="1253" spans="12:12" x14ac:dyDescent="0.3">
      <c r="L1253" s="239"/>
    </row>
    <row r="1254" spans="12:12" x14ac:dyDescent="0.3">
      <c r="L1254" s="239"/>
    </row>
    <row r="1255" spans="12:12" x14ac:dyDescent="0.3">
      <c r="L1255" s="239"/>
    </row>
    <row r="1256" spans="12:12" x14ac:dyDescent="0.3">
      <c r="L1256" s="239"/>
    </row>
    <row r="1257" spans="12:12" x14ac:dyDescent="0.3">
      <c r="L1257" s="239"/>
    </row>
    <row r="1258" spans="12:12" x14ac:dyDescent="0.3">
      <c r="L1258" s="239"/>
    </row>
    <row r="1259" spans="12:12" x14ac:dyDescent="0.3">
      <c r="L1259" s="239"/>
    </row>
    <row r="1260" spans="12:12" x14ac:dyDescent="0.3">
      <c r="L1260" s="239"/>
    </row>
    <row r="1261" spans="12:12" x14ac:dyDescent="0.3">
      <c r="L1261" s="239"/>
    </row>
    <row r="1262" spans="12:12" x14ac:dyDescent="0.3">
      <c r="L1262" s="239"/>
    </row>
    <row r="1263" spans="12:12" x14ac:dyDescent="0.3">
      <c r="L1263" s="239"/>
    </row>
    <row r="1264" spans="12:12" x14ac:dyDescent="0.3">
      <c r="L1264" s="239"/>
    </row>
    <row r="1265" spans="12:12" x14ac:dyDescent="0.3">
      <c r="L1265" s="239"/>
    </row>
    <row r="1266" spans="12:12" x14ac:dyDescent="0.3">
      <c r="L1266" s="239"/>
    </row>
    <row r="1267" spans="12:12" x14ac:dyDescent="0.3">
      <c r="L1267" s="239"/>
    </row>
    <row r="1268" spans="12:12" x14ac:dyDescent="0.3">
      <c r="L1268" s="239"/>
    </row>
    <row r="1269" spans="12:12" x14ac:dyDescent="0.3">
      <c r="L1269" s="239"/>
    </row>
    <row r="1270" spans="12:12" x14ac:dyDescent="0.3">
      <c r="L1270" s="239"/>
    </row>
    <row r="1271" spans="12:12" x14ac:dyDescent="0.3">
      <c r="L1271" s="239"/>
    </row>
    <row r="1272" spans="12:12" x14ac:dyDescent="0.3">
      <c r="L1272" s="239"/>
    </row>
    <row r="1273" spans="12:12" x14ac:dyDescent="0.3">
      <c r="L1273" s="239"/>
    </row>
    <row r="1274" spans="12:12" x14ac:dyDescent="0.3">
      <c r="L1274" s="239"/>
    </row>
    <row r="1275" spans="12:12" x14ac:dyDescent="0.3">
      <c r="L1275" s="239"/>
    </row>
    <row r="1276" spans="12:12" x14ac:dyDescent="0.3">
      <c r="L1276" s="239"/>
    </row>
    <row r="1277" spans="12:12" x14ac:dyDescent="0.3">
      <c r="L1277" s="239"/>
    </row>
    <row r="1278" spans="12:12" x14ac:dyDescent="0.3">
      <c r="L1278" s="239"/>
    </row>
    <row r="1279" spans="12:12" x14ac:dyDescent="0.3">
      <c r="L1279" s="239"/>
    </row>
    <row r="1280" spans="12:12" x14ac:dyDescent="0.3">
      <c r="L1280" s="239"/>
    </row>
    <row r="1281" spans="12:12" x14ac:dyDescent="0.3">
      <c r="L1281" s="239"/>
    </row>
    <row r="1282" spans="12:12" x14ac:dyDescent="0.3">
      <c r="L1282" s="239"/>
    </row>
    <row r="1283" spans="12:12" x14ac:dyDescent="0.3">
      <c r="L1283" s="239"/>
    </row>
    <row r="1284" spans="12:12" x14ac:dyDescent="0.3">
      <c r="L1284" s="239"/>
    </row>
    <row r="1285" spans="12:12" x14ac:dyDescent="0.3">
      <c r="L1285" s="239"/>
    </row>
    <row r="1286" spans="12:12" x14ac:dyDescent="0.3">
      <c r="L1286" s="239"/>
    </row>
    <row r="1287" spans="12:12" x14ac:dyDescent="0.3">
      <c r="L1287" s="239"/>
    </row>
    <row r="1288" spans="12:12" x14ac:dyDescent="0.3">
      <c r="L1288" s="239"/>
    </row>
    <row r="1289" spans="12:12" x14ac:dyDescent="0.3">
      <c r="L1289" s="239"/>
    </row>
    <row r="1290" spans="12:12" x14ac:dyDescent="0.3">
      <c r="L1290" s="239"/>
    </row>
    <row r="1291" spans="12:12" x14ac:dyDescent="0.3">
      <c r="L1291" s="239"/>
    </row>
    <row r="1292" spans="12:12" x14ac:dyDescent="0.3">
      <c r="L1292" s="239"/>
    </row>
    <row r="1293" spans="12:12" x14ac:dyDescent="0.3">
      <c r="L1293" s="239"/>
    </row>
    <row r="1294" spans="12:12" x14ac:dyDescent="0.3">
      <c r="L1294" s="239"/>
    </row>
    <row r="1295" spans="12:12" x14ac:dyDescent="0.3">
      <c r="L1295" s="239"/>
    </row>
    <row r="1296" spans="12:12" x14ac:dyDescent="0.3">
      <c r="L1296" s="239"/>
    </row>
    <row r="1297" spans="12:12" x14ac:dyDescent="0.3">
      <c r="L1297" s="239"/>
    </row>
    <row r="1298" spans="12:12" x14ac:dyDescent="0.3">
      <c r="L1298" s="239"/>
    </row>
    <row r="1299" spans="12:12" x14ac:dyDescent="0.3">
      <c r="L1299" s="239"/>
    </row>
    <row r="1300" spans="12:12" x14ac:dyDescent="0.3">
      <c r="L1300" s="239"/>
    </row>
    <row r="1301" spans="12:12" x14ac:dyDescent="0.3">
      <c r="L1301" s="239"/>
    </row>
    <row r="1302" spans="12:12" x14ac:dyDescent="0.3">
      <c r="L1302" s="239"/>
    </row>
    <row r="1303" spans="12:12" x14ac:dyDescent="0.3">
      <c r="L1303" s="239"/>
    </row>
    <row r="1304" spans="12:12" x14ac:dyDescent="0.3">
      <c r="L1304" s="239"/>
    </row>
    <row r="1305" spans="12:12" x14ac:dyDescent="0.3">
      <c r="L1305" s="239"/>
    </row>
    <row r="1306" spans="12:12" x14ac:dyDescent="0.3">
      <c r="L1306" s="239"/>
    </row>
    <row r="1307" spans="12:12" x14ac:dyDescent="0.3">
      <c r="L1307" s="239"/>
    </row>
    <row r="1308" spans="12:12" x14ac:dyDescent="0.3">
      <c r="L1308" s="239"/>
    </row>
    <row r="1309" spans="12:12" x14ac:dyDescent="0.3">
      <c r="L1309" s="239"/>
    </row>
    <row r="1310" spans="12:12" x14ac:dyDescent="0.3">
      <c r="L1310" s="239"/>
    </row>
    <row r="1311" spans="12:12" x14ac:dyDescent="0.3">
      <c r="L1311" s="239"/>
    </row>
    <row r="1312" spans="12:12" x14ac:dyDescent="0.3">
      <c r="L1312" s="239"/>
    </row>
    <row r="1313" spans="12:12" x14ac:dyDescent="0.3">
      <c r="L1313" s="239"/>
    </row>
    <row r="1314" spans="12:12" x14ac:dyDescent="0.3">
      <c r="L1314" s="239"/>
    </row>
    <row r="1315" spans="12:12" x14ac:dyDescent="0.3">
      <c r="L1315" s="239"/>
    </row>
    <row r="1316" spans="12:12" x14ac:dyDescent="0.3">
      <c r="L1316" s="239"/>
    </row>
    <row r="1317" spans="12:12" x14ac:dyDescent="0.3">
      <c r="L1317" s="239"/>
    </row>
    <row r="1318" spans="12:12" x14ac:dyDescent="0.3">
      <c r="L1318" s="239"/>
    </row>
    <row r="1319" spans="12:12" x14ac:dyDescent="0.3">
      <c r="L1319" s="239"/>
    </row>
    <row r="1320" spans="12:12" x14ac:dyDescent="0.3">
      <c r="L1320" s="239"/>
    </row>
    <row r="1321" spans="12:12" x14ac:dyDescent="0.3">
      <c r="L1321" s="239"/>
    </row>
    <row r="1322" spans="12:12" x14ac:dyDescent="0.3">
      <c r="L1322" s="239"/>
    </row>
    <row r="1323" spans="12:12" x14ac:dyDescent="0.3">
      <c r="L1323" s="239"/>
    </row>
    <row r="1324" spans="12:12" x14ac:dyDescent="0.3">
      <c r="L1324" s="239"/>
    </row>
    <row r="1325" spans="12:12" x14ac:dyDescent="0.3">
      <c r="L1325" s="239"/>
    </row>
    <row r="1326" spans="12:12" x14ac:dyDescent="0.3">
      <c r="L1326" s="239"/>
    </row>
    <row r="1327" spans="12:12" x14ac:dyDescent="0.3">
      <c r="L1327" s="239"/>
    </row>
    <row r="1328" spans="12:12" x14ac:dyDescent="0.3">
      <c r="L1328" s="239"/>
    </row>
    <row r="1329" spans="12:12" x14ac:dyDescent="0.3">
      <c r="L1329" s="239"/>
    </row>
    <row r="1330" spans="12:12" x14ac:dyDescent="0.3">
      <c r="L1330" s="239"/>
    </row>
    <row r="1331" spans="12:12" x14ac:dyDescent="0.3">
      <c r="L1331" s="239"/>
    </row>
    <row r="1332" spans="12:12" x14ac:dyDescent="0.3">
      <c r="L1332" s="239"/>
    </row>
    <row r="1333" spans="12:12" x14ac:dyDescent="0.3">
      <c r="L1333" s="239"/>
    </row>
    <row r="1334" spans="12:12" x14ac:dyDescent="0.3">
      <c r="L1334" s="239"/>
    </row>
    <row r="1335" spans="12:12" x14ac:dyDescent="0.3">
      <c r="L1335" s="239"/>
    </row>
    <row r="1336" spans="12:12" x14ac:dyDescent="0.3">
      <c r="L1336" s="239"/>
    </row>
    <row r="1337" spans="12:12" x14ac:dyDescent="0.3">
      <c r="L1337" s="239"/>
    </row>
    <row r="1338" spans="12:12" x14ac:dyDescent="0.3">
      <c r="L1338" s="239"/>
    </row>
    <row r="1339" spans="12:12" x14ac:dyDescent="0.3">
      <c r="L1339" s="239"/>
    </row>
    <row r="1340" spans="12:12" x14ac:dyDescent="0.3">
      <c r="L1340" s="239"/>
    </row>
    <row r="1341" spans="12:12" x14ac:dyDescent="0.3">
      <c r="L1341" s="239"/>
    </row>
    <row r="1342" spans="12:12" x14ac:dyDescent="0.3">
      <c r="L1342" s="239"/>
    </row>
    <row r="1343" spans="12:12" x14ac:dyDescent="0.3">
      <c r="L1343" s="239"/>
    </row>
    <row r="1344" spans="12:12" x14ac:dyDescent="0.3">
      <c r="L1344" s="239"/>
    </row>
    <row r="1345" spans="12:12" x14ac:dyDescent="0.3">
      <c r="L1345" s="239"/>
    </row>
    <row r="1346" spans="12:12" x14ac:dyDescent="0.3">
      <c r="L1346" s="239"/>
    </row>
    <row r="1347" spans="12:12" x14ac:dyDescent="0.3">
      <c r="L1347" s="239"/>
    </row>
    <row r="1348" spans="12:12" x14ac:dyDescent="0.3">
      <c r="L1348" s="239"/>
    </row>
    <row r="1349" spans="12:12" x14ac:dyDescent="0.3">
      <c r="L1349" s="239"/>
    </row>
    <row r="1350" spans="12:12" x14ac:dyDescent="0.3">
      <c r="L1350" s="239"/>
    </row>
    <row r="1351" spans="12:12" x14ac:dyDescent="0.3">
      <c r="L1351" s="239"/>
    </row>
    <row r="1352" spans="12:12" x14ac:dyDescent="0.3">
      <c r="L1352" s="239"/>
    </row>
    <row r="1353" spans="12:12" x14ac:dyDescent="0.3">
      <c r="L1353" s="239"/>
    </row>
    <row r="1354" spans="12:12" x14ac:dyDescent="0.3">
      <c r="L1354" s="239"/>
    </row>
    <row r="1355" spans="12:12" x14ac:dyDescent="0.3">
      <c r="L1355" s="239"/>
    </row>
    <row r="1356" spans="12:12" x14ac:dyDescent="0.3">
      <c r="L1356" s="239"/>
    </row>
    <row r="1357" spans="12:12" x14ac:dyDescent="0.3">
      <c r="L1357" s="239"/>
    </row>
    <row r="1358" spans="12:12" x14ac:dyDescent="0.3">
      <c r="L1358" s="239"/>
    </row>
    <row r="1359" spans="12:12" x14ac:dyDescent="0.3">
      <c r="L1359" s="239"/>
    </row>
    <row r="1360" spans="12:12" x14ac:dyDescent="0.3">
      <c r="L1360" s="239"/>
    </row>
    <row r="1361" spans="12:12" x14ac:dyDescent="0.3">
      <c r="L1361" s="239"/>
    </row>
    <row r="1362" spans="12:12" x14ac:dyDescent="0.3">
      <c r="L1362" s="239"/>
    </row>
    <row r="1363" spans="12:12" x14ac:dyDescent="0.3">
      <c r="L1363" s="239"/>
    </row>
    <row r="1364" spans="12:12" x14ac:dyDescent="0.3">
      <c r="L1364" s="239"/>
    </row>
    <row r="1365" spans="12:12" x14ac:dyDescent="0.3">
      <c r="L1365" s="239"/>
    </row>
    <row r="1366" spans="12:12" x14ac:dyDescent="0.3">
      <c r="L1366" s="239"/>
    </row>
    <row r="1367" spans="12:12" x14ac:dyDescent="0.3">
      <c r="L1367" s="239"/>
    </row>
    <row r="1368" spans="12:12" x14ac:dyDescent="0.3">
      <c r="L1368" s="239"/>
    </row>
    <row r="1369" spans="12:12" x14ac:dyDescent="0.3">
      <c r="L1369" s="239"/>
    </row>
    <row r="1370" spans="12:12" x14ac:dyDescent="0.3">
      <c r="L1370" s="239"/>
    </row>
    <row r="1371" spans="12:12" x14ac:dyDescent="0.3">
      <c r="L1371" s="239"/>
    </row>
    <row r="1372" spans="12:12" x14ac:dyDescent="0.3">
      <c r="L1372" s="239"/>
    </row>
    <row r="1373" spans="12:12" x14ac:dyDescent="0.3">
      <c r="L1373" s="239"/>
    </row>
    <row r="1374" spans="12:12" x14ac:dyDescent="0.3">
      <c r="L1374" s="239"/>
    </row>
    <row r="1375" spans="12:12" x14ac:dyDescent="0.3">
      <c r="L1375" s="239"/>
    </row>
    <row r="1376" spans="12:12" x14ac:dyDescent="0.3">
      <c r="L1376" s="239"/>
    </row>
    <row r="1377" spans="12:12" x14ac:dyDescent="0.3">
      <c r="L1377" s="239"/>
    </row>
    <row r="1378" spans="12:12" x14ac:dyDescent="0.3">
      <c r="L1378" s="239"/>
    </row>
    <row r="1379" spans="12:12" x14ac:dyDescent="0.3">
      <c r="L1379" s="239"/>
    </row>
    <row r="1380" spans="12:12" x14ac:dyDescent="0.3">
      <c r="L1380" s="239"/>
    </row>
    <row r="1381" spans="12:12" x14ac:dyDescent="0.3">
      <c r="L1381" s="239"/>
    </row>
    <row r="1382" spans="12:12" x14ac:dyDescent="0.3">
      <c r="L1382" s="239"/>
    </row>
    <row r="1383" spans="12:12" x14ac:dyDescent="0.3">
      <c r="L1383" s="239"/>
    </row>
    <row r="1384" spans="12:12" x14ac:dyDescent="0.3">
      <c r="L1384" s="239"/>
    </row>
    <row r="1385" spans="12:12" x14ac:dyDescent="0.3">
      <c r="L1385" s="239"/>
    </row>
    <row r="1386" spans="12:12" x14ac:dyDescent="0.3">
      <c r="L1386" s="239"/>
    </row>
    <row r="1387" spans="12:12" x14ac:dyDescent="0.3">
      <c r="L1387" s="239"/>
    </row>
    <row r="1388" spans="12:12" x14ac:dyDescent="0.3">
      <c r="L1388" s="239"/>
    </row>
    <row r="1389" spans="12:12" x14ac:dyDescent="0.3">
      <c r="L1389" s="239"/>
    </row>
    <row r="1390" spans="12:12" x14ac:dyDescent="0.3">
      <c r="L1390" s="239"/>
    </row>
    <row r="1391" spans="12:12" x14ac:dyDescent="0.3">
      <c r="L1391" s="239"/>
    </row>
    <row r="1392" spans="12:12" x14ac:dyDescent="0.3">
      <c r="L1392" s="239"/>
    </row>
    <row r="1393" spans="12:12" x14ac:dyDescent="0.3">
      <c r="L1393" s="239"/>
    </row>
    <row r="1394" spans="12:12" x14ac:dyDescent="0.3">
      <c r="L1394" s="239"/>
    </row>
    <row r="1395" spans="12:12" x14ac:dyDescent="0.3">
      <c r="L1395" s="239"/>
    </row>
    <row r="1396" spans="12:12" x14ac:dyDescent="0.3">
      <c r="L1396" s="239"/>
    </row>
    <row r="1397" spans="12:12" x14ac:dyDescent="0.3">
      <c r="L1397" s="239"/>
    </row>
    <row r="1398" spans="12:12" x14ac:dyDescent="0.3">
      <c r="L1398" s="239"/>
    </row>
    <row r="1399" spans="12:12" x14ac:dyDescent="0.3">
      <c r="L1399" s="239"/>
    </row>
    <row r="1400" spans="12:12" x14ac:dyDescent="0.3">
      <c r="L1400" s="239"/>
    </row>
    <row r="1401" spans="12:12" x14ac:dyDescent="0.3">
      <c r="L1401" s="239"/>
    </row>
    <row r="1402" spans="12:12" x14ac:dyDescent="0.3">
      <c r="L1402" s="239"/>
    </row>
    <row r="1403" spans="12:12" x14ac:dyDescent="0.3">
      <c r="L1403" s="239"/>
    </row>
    <row r="1404" spans="12:12" x14ac:dyDescent="0.3">
      <c r="L1404" s="239"/>
    </row>
    <row r="1405" spans="12:12" x14ac:dyDescent="0.3">
      <c r="L1405" s="239"/>
    </row>
    <row r="1406" spans="12:12" x14ac:dyDescent="0.3">
      <c r="L1406" s="239"/>
    </row>
    <row r="1407" spans="12:12" x14ac:dyDescent="0.3">
      <c r="L1407" s="239"/>
    </row>
    <row r="1408" spans="12:12" x14ac:dyDescent="0.3">
      <c r="L1408" s="239"/>
    </row>
    <row r="1409" spans="12:12" x14ac:dyDescent="0.3">
      <c r="L1409" s="239"/>
    </row>
    <row r="1410" spans="12:12" x14ac:dyDescent="0.3">
      <c r="L1410" s="239"/>
    </row>
    <row r="1411" spans="12:12" x14ac:dyDescent="0.3">
      <c r="L1411" s="239"/>
    </row>
    <row r="1412" spans="12:12" x14ac:dyDescent="0.3">
      <c r="L1412" s="239"/>
    </row>
    <row r="1413" spans="12:12" x14ac:dyDescent="0.3">
      <c r="L1413" s="239"/>
    </row>
    <row r="1414" spans="12:12" x14ac:dyDescent="0.3">
      <c r="L1414" s="239"/>
    </row>
    <row r="1415" spans="12:12" x14ac:dyDescent="0.3">
      <c r="L1415" s="239"/>
    </row>
    <row r="1416" spans="12:12" x14ac:dyDescent="0.3">
      <c r="L1416" s="239"/>
    </row>
    <row r="1417" spans="12:12" x14ac:dyDescent="0.3">
      <c r="L1417" s="239"/>
    </row>
    <row r="1418" spans="12:12" x14ac:dyDescent="0.3">
      <c r="L1418" s="239"/>
    </row>
    <row r="1419" spans="12:12" x14ac:dyDescent="0.3">
      <c r="L1419" s="239"/>
    </row>
    <row r="1420" spans="12:12" x14ac:dyDescent="0.3">
      <c r="L1420" s="239"/>
    </row>
    <row r="1421" spans="12:12" x14ac:dyDescent="0.3">
      <c r="L1421" s="239"/>
    </row>
    <row r="1422" spans="12:12" x14ac:dyDescent="0.3">
      <c r="L1422" s="239"/>
    </row>
    <row r="1423" spans="12:12" x14ac:dyDescent="0.3">
      <c r="L1423" s="239"/>
    </row>
    <row r="1424" spans="12:12" x14ac:dyDescent="0.3">
      <c r="L1424" s="239"/>
    </row>
    <row r="1425" spans="12:12" x14ac:dyDescent="0.3">
      <c r="L1425" s="239"/>
    </row>
    <row r="1426" spans="12:12" x14ac:dyDescent="0.3">
      <c r="L1426" s="239"/>
    </row>
    <row r="1427" spans="12:12" x14ac:dyDescent="0.3">
      <c r="L1427" s="239"/>
    </row>
    <row r="1428" spans="12:12" x14ac:dyDescent="0.3">
      <c r="L1428" s="239"/>
    </row>
    <row r="1429" spans="12:12" x14ac:dyDescent="0.3">
      <c r="L1429" s="239"/>
    </row>
    <row r="1430" spans="12:12" x14ac:dyDescent="0.3">
      <c r="L1430" s="239"/>
    </row>
    <row r="1431" spans="12:12" x14ac:dyDescent="0.3">
      <c r="L1431" s="239"/>
    </row>
    <row r="1432" spans="12:12" x14ac:dyDescent="0.3">
      <c r="L1432" s="239"/>
    </row>
    <row r="1433" spans="12:12" x14ac:dyDescent="0.3">
      <c r="L1433" s="239"/>
    </row>
    <row r="1434" spans="12:12" x14ac:dyDescent="0.3">
      <c r="L1434" s="239"/>
    </row>
    <row r="1435" spans="12:12" x14ac:dyDescent="0.3">
      <c r="L1435" s="239"/>
    </row>
    <row r="1436" spans="12:12" x14ac:dyDescent="0.3">
      <c r="L1436" s="239"/>
    </row>
    <row r="1437" spans="12:12" x14ac:dyDescent="0.3">
      <c r="L1437" s="239"/>
    </row>
    <row r="1438" spans="12:12" x14ac:dyDescent="0.3">
      <c r="L1438" s="239"/>
    </row>
    <row r="1439" spans="12:12" x14ac:dyDescent="0.3">
      <c r="L1439" s="239"/>
    </row>
    <row r="1440" spans="12:12" x14ac:dyDescent="0.3">
      <c r="L1440" s="239"/>
    </row>
    <row r="1441" spans="12:12" x14ac:dyDescent="0.3">
      <c r="L1441" s="239"/>
    </row>
    <row r="1442" spans="12:12" x14ac:dyDescent="0.3">
      <c r="L1442" s="239"/>
    </row>
    <row r="1443" spans="12:12" x14ac:dyDescent="0.3">
      <c r="L1443" s="239"/>
    </row>
    <row r="1444" spans="12:12" x14ac:dyDescent="0.3">
      <c r="L1444" s="239"/>
    </row>
    <row r="1445" spans="12:12" x14ac:dyDescent="0.3">
      <c r="L1445" s="239"/>
    </row>
    <row r="1446" spans="12:12" x14ac:dyDescent="0.3">
      <c r="L1446" s="239"/>
    </row>
    <row r="1447" spans="12:12" x14ac:dyDescent="0.3">
      <c r="L1447" s="239"/>
    </row>
    <row r="1448" spans="12:12" x14ac:dyDescent="0.3">
      <c r="L1448" s="239"/>
    </row>
    <row r="1449" spans="12:12" x14ac:dyDescent="0.3">
      <c r="L1449" s="239"/>
    </row>
    <row r="1450" spans="12:12" x14ac:dyDescent="0.3">
      <c r="L1450" s="239"/>
    </row>
    <row r="1451" spans="12:12" x14ac:dyDescent="0.3">
      <c r="L1451" s="239"/>
    </row>
    <row r="1452" spans="12:12" x14ac:dyDescent="0.3">
      <c r="L1452" s="239"/>
    </row>
    <row r="1453" spans="12:12" x14ac:dyDescent="0.3">
      <c r="L1453" s="239"/>
    </row>
    <row r="1454" spans="12:12" x14ac:dyDescent="0.3">
      <c r="L1454" s="239"/>
    </row>
    <row r="1455" spans="12:12" x14ac:dyDescent="0.3">
      <c r="L1455" s="239"/>
    </row>
    <row r="1456" spans="12:12" x14ac:dyDescent="0.3">
      <c r="L1456" s="239"/>
    </row>
    <row r="1457" spans="12:12" x14ac:dyDescent="0.3">
      <c r="L1457" s="239"/>
    </row>
    <row r="1458" spans="12:12" x14ac:dyDescent="0.3">
      <c r="L1458" s="239"/>
    </row>
    <row r="1459" spans="12:12" x14ac:dyDescent="0.3">
      <c r="L1459" s="239"/>
    </row>
    <row r="1460" spans="12:12" x14ac:dyDescent="0.3">
      <c r="L1460" s="239"/>
    </row>
    <row r="1461" spans="12:12" x14ac:dyDescent="0.3">
      <c r="L1461" s="239"/>
    </row>
    <row r="1462" spans="12:12" x14ac:dyDescent="0.3">
      <c r="L1462" s="239"/>
    </row>
    <row r="1463" spans="12:12" x14ac:dyDescent="0.3">
      <c r="L1463" s="239"/>
    </row>
    <row r="1464" spans="12:12" x14ac:dyDescent="0.3">
      <c r="L1464" s="239"/>
    </row>
    <row r="1465" spans="12:12" x14ac:dyDescent="0.3">
      <c r="L1465" s="239"/>
    </row>
    <row r="1466" spans="12:12" x14ac:dyDescent="0.3">
      <c r="L1466" s="239"/>
    </row>
    <row r="1467" spans="12:12" x14ac:dyDescent="0.3">
      <c r="L1467" s="239"/>
    </row>
    <row r="1468" spans="12:12" x14ac:dyDescent="0.3">
      <c r="L1468" s="239"/>
    </row>
    <row r="1469" spans="12:12" x14ac:dyDescent="0.3">
      <c r="L1469" s="239"/>
    </row>
    <row r="1470" spans="12:12" x14ac:dyDescent="0.3">
      <c r="L1470" s="239"/>
    </row>
    <row r="1471" spans="12:12" x14ac:dyDescent="0.3">
      <c r="L1471" s="239"/>
    </row>
    <row r="1472" spans="12:12" x14ac:dyDescent="0.3">
      <c r="L1472" s="239"/>
    </row>
    <row r="1473" spans="12:12" x14ac:dyDescent="0.3">
      <c r="L1473" s="239"/>
    </row>
    <row r="1474" spans="12:12" x14ac:dyDescent="0.3">
      <c r="L1474" s="239"/>
    </row>
    <row r="1475" spans="12:12" x14ac:dyDescent="0.3">
      <c r="L1475" s="239"/>
    </row>
    <row r="1476" spans="12:12" x14ac:dyDescent="0.3">
      <c r="L1476" s="239"/>
    </row>
    <row r="1477" spans="12:12" x14ac:dyDescent="0.3">
      <c r="L1477" s="239"/>
    </row>
    <row r="1478" spans="12:12" x14ac:dyDescent="0.3">
      <c r="L1478" s="239"/>
    </row>
    <row r="1479" spans="12:12" x14ac:dyDescent="0.3">
      <c r="L1479" s="239"/>
    </row>
    <row r="1480" spans="12:12" x14ac:dyDescent="0.3">
      <c r="L1480" s="239"/>
    </row>
    <row r="1481" spans="12:12" x14ac:dyDescent="0.3">
      <c r="L1481" s="239"/>
    </row>
    <row r="1482" spans="12:12" x14ac:dyDescent="0.3">
      <c r="L1482" s="239"/>
    </row>
    <row r="1483" spans="12:12" x14ac:dyDescent="0.3">
      <c r="L1483" s="239"/>
    </row>
    <row r="1484" spans="12:12" x14ac:dyDescent="0.3">
      <c r="L1484" s="239"/>
    </row>
    <row r="1485" spans="12:12" x14ac:dyDescent="0.3">
      <c r="L1485" s="239"/>
    </row>
    <row r="1486" spans="12:12" x14ac:dyDescent="0.3">
      <c r="L1486" s="239"/>
    </row>
    <row r="1487" spans="12:12" x14ac:dyDescent="0.3">
      <c r="L1487" s="239"/>
    </row>
    <row r="1488" spans="12:12" x14ac:dyDescent="0.3">
      <c r="L1488" s="239"/>
    </row>
    <row r="1489" spans="12:12" x14ac:dyDescent="0.3">
      <c r="L1489" s="239"/>
    </row>
    <row r="1490" spans="12:12" x14ac:dyDescent="0.3">
      <c r="L1490" s="239"/>
    </row>
    <row r="1491" spans="12:12" x14ac:dyDescent="0.3">
      <c r="L1491" s="239"/>
    </row>
    <row r="1492" spans="12:12" x14ac:dyDescent="0.3">
      <c r="L1492" s="239"/>
    </row>
    <row r="1493" spans="12:12" x14ac:dyDescent="0.3">
      <c r="L1493" s="239"/>
    </row>
    <row r="1494" spans="12:12" x14ac:dyDescent="0.3">
      <c r="L1494" s="239"/>
    </row>
    <row r="1495" spans="12:12" x14ac:dyDescent="0.3">
      <c r="L1495" s="239"/>
    </row>
    <row r="1496" spans="12:12" x14ac:dyDescent="0.3">
      <c r="L1496" s="239"/>
    </row>
    <row r="1497" spans="12:12" x14ac:dyDescent="0.3">
      <c r="L1497" s="239"/>
    </row>
    <row r="1498" spans="12:12" x14ac:dyDescent="0.3">
      <c r="L1498" s="239"/>
    </row>
    <row r="1499" spans="12:12" x14ac:dyDescent="0.3">
      <c r="L1499" s="239"/>
    </row>
    <row r="1500" spans="12:12" x14ac:dyDescent="0.3">
      <c r="L1500" s="239"/>
    </row>
    <row r="1501" spans="12:12" x14ac:dyDescent="0.3">
      <c r="L1501" s="239"/>
    </row>
    <row r="1502" spans="12:12" x14ac:dyDescent="0.3">
      <c r="L1502" s="239"/>
    </row>
    <row r="1503" spans="12:12" x14ac:dyDescent="0.3">
      <c r="L1503" s="239"/>
    </row>
    <row r="1504" spans="12:12" x14ac:dyDescent="0.3">
      <c r="L1504" s="239"/>
    </row>
    <row r="1505" spans="12:12" x14ac:dyDescent="0.3">
      <c r="L1505" s="239"/>
    </row>
    <row r="1506" spans="12:12" x14ac:dyDescent="0.3">
      <c r="L1506" s="239"/>
    </row>
    <row r="1507" spans="12:12" x14ac:dyDescent="0.3">
      <c r="L1507" s="239"/>
    </row>
    <row r="1508" spans="12:12" x14ac:dyDescent="0.3">
      <c r="L1508" s="239"/>
    </row>
    <row r="1509" spans="12:12" x14ac:dyDescent="0.3">
      <c r="L1509" s="239"/>
    </row>
    <row r="1510" spans="12:12" x14ac:dyDescent="0.3">
      <c r="L1510" s="239"/>
    </row>
    <row r="1511" spans="12:12" x14ac:dyDescent="0.3">
      <c r="L1511" s="239"/>
    </row>
    <row r="1512" spans="12:12" x14ac:dyDescent="0.3">
      <c r="L1512" s="239"/>
    </row>
    <row r="1513" spans="12:12" x14ac:dyDescent="0.3">
      <c r="L1513" s="239"/>
    </row>
    <row r="1514" spans="12:12" x14ac:dyDescent="0.3">
      <c r="L1514" s="239"/>
    </row>
    <row r="1515" spans="12:12" x14ac:dyDescent="0.3">
      <c r="L1515" s="239"/>
    </row>
    <row r="1516" spans="12:12" x14ac:dyDescent="0.3">
      <c r="L1516" s="239"/>
    </row>
    <row r="1517" spans="12:12" x14ac:dyDescent="0.3">
      <c r="L1517" s="239"/>
    </row>
    <row r="1518" spans="12:12" x14ac:dyDescent="0.3">
      <c r="L1518" s="239"/>
    </row>
    <row r="1519" spans="12:12" x14ac:dyDescent="0.3">
      <c r="L1519" s="239"/>
    </row>
    <row r="1520" spans="12:12" x14ac:dyDescent="0.3">
      <c r="L1520" s="239"/>
    </row>
    <row r="1521" spans="12:12" x14ac:dyDescent="0.3">
      <c r="L1521" s="239"/>
    </row>
    <row r="1522" spans="12:12" x14ac:dyDescent="0.3">
      <c r="L1522" s="239"/>
    </row>
    <row r="1523" spans="12:12" x14ac:dyDescent="0.3">
      <c r="L1523" s="239"/>
    </row>
    <row r="1524" spans="12:12" x14ac:dyDescent="0.3">
      <c r="L1524" s="239"/>
    </row>
    <row r="1525" spans="12:12" x14ac:dyDescent="0.3">
      <c r="L1525" s="239"/>
    </row>
    <row r="1526" spans="12:12" x14ac:dyDescent="0.3">
      <c r="L1526" s="239"/>
    </row>
    <row r="1527" spans="12:12" x14ac:dyDescent="0.3">
      <c r="L1527" s="239"/>
    </row>
    <row r="1528" spans="12:12" x14ac:dyDescent="0.3">
      <c r="L1528" s="239"/>
    </row>
    <row r="1529" spans="12:12" x14ac:dyDescent="0.3">
      <c r="L1529" s="239"/>
    </row>
    <row r="1530" spans="12:12" x14ac:dyDescent="0.3">
      <c r="L1530" s="239"/>
    </row>
    <row r="1531" spans="12:12" x14ac:dyDescent="0.3">
      <c r="L1531" s="239"/>
    </row>
    <row r="1532" spans="12:12" x14ac:dyDescent="0.3">
      <c r="L1532" s="239"/>
    </row>
    <row r="1533" spans="12:12" x14ac:dyDescent="0.3">
      <c r="L1533" s="239"/>
    </row>
    <row r="1534" spans="12:12" x14ac:dyDescent="0.3">
      <c r="L1534" s="239"/>
    </row>
    <row r="1535" spans="12:12" x14ac:dyDescent="0.3">
      <c r="L1535" s="239"/>
    </row>
    <row r="1536" spans="12:12" x14ac:dyDescent="0.3">
      <c r="L1536" s="239"/>
    </row>
    <row r="1537" spans="12:12" x14ac:dyDescent="0.3">
      <c r="L1537" s="239"/>
    </row>
    <row r="1538" spans="12:12" x14ac:dyDescent="0.3">
      <c r="L1538" s="239"/>
    </row>
    <row r="1539" spans="12:12" x14ac:dyDescent="0.3">
      <c r="L1539" s="239"/>
    </row>
    <row r="1540" spans="12:12" x14ac:dyDescent="0.3">
      <c r="L1540" s="239"/>
    </row>
    <row r="1541" spans="12:12" x14ac:dyDescent="0.3">
      <c r="L1541" s="239"/>
    </row>
    <row r="1542" spans="12:12" x14ac:dyDescent="0.3">
      <c r="L1542" s="239"/>
    </row>
    <row r="1543" spans="12:12" x14ac:dyDescent="0.3">
      <c r="L1543" s="239"/>
    </row>
    <row r="1544" spans="12:12" x14ac:dyDescent="0.3">
      <c r="L1544" s="239"/>
    </row>
    <row r="1545" spans="12:12" x14ac:dyDescent="0.3">
      <c r="L1545" s="239"/>
    </row>
    <row r="1546" spans="12:12" x14ac:dyDescent="0.3">
      <c r="L1546" s="239"/>
    </row>
    <row r="1547" spans="12:12" x14ac:dyDescent="0.3">
      <c r="L1547" s="239"/>
    </row>
    <row r="1548" spans="12:12" x14ac:dyDescent="0.3">
      <c r="L1548" s="239"/>
    </row>
    <row r="1549" spans="12:12" x14ac:dyDescent="0.3">
      <c r="L1549" s="239"/>
    </row>
    <row r="1550" spans="12:12" x14ac:dyDescent="0.3">
      <c r="L1550" s="239"/>
    </row>
    <row r="1551" spans="12:12" x14ac:dyDescent="0.3">
      <c r="L1551" s="239"/>
    </row>
    <row r="1552" spans="12:12" x14ac:dyDescent="0.3">
      <c r="L1552" s="239"/>
    </row>
    <row r="1553" spans="12:12" x14ac:dyDescent="0.3">
      <c r="L1553" s="239"/>
    </row>
    <row r="1554" spans="12:12" x14ac:dyDescent="0.3">
      <c r="L1554" s="239"/>
    </row>
    <row r="1555" spans="12:12" x14ac:dyDescent="0.3">
      <c r="L1555" s="239"/>
    </row>
    <row r="1556" spans="12:12" x14ac:dyDescent="0.3">
      <c r="L1556" s="239"/>
    </row>
    <row r="1557" spans="12:12" x14ac:dyDescent="0.3">
      <c r="L1557" s="239"/>
    </row>
    <row r="1558" spans="12:12" x14ac:dyDescent="0.3">
      <c r="L1558" s="239"/>
    </row>
    <row r="1559" spans="12:12" x14ac:dyDescent="0.3">
      <c r="L1559" s="239"/>
    </row>
    <row r="1560" spans="12:12" x14ac:dyDescent="0.3">
      <c r="L1560" s="239"/>
    </row>
    <row r="1561" spans="12:12" x14ac:dyDescent="0.3">
      <c r="L1561" s="239"/>
    </row>
    <row r="1562" spans="12:12" x14ac:dyDescent="0.3">
      <c r="L1562" s="239"/>
    </row>
    <row r="1563" spans="12:12" x14ac:dyDescent="0.3">
      <c r="L1563" s="239"/>
    </row>
    <row r="1564" spans="12:12" x14ac:dyDescent="0.3">
      <c r="L1564" s="239"/>
    </row>
    <row r="1565" spans="12:12" x14ac:dyDescent="0.3">
      <c r="L1565" s="239"/>
    </row>
    <row r="1566" spans="12:12" x14ac:dyDescent="0.3">
      <c r="L1566" s="239"/>
    </row>
    <row r="1567" spans="12:12" x14ac:dyDescent="0.3">
      <c r="L1567" s="239"/>
    </row>
    <row r="1568" spans="12:12" x14ac:dyDescent="0.3">
      <c r="L1568" s="239"/>
    </row>
    <row r="1569" spans="12:12" x14ac:dyDescent="0.3">
      <c r="L1569" s="239"/>
    </row>
    <row r="1570" spans="12:12" x14ac:dyDescent="0.3">
      <c r="L1570" s="239"/>
    </row>
    <row r="1571" spans="12:12" x14ac:dyDescent="0.3">
      <c r="L1571" s="239"/>
    </row>
    <row r="1572" spans="12:12" x14ac:dyDescent="0.3">
      <c r="L1572" s="239"/>
    </row>
    <row r="1573" spans="12:12" x14ac:dyDescent="0.3">
      <c r="L1573" s="239"/>
    </row>
    <row r="1574" spans="12:12" x14ac:dyDescent="0.3">
      <c r="L1574" s="239"/>
    </row>
    <row r="1575" spans="12:12" x14ac:dyDescent="0.3">
      <c r="L1575" s="239"/>
    </row>
    <row r="1576" spans="12:12" x14ac:dyDescent="0.3">
      <c r="L1576" s="239"/>
    </row>
    <row r="1577" spans="12:12" x14ac:dyDescent="0.3">
      <c r="L1577" s="239"/>
    </row>
    <row r="1578" spans="12:12" x14ac:dyDescent="0.3">
      <c r="L1578" s="239"/>
    </row>
    <row r="1579" spans="12:12" x14ac:dyDescent="0.3">
      <c r="L1579" s="239"/>
    </row>
    <row r="1580" spans="12:12" x14ac:dyDescent="0.3">
      <c r="L1580" s="239"/>
    </row>
    <row r="1581" spans="12:12" x14ac:dyDescent="0.3">
      <c r="L1581" s="239"/>
    </row>
    <row r="1582" spans="12:12" x14ac:dyDescent="0.3">
      <c r="L1582" s="239"/>
    </row>
    <row r="1583" spans="12:12" x14ac:dyDescent="0.3">
      <c r="L1583" s="239"/>
    </row>
    <row r="1584" spans="12:12" x14ac:dyDescent="0.3">
      <c r="L1584" s="239"/>
    </row>
    <row r="1585" spans="12:12" x14ac:dyDescent="0.3">
      <c r="L1585" s="239"/>
    </row>
    <row r="1586" spans="12:12" x14ac:dyDescent="0.3">
      <c r="L1586" s="239"/>
    </row>
    <row r="1587" spans="12:12" x14ac:dyDescent="0.3">
      <c r="L1587" s="239"/>
    </row>
    <row r="1588" spans="12:12" x14ac:dyDescent="0.3">
      <c r="L1588" s="239"/>
    </row>
    <row r="1589" spans="12:12" x14ac:dyDescent="0.3">
      <c r="L1589" s="239"/>
    </row>
    <row r="1590" spans="12:12" x14ac:dyDescent="0.3">
      <c r="L1590" s="239"/>
    </row>
    <row r="1591" spans="12:12" x14ac:dyDescent="0.3">
      <c r="L1591" s="239"/>
    </row>
    <row r="1592" spans="12:12" x14ac:dyDescent="0.3">
      <c r="L1592" s="239"/>
    </row>
    <row r="1593" spans="12:12" x14ac:dyDescent="0.3">
      <c r="L1593" s="239"/>
    </row>
    <row r="1594" spans="12:12" x14ac:dyDescent="0.3">
      <c r="L1594" s="239"/>
    </row>
    <row r="1595" spans="12:12" x14ac:dyDescent="0.3">
      <c r="L1595" s="239"/>
    </row>
    <row r="1596" spans="12:12" x14ac:dyDescent="0.3">
      <c r="L1596" s="239"/>
    </row>
    <row r="1597" spans="12:12" x14ac:dyDescent="0.3">
      <c r="L1597" s="239"/>
    </row>
    <row r="1598" spans="12:12" x14ac:dyDescent="0.3">
      <c r="L1598" s="239"/>
    </row>
    <row r="1599" spans="12:12" x14ac:dyDescent="0.3">
      <c r="L1599" s="239"/>
    </row>
    <row r="1600" spans="12:12" x14ac:dyDescent="0.3">
      <c r="L1600" s="239"/>
    </row>
    <row r="1601" spans="12:12" x14ac:dyDescent="0.3">
      <c r="L1601" s="239"/>
    </row>
    <row r="1602" spans="12:12" x14ac:dyDescent="0.3">
      <c r="L1602" s="239"/>
    </row>
    <row r="1603" spans="12:12" x14ac:dyDescent="0.3">
      <c r="L1603" s="239"/>
    </row>
    <row r="1604" spans="12:12" x14ac:dyDescent="0.3">
      <c r="L1604" s="239"/>
    </row>
    <row r="1605" spans="12:12" x14ac:dyDescent="0.3">
      <c r="L1605" s="239"/>
    </row>
    <row r="1606" spans="12:12" x14ac:dyDescent="0.3">
      <c r="L1606" s="239"/>
    </row>
    <row r="1607" spans="12:12" x14ac:dyDescent="0.3">
      <c r="L1607" s="239"/>
    </row>
    <row r="1608" spans="12:12" x14ac:dyDescent="0.3">
      <c r="L1608" s="239"/>
    </row>
    <row r="1609" spans="12:12" x14ac:dyDescent="0.3">
      <c r="L1609" s="239"/>
    </row>
    <row r="1610" spans="12:12" x14ac:dyDescent="0.3">
      <c r="L1610" s="239"/>
    </row>
    <row r="1611" spans="12:12" x14ac:dyDescent="0.3">
      <c r="L1611" s="239"/>
    </row>
    <row r="1612" spans="12:12" x14ac:dyDescent="0.3">
      <c r="L1612" s="239"/>
    </row>
    <row r="1613" spans="12:12" x14ac:dyDescent="0.3">
      <c r="L1613" s="239"/>
    </row>
    <row r="1614" spans="12:12" x14ac:dyDescent="0.3">
      <c r="L1614" s="239"/>
    </row>
    <row r="1615" spans="12:12" x14ac:dyDescent="0.3">
      <c r="L1615" s="239"/>
    </row>
    <row r="1616" spans="12:12" x14ac:dyDescent="0.3">
      <c r="L1616" s="239"/>
    </row>
    <row r="1617" spans="12:12" x14ac:dyDescent="0.3">
      <c r="L1617" s="239"/>
    </row>
    <row r="1618" spans="12:12" x14ac:dyDescent="0.3">
      <c r="L1618" s="239"/>
    </row>
    <row r="1619" spans="12:12" x14ac:dyDescent="0.3">
      <c r="L1619" s="239"/>
    </row>
    <row r="1620" spans="12:12" x14ac:dyDescent="0.3">
      <c r="L1620" s="239"/>
    </row>
    <row r="1621" spans="12:12" x14ac:dyDescent="0.3">
      <c r="L1621" s="239"/>
    </row>
    <row r="1622" spans="12:12" x14ac:dyDescent="0.3">
      <c r="L1622" s="239"/>
    </row>
    <row r="1623" spans="12:12" x14ac:dyDescent="0.3">
      <c r="L1623" s="239"/>
    </row>
    <row r="1624" spans="12:12" x14ac:dyDescent="0.3">
      <c r="L1624" s="239"/>
    </row>
    <row r="1625" spans="12:12" x14ac:dyDescent="0.3">
      <c r="L1625" s="239"/>
    </row>
    <row r="1626" spans="12:12" x14ac:dyDescent="0.3">
      <c r="L1626" s="239"/>
    </row>
    <row r="1627" spans="12:12" x14ac:dyDescent="0.3">
      <c r="L1627" s="239"/>
    </row>
    <row r="1628" spans="12:12" x14ac:dyDescent="0.3">
      <c r="L1628" s="239"/>
    </row>
    <row r="1629" spans="12:12" x14ac:dyDescent="0.3">
      <c r="L1629" s="239"/>
    </row>
    <row r="1630" spans="12:12" x14ac:dyDescent="0.3">
      <c r="L1630" s="239"/>
    </row>
    <row r="1631" spans="12:12" x14ac:dyDescent="0.3">
      <c r="L1631" s="239"/>
    </row>
    <row r="1632" spans="12:12" x14ac:dyDescent="0.3">
      <c r="L1632" s="239"/>
    </row>
    <row r="1633" spans="12:12" x14ac:dyDescent="0.3">
      <c r="L1633" s="239"/>
    </row>
    <row r="1634" spans="12:12" x14ac:dyDescent="0.3">
      <c r="L1634" s="239"/>
    </row>
    <row r="1635" spans="12:12" x14ac:dyDescent="0.3">
      <c r="L1635" s="239"/>
    </row>
    <row r="1636" spans="12:12" x14ac:dyDescent="0.3">
      <c r="L1636" s="239"/>
    </row>
    <row r="1637" spans="12:12" x14ac:dyDescent="0.3">
      <c r="L1637" s="239"/>
    </row>
    <row r="1638" spans="12:12" x14ac:dyDescent="0.3">
      <c r="L1638" s="239"/>
    </row>
    <row r="1639" spans="12:12" x14ac:dyDescent="0.3">
      <c r="L1639" s="239"/>
    </row>
    <row r="1640" spans="12:12" x14ac:dyDescent="0.3">
      <c r="L1640" s="239"/>
    </row>
    <row r="1641" spans="12:12" x14ac:dyDescent="0.3">
      <c r="L1641" s="239"/>
    </row>
    <row r="1642" spans="12:12" x14ac:dyDescent="0.3">
      <c r="L1642" s="239"/>
    </row>
    <row r="1643" spans="12:12" x14ac:dyDescent="0.3">
      <c r="L1643" s="239"/>
    </row>
    <row r="1644" spans="12:12" x14ac:dyDescent="0.3">
      <c r="L1644" s="239"/>
    </row>
    <row r="1645" spans="12:12" x14ac:dyDescent="0.3">
      <c r="L1645" s="239"/>
    </row>
    <row r="1646" spans="12:12" x14ac:dyDescent="0.3">
      <c r="L1646" s="239"/>
    </row>
    <row r="1647" spans="12:12" x14ac:dyDescent="0.3">
      <c r="L1647" s="239"/>
    </row>
    <row r="1648" spans="12:12" x14ac:dyDescent="0.3">
      <c r="L1648" s="239"/>
    </row>
    <row r="1649" spans="12:12" x14ac:dyDescent="0.3">
      <c r="L1649" s="239"/>
    </row>
    <row r="1650" spans="12:12" x14ac:dyDescent="0.3">
      <c r="L1650" s="239"/>
    </row>
    <row r="1651" spans="12:12" x14ac:dyDescent="0.3">
      <c r="L1651" s="239"/>
    </row>
    <row r="1652" spans="12:12" x14ac:dyDescent="0.3">
      <c r="L1652" s="239"/>
    </row>
    <row r="1653" spans="12:12" x14ac:dyDescent="0.3">
      <c r="L1653" s="239"/>
    </row>
    <row r="1654" spans="12:12" x14ac:dyDescent="0.3">
      <c r="L1654" s="239"/>
    </row>
    <row r="1655" spans="12:12" x14ac:dyDescent="0.3">
      <c r="L1655" s="239"/>
    </row>
    <row r="1656" spans="12:12" x14ac:dyDescent="0.3">
      <c r="L1656" s="239"/>
    </row>
    <row r="1657" spans="12:12" x14ac:dyDescent="0.3">
      <c r="L1657" s="239"/>
    </row>
    <row r="1658" spans="12:12" x14ac:dyDescent="0.3">
      <c r="L1658" s="239"/>
    </row>
    <row r="1659" spans="12:12" x14ac:dyDescent="0.3">
      <c r="L1659" s="239"/>
    </row>
    <row r="1660" spans="12:12" x14ac:dyDescent="0.3">
      <c r="L1660" s="239"/>
    </row>
    <row r="1661" spans="12:12" x14ac:dyDescent="0.3">
      <c r="L1661" s="239"/>
    </row>
    <row r="1662" spans="12:12" x14ac:dyDescent="0.3">
      <c r="L1662" s="239"/>
    </row>
    <row r="1663" spans="12:12" x14ac:dyDescent="0.3">
      <c r="L1663" s="239"/>
    </row>
    <row r="1664" spans="12:12" x14ac:dyDescent="0.3">
      <c r="L1664" s="239"/>
    </row>
    <row r="1665" spans="12:12" x14ac:dyDescent="0.3">
      <c r="L1665" s="239"/>
    </row>
    <row r="1666" spans="12:12" x14ac:dyDescent="0.3">
      <c r="L1666" s="239"/>
    </row>
    <row r="1667" spans="12:12" x14ac:dyDescent="0.3">
      <c r="L1667" s="239"/>
    </row>
    <row r="1668" spans="12:12" x14ac:dyDescent="0.3">
      <c r="L1668" s="239"/>
    </row>
    <row r="1669" spans="12:12" x14ac:dyDescent="0.3">
      <c r="L1669" s="239"/>
    </row>
    <row r="1670" spans="12:12" x14ac:dyDescent="0.3">
      <c r="L1670" s="239"/>
    </row>
    <row r="1671" spans="12:12" x14ac:dyDescent="0.3">
      <c r="L1671" s="239"/>
    </row>
    <row r="1672" spans="12:12" x14ac:dyDescent="0.3">
      <c r="L1672" s="239"/>
    </row>
    <row r="1673" spans="12:12" x14ac:dyDescent="0.3">
      <c r="L1673" s="239"/>
    </row>
    <row r="1674" spans="12:12" x14ac:dyDescent="0.3">
      <c r="L1674" s="239"/>
    </row>
    <row r="1675" spans="12:12" x14ac:dyDescent="0.3">
      <c r="L1675" s="239"/>
    </row>
    <row r="1676" spans="12:12" x14ac:dyDescent="0.3">
      <c r="L1676" s="239"/>
    </row>
    <row r="1677" spans="12:12" x14ac:dyDescent="0.3">
      <c r="L1677" s="239"/>
    </row>
    <row r="1678" spans="12:12" x14ac:dyDescent="0.3">
      <c r="L1678" s="239"/>
    </row>
    <row r="1679" spans="12:12" x14ac:dyDescent="0.3">
      <c r="L1679" s="239"/>
    </row>
    <row r="1680" spans="12:12" x14ac:dyDescent="0.3">
      <c r="L1680" s="239"/>
    </row>
    <row r="1681" spans="12:12" x14ac:dyDescent="0.3">
      <c r="L1681" s="239"/>
    </row>
    <row r="1682" spans="12:12" x14ac:dyDescent="0.3">
      <c r="L1682" s="239"/>
    </row>
    <row r="1683" spans="12:12" x14ac:dyDescent="0.3">
      <c r="L1683" s="239"/>
    </row>
    <row r="1684" spans="12:12" x14ac:dyDescent="0.3">
      <c r="L1684" s="239"/>
    </row>
    <row r="1685" spans="12:12" x14ac:dyDescent="0.3">
      <c r="L1685" s="239"/>
    </row>
    <row r="1686" spans="12:12" x14ac:dyDescent="0.3">
      <c r="L1686" s="239"/>
    </row>
    <row r="1687" spans="12:12" x14ac:dyDescent="0.3">
      <c r="L1687" s="239"/>
    </row>
    <row r="1688" spans="12:12" x14ac:dyDescent="0.3">
      <c r="L1688" s="239"/>
    </row>
    <row r="1689" spans="12:12" x14ac:dyDescent="0.3">
      <c r="L1689" s="239"/>
    </row>
    <row r="1690" spans="12:12" x14ac:dyDescent="0.3">
      <c r="L1690" s="239"/>
    </row>
    <row r="1691" spans="12:12" x14ac:dyDescent="0.3">
      <c r="L1691" s="239"/>
    </row>
    <row r="1692" spans="12:12" x14ac:dyDescent="0.3">
      <c r="L1692" s="239"/>
    </row>
    <row r="1693" spans="12:12" x14ac:dyDescent="0.3">
      <c r="L1693" s="239"/>
    </row>
    <row r="1694" spans="12:12" x14ac:dyDescent="0.3">
      <c r="L1694" s="239"/>
    </row>
    <row r="1695" spans="12:12" x14ac:dyDescent="0.3">
      <c r="L1695" s="239"/>
    </row>
    <row r="1696" spans="12:12" x14ac:dyDescent="0.3">
      <c r="L1696" s="239"/>
    </row>
    <row r="1697" spans="12:12" x14ac:dyDescent="0.3">
      <c r="L1697" s="239"/>
    </row>
    <row r="1698" spans="12:12" x14ac:dyDescent="0.3">
      <c r="L1698" s="239"/>
    </row>
    <row r="1699" spans="12:12" x14ac:dyDescent="0.3">
      <c r="L1699" s="239"/>
    </row>
    <row r="1700" spans="12:12" x14ac:dyDescent="0.3">
      <c r="L1700" s="239"/>
    </row>
    <row r="1701" spans="12:12" x14ac:dyDescent="0.3">
      <c r="L1701" s="239"/>
    </row>
    <row r="1702" spans="12:12" x14ac:dyDescent="0.3">
      <c r="L1702" s="239"/>
    </row>
    <row r="1703" spans="12:12" x14ac:dyDescent="0.3">
      <c r="L1703" s="239"/>
    </row>
    <row r="1704" spans="12:12" x14ac:dyDescent="0.3">
      <c r="L1704" s="239"/>
    </row>
    <row r="1705" spans="12:12" x14ac:dyDescent="0.3">
      <c r="L1705" s="239"/>
    </row>
    <row r="1706" spans="12:12" x14ac:dyDescent="0.3">
      <c r="L1706" s="239"/>
    </row>
    <row r="1707" spans="12:12" x14ac:dyDescent="0.3">
      <c r="L1707" s="239"/>
    </row>
    <row r="1708" spans="12:12" x14ac:dyDescent="0.3">
      <c r="L1708" s="239"/>
    </row>
    <row r="1709" spans="12:12" x14ac:dyDescent="0.3">
      <c r="L1709" s="239"/>
    </row>
    <row r="1710" spans="12:12" x14ac:dyDescent="0.3">
      <c r="L1710" s="239"/>
    </row>
    <row r="1711" spans="12:12" x14ac:dyDescent="0.3">
      <c r="L1711" s="239"/>
    </row>
    <row r="1712" spans="12:12" x14ac:dyDescent="0.3">
      <c r="L1712" s="239"/>
    </row>
    <row r="1713" spans="12:12" x14ac:dyDescent="0.3">
      <c r="L1713" s="239"/>
    </row>
    <row r="1714" spans="12:12" x14ac:dyDescent="0.3">
      <c r="L1714" s="239"/>
    </row>
    <row r="1715" spans="12:12" x14ac:dyDescent="0.3">
      <c r="L1715" s="239"/>
    </row>
    <row r="1716" spans="12:12" x14ac:dyDescent="0.3">
      <c r="L1716" s="239"/>
    </row>
    <row r="1717" spans="12:12" x14ac:dyDescent="0.3">
      <c r="L1717" s="239"/>
    </row>
    <row r="1718" spans="12:12" x14ac:dyDescent="0.3">
      <c r="L1718" s="239"/>
    </row>
    <row r="1719" spans="12:12" x14ac:dyDescent="0.3">
      <c r="L1719" s="239"/>
    </row>
    <row r="1720" spans="12:12" x14ac:dyDescent="0.3">
      <c r="L1720" s="239"/>
    </row>
    <row r="1721" spans="12:12" x14ac:dyDescent="0.3">
      <c r="L1721" s="239"/>
    </row>
    <row r="1722" spans="12:12" x14ac:dyDescent="0.3">
      <c r="L1722" s="239"/>
    </row>
    <row r="1723" spans="12:12" x14ac:dyDescent="0.3">
      <c r="L1723" s="239"/>
    </row>
    <row r="1724" spans="12:12" x14ac:dyDescent="0.3">
      <c r="L1724" s="239"/>
    </row>
    <row r="1725" spans="12:12" x14ac:dyDescent="0.3">
      <c r="L1725" s="239"/>
    </row>
    <row r="1726" spans="12:12" x14ac:dyDescent="0.3">
      <c r="L1726" s="239"/>
    </row>
    <row r="1727" spans="12:12" x14ac:dyDescent="0.3">
      <c r="L1727" s="239"/>
    </row>
    <row r="1728" spans="12:12" x14ac:dyDescent="0.3">
      <c r="L1728" s="239"/>
    </row>
    <row r="1729" spans="12:12" x14ac:dyDescent="0.3">
      <c r="L1729" s="239"/>
    </row>
    <row r="1730" spans="12:12" x14ac:dyDescent="0.3">
      <c r="L1730" s="239"/>
    </row>
    <row r="1731" spans="12:12" x14ac:dyDescent="0.3">
      <c r="L1731" s="239"/>
    </row>
    <row r="1732" spans="12:12" x14ac:dyDescent="0.3">
      <c r="L1732" s="239"/>
    </row>
    <row r="1733" spans="12:12" x14ac:dyDescent="0.3">
      <c r="L1733" s="239"/>
    </row>
    <row r="1734" spans="12:12" x14ac:dyDescent="0.3">
      <c r="L1734" s="239"/>
    </row>
    <row r="1735" spans="12:12" x14ac:dyDescent="0.3">
      <c r="L1735" s="239"/>
    </row>
    <row r="1736" spans="12:12" x14ac:dyDescent="0.3">
      <c r="L1736" s="239"/>
    </row>
    <row r="1737" spans="12:12" x14ac:dyDescent="0.3">
      <c r="L1737" s="239"/>
    </row>
    <row r="1738" spans="12:12" x14ac:dyDescent="0.3">
      <c r="L1738" s="239"/>
    </row>
    <row r="1739" spans="12:12" x14ac:dyDescent="0.3">
      <c r="L1739" s="239"/>
    </row>
    <row r="1740" spans="12:12" x14ac:dyDescent="0.3">
      <c r="L1740" s="239"/>
    </row>
    <row r="1741" spans="12:12" x14ac:dyDescent="0.3">
      <c r="L1741" s="239"/>
    </row>
    <row r="1742" spans="12:12" x14ac:dyDescent="0.3">
      <c r="L1742" s="239"/>
    </row>
    <row r="1743" spans="12:12" x14ac:dyDescent="0.3">
      <c r="L1743" s="239"/>
    </row>
    <row r="1744" spans="12:12" x14ac:dyDescent="0.3">
      <c r="L1744" s="239"/>
    </row>
    <row r="1745" spans="12:12" x14ac:dyDescent="0.3">
      <c r="L1745" s="239"/>
    </row>
    <row r="1746" spans="12:12" x14ac:dyDescent="0.3">
      <c r="L1746" s="239"/>
    </row>
    <row r="1747" spans="12:12" x14ac:dyDescent="0.3">
      <c r="L1747" s="239"/>
    </row>
    <row r="1748" spans="12:12" x14ac:dyDescent="0.3">
      <c r="L1748" s="239"/>
    </row>
    <row r="1749" spans="12:12" x14ac:dyDescent="0.3">
      <c r="L1749" s="239"/>
    </row>
    <row r="1750" spans="12:12" x14ac:dyDescent="0.3">
      <c r="L1750" s="239"/>
    </row>
    <row r="1751" spans="12:12" x14ac:dyDescent="0.3">
      <c r="L1751" s="239"/>
    </row>
    <row r="1752" spans="12:12" x14ac:dyDescent="0.3">
      <c r="L1752" s="239"/>
    </row>
    <row r="1753" spans="12:12" x14ac:dyDescent="0.3">
      <c r="L1753" s="239"/>
    </row>
    <row r="1754" spans="12:12" x14ac:dyDescent="0.3">
      <c r="L1754" s="239"/>
    </row>
    <row r="1755" spans="12:12" x14ac:dyDescent="0.3">
      <c r="L1755" s="239"/>
    </row>
    <row r="1756" spans="12:12" x14ac:dyDescent="0.3">
      <c r="L1756" s="239"/>
    </row>
    <row r="1757" spans="12:12" x14ac:dyDescent="0.3">
      <c r="L1757" s="239"/>
    </row>
    <row r="1758" spans="12:12" x14ac:dyDescent="0.3">
      <c r="L1758" s="239"/>
    </row>
    <row r="1759" spans="12:12" x14ac:dyDescent="0.3">
      <c r="L1759" s="239"/>
    </row>
    <row r="1760" spans="12:12" x14ac:dyDescent="0.3">
      <c r="L1760" s="239"/>
    </row>
    <row r="1761" spans="12:12" x14ac:dyDescent="0.3">
      <c r="L1761" s="239"/>
    </row>
    <row r="1762" spans="12:12" x14ac:dyDescent="0.3">
      <c r="L1762" s="239"/>
    </row>
    <row r="1763" spans="12:12" x14ac:dyDescent="0.3">
      <c r="L1763" s="239"/>
    </row>
    <row r="1764" spans="12:12" x14ac:dyDescent="0.3">
      <c r="L1764" s="239"/>
    </row>
    <row r="1765" spans="12:12" x14ac:dyDescent="0.3">
      <c r="L1765" s="239"/>
    </row>
    <row r="1766" spans="12:12" x14ac:dyDescent="0.3">
      <c r="L1766" s="239"/>
    </row>
    <row r="1767" spans="12:12" x14ac:dyDescent="0.3">
      <c r="L1767" s="239"/>
    </row>
    <row r="1768" spans="12:12" x14ac:dyDescent="0.3">
      <c r="L1768" s="239"/>
    </row>
    <row r="1769" spans="12:12" x14ac:dyDescent="0.3">
      <c r="L1769" s="239"/>
    </row>
    <row r="1770" spans="12:12" x14ac:dyDescent="0.3">
      <c r="L1770" s="239"/>
    </row>
    <row r="1771" spans="12:12" x14ac:dyDescent="0.3">
      <c r="L1771" s="239"/>
    </row>
    <row r="1772" spans="12:12" x14ac:dyDescent="0.3">
      <c r="L1772" s="239"/>
    </row>
    <row r="1773" spans="12:12" x14ac:dyDescent="0.3">
      <c r="L1773" s="239"/>
    </row>
    <row r="1774" spans="12:12" x14ac:dyDescent="0.3">
      <c r="L1774" s="239"/>
    </row>
    <row r="1775" spans="12:12" x14ac:dyDescent="0.3">
      <c r="L1775" s="239"/>
    </row>
    <row r="1776" spans="12:12" x14ac:dyDescent="0.3">
      <c r="L1776" s="239"/>
    </row>
    <row r="1777" spans="12:12" x14ac:dyDescent="0.3">
      <c r="L1777" s="239"/>
    </row>
    <row r="1778" spans="12:12" x14ac:dyDescent="0.3">
      <c r="L1778" s="239"/>
    </row>
    <row r="1779" spans="12:12" x14ac:dyDescent="0.3">
      <c r="L1779" s="239"/>
    </row>
    <row r="1780" spans="12:12" x14ac:dyDescent="0.3">
      <c r="L1780" s="239"/>
    </row>
    <row r="1781" spans="12:12" x14ac:dyDescent="0.3">
      <c r="L1781" s="239"/>
    </row>
    <row r="1782" spans="12:12" x14ac:dyDescent="0.3">
      <c r="L1782" s="239"/>
    </row>
    <row r="1783" spans="12:12" x14ac:dyDescent="0.3">
      <c r="L1783" s="239"/>
    </row>
    <row r="1784" spans="12:12" x14ac:dyDescent="0.3">
      <c r="L1784" s="239"/>
    </row>
    <row r="1785" spans="12:12" x14ac:dyDescent="0.3">
      <c r="L1785" s="239"/>
    </row>
    <row r="1786" spans="12:12" x14ac:dyDescent="0.3">
      <c r="L1786" s="239"/>
    </row>
    <row r="1787" spans="12:12" x14ac:dyDescent="0.3">
      <c r="L1787" s="239"/>
    </row>
    <row r="1788" spans="12:12" x14ac:dyDescent="0.3">
      <c r="L1788" s="239"/>
    </row>
    <row r="1789" spans="12:12" x14ac:dyDescent="0.3">
      <c r="L1789" s="239"/>
    </row>
    <row r="1790" spans="12:12" x14ac:dyDescent="0.3">
      <c r="L1790" s="239"/>
    </row>
    <row r="1791" spans="12:12" x14ac:dyDescent="0.3">
      <c r="L1791" s="239"/>
    </row>
    <row r="1792" spans="12:12" x14ac:dyDescent="0.3">
      <c r="L1792" s="239"/>
    </row>
    <row r="1793" spans="12:12" x14ac:dyDescent="0.3">
      <c r="L1793" s="239"/>
    </row>
    <row r="1794" spans="12:12" x14ac:dyDescent="0.3">
      <c r="L1794" s="239"/>
    </row>
    <row r="1795" spans="12:12" x14ac:dyDescent="0.3">
      <c r="L1795" s="239"/>
    </row>
    <row r="1796" spans="12:12" x14ac:dyDescent="0.3">
      <c r="L1796" s="239"/>
    </row>
    <row r="1797" spans="12:12" x14ac:dyDescent="0.3">
      <c r="L1797" s="239"/>
    </row>
    <row r="1798" spans="12:12" x14ac:dyDescent="0.3">
      <c r="L1798" s="239"/>
    </row>
    <row r="1799" spans="12:12" x14ac:dyDescent="0.3">
      <c r="L1799" s="239"/>
    </row>
    <row r="1800" spans="12:12" x14ac:dyDescent="0.3">
      <c r="L1800" s="239"/>
    </row>
    <row r="1801" spans="12:12" x14ac:dyDescent="0.3">
      <c r="L1801" s="239"/>
    </row>
    <row r="1802" spans="12:12" x14ac:dyDescent="0.3">
      <c r="L1802" s="239"/>
    </row>
    <row r="1803" spans="12:12" x14ac:dyDescent="0.3">
      <c r="L1803" s="239"/>
    </row>
    <row r="1804" spans="12:12" x14ac:dyDescent="0.3">
      <c r="L1804" s="239"/>
    </row>
    <row r="1805" spans="12:12" x14ac:dyDescent="0.3">
      <c r="L1805" s="239"/>
    </row>
    <row r="1806" spans="12:12" x14ac:dyDescent="0.3">
      <c r="L1806" s="239"/>
    </row>
    <row r="1807" spans="12:12" x14ac:dyDescent="0.3">
      <c r="L1807" s="239"/>
    </row>
    <row r="1808" spans="12:12" x14ac:dyDescent="0.3">
      <c r="L1808" s="239"/>
    </row>
    <row r="1809" spans="12:12" x14ac:dyDescent="0.3">
      <c r="L1809" s="239"/>
    </row>
    <row r="1810" spans="12:12" x14ac:dyDescent="0.3">
      <c r="L1810" s="239"/>
    </row>
    <row r="1811" spans="12:12" x14ac:dyDescent="0.3">
      <c r="L1811" s="239"/>
    </row>
    <row r="1812" spans="12:12" x14ac:dyDescent="0.3">
      <c r="L1812" s="239"/>
    </row>
    <row r="1813" spans="12:12" x14ac:dyDescent="0.3">
      <c r="L1813" s="239"/>
    </row>
    <row r="1814" spans="12:12" x14ac:dyDescent="0.3">
      <c r="L1814" s="239"/>
    </row>
    <row r="1815" spans="12:12" x14ac:dyDescent="0.3">
      <c r="L1815" s="239"/>
    </row>
    <row r="1816" spans="12:12" x14ac:dyDescent="0.3">
      <c r="L1816" s="239"/>
    </row>
    <row r="1817" spans="12:12" x14ac:dyDescent="0.3">
      <c r="L1817" s="239"/>
    </row>
    <row r="1818" spans="12:12" x14ac:dyDescent="0.3">
      <c r="L1818" s="239"/>
    </row>
    <row r="1819" spans="12:12" x14ac:dyDescent="0.3">
      <c r="L1819" s="239"/>
    </row>
    <row r="1820" spans="12:12" x14ac:dyDescent="0.3">
      <c r="L1820" s="239"/>
    </row>
    <row r="1821" spans="12:12" x14ac:dyDescent="0.3">
      <c r="L1821" s="239"/>
    </row>
    <row r="1822" spans="12:12" x14ac:dyDescent="0.3">
      <c r="L1822" s="239"/>
    </row>
    <row r="1823" spans="12:12" x14ac:dyDescent="0.3">
      <c r="L1823" s="239"/>
    </row>
    <row r="1824" spans="12:12" x14ac:dyDescent="0.3">
      <c r="L1824" s="239"/>
    </row>
    <row r="1825" spans="12:12" x14ac:dyDescent="0.3">
      <c r="L1825" s="239"/>
    </row>
    <row r="1826" spans="12:12" x14ac:dyDescent="0.3">
      <c r="L1826" s="239"/>
    </row>
    <row r="1827" spans="12:12" x14ac:dyDescent="0.3">
      <c r="L1827" s="239"/>
    </row>
    <row r="1828" spans="12:12" x14ac:dyDescent="0.3">
      <c r="L1828" s="239"/>
    </row>
    <row r="1829" spans="12:12" x14ac:dyDescent="0.3">
      <c r="L1829" s="239"/>
    </row>
    <row r="1830" spans="12:12" x14ac:dyDescent="0.3">
      <c r="L1830" s="239"/>
    </row>
    <row r="1831" spans="12:12" x14ac:dyDescent="0.3">
      <c r="L1831" s="239"/>
    </row>
    <row r="1832" spans="12:12" x14ac:dyDescent="0.3">
      <c r="L1832" s="239"/>
    </row>
    <row r="1833" spans="12:12" x14ac:dyDescent="0.3">
      <c r="L1833" s="239"/>
    </row>
    <row r="1834" spans="12:12" x14ac:dyDescent="0.3">
      <c r="L1834" s="239"/>
    </row>
    <row r="1835" spans="12:12" x14ac:dyDescent="0.3">
      <c r="L1835" s="239"/>
    </row>
    <row r="1836" spans="12:12" x14ac:dyDescent="0.3">
      <c r="L1836" s="239"/>
    </row>
    <row r="1837" spans="12:12" x14ac:dyDescent="0.3">
      <c r="L1837" s="239"/>
    </row>
    <row r="1838" spans="12:12" x14ac:dyDescent="0.3">
      <c r="L1838" s="239"/>
    </row>
    <row r="1839" spans="12:12" x14ac:dyDescent="0.3">
      <c r="L1839" s="239"/>
    </row>
    <row r="1840" spans="12:12" x14ac:dyDescent="0.3">
      <c r="L1840" s="239"/>
    </row>
    <row r="1841" spans="12:12" x14ac:dyDescent="0.3">
      <c r="L1841" s="239"/>
    </row>
    <row r="1842" spans="12:12" x14ac:dyDescent="0.3">
      <c r="L1842" s="239"/>
    </row>
    <row r="1843" spans="12:12" x14ac:dyDescent="0.3">
      <c r="L1843" s="239"/>
    </row>
    <row r="1844" spans="12:12" x14ac:dyDescent="0.3">
      <c r="L1844" s="239"/>
    </row>
    <row r="1845" spans="12:12" x14ac:dyDescent="0.3">
      <c r="L1845" s="239"/>
    </row>
    <row r="1846" spans="12:12" x14ac:dyDescent="0.3">
      <c r="L1846" s="239"/>
    </row>
    <row r="1847" spans="12:12" x14ac:dyDescent="0.3">
      <c r="L1847" s="239"/>
    </row>
    <row r="1848" spans="12:12" x14ac:dyDescent="0.3">
      <c r="L1848" s="239"/>
    </row>
    <row r="1849" spans="12:12" x14ac:dyDescent="0.3">
      <c r="L1849" s="239"/>
    </row>
    <row r="1850" spans="12:12" x14ac:dyDescent="0.3">
      <c r="L1850" s="239"/>
    </row>
    <row r="1851" spans="12:12" x14ac:dyDescent="0.3">
      <c r="L1851" s="239"/>
    </row>
    <row r="1852" spans="12:12" x14ac:dyDescent="0.3">
      <c r="L1852" s="239"/>
    </row>
    <row r="1853" spans="12:12" x14ac:dyDescent="0.3">
      <c r="L1853" s="239"/>
    </row>
    <row r="1854" spans="12:12" x14ac:dyDescent="0.3">
      <c r="L1854" s="239"/>
    </row>
    <row r="1855" spans="12:12" x14ac:dyDescent="0.3">
      <c r="L1855" s="239"/>
    </row>
    <row r="1856" spans="12:12" x14ac:dyDescent="0.3">
      <c r="L1856" s="239"/>
    </row>
    <row r="1857" spans="12:12" x14ac:dyDescent="0.3">
      <c r="L1857" s="239"/>
    </row>
    <row r="1858" spans="12:12" x14ac:dyDescent="0.3">
      <c r="L1858" s="239"/>
    </row>
    <row r="1859" spans="12:12" x14ac:dyDescent="0.3">
      <c r="L1859" s="239"/>
    </row>
    <row r="1860" spans="12:12" x14ac:dyDescent="0.3">
      <c r="L1860" s="239"/>
    </row>
    <row r="1861" spans="12:12" x14ac:dyDescent="0.3">
      <c r="L1861" s="239"/>
    </row>
    <row r="1862" spans="12:12" x14ac:dyDescent="0.3">
      <c r="L1862" s="239"/>
    </row>
    <row r="1863" spans="12:12" x14ac:dyDescent="0.3">
      <c r="L1863" s="239"/>
    </row>
    <row r="1864" spans="12:12" x14ac:dyDescent="0.3">
      <c r="L1864" s="239"/>
    </row>
    <row r="1865" spans="12:12" x14ac:dyDescent="0.3">
      <c r="L1865" s="239"/>
    </row>
    <row r="1866" spans="12:12" x14ac:dyDescent="0.3">
      <c r="L1866" s="239"/>
    </row>
    <row r="1867" spans="12:12" x14ac:dyDescent="0.3">
      <c r="L1867" s="239"/>
    </row>
    <row r="1868" spans="12:12" x14ac:dyDescent="0.3">
      <c r="L1868" s="239"/>
    </row>
    <row r="1869" spans="12:12" x14ac:dyDescent="0.3">
      <c r="L1869" s="239"/>
    </row>
    <row r="1870" spans="12:12" x14ac:dyDescent="0.3">
      <c r="L1870" s="239"/>
    </row>
    <row r="1871" spans="12:12" x14ac:dyDescent="0.3">
      <c r="L1871" s="239"/>
    </row>
    <row r="1872" spans="12:12" x14ac:dyDescent="0.3">
      <c r="L1872" s="239"/>
    </row>
    <row r="1873" spans="12:12" x14ac:dyDescent="0.3">
      <c r="L1873" s="239"/>
    </row>
    <row r="1874" spans="12:12" x14ac:dyDescent="0.3">
      <c r="L1874" s="239"/>
    </row>
    <row r="1875" spans="12:12" x14ac:dyDescent="0.3">
      <c r="L1875" s="239"/>
    </row>
    <row r="1876" spans="12:12" x14ac:dyDescent="0.3">
      <c r="L1876" s="239"/>
    </row>
    <row r="1877" spans="12:12" x14ac:dyDescent="0.3">
      <c r="L1877" s="239"/>
    </row>
    <row r="1878" spans="12:12" x14ac:dyDescent="0.3">
      <c r="L1878" s="239"/>
    </row>
    <row r="1879" spans="12:12" x14ac:dyDescent="0.3">
      <c r="L1879" s="239"/>
    </row>
    <row r="1880" spans="12:12" x14ac:dyDescent="0.3">
      <c r="L1880" s="239"/>
    </row>
    <row r="1881" spans="12:12" x14ac:dyDescent="0.3">
      <c r="L1881" s="239"/>
    </row>
    <row r="1882" spans="12:12" x14ac:dyDescent="0.3">
      <c r="L1882" s="239"/>
    </row>
    <row r="1883" spans="12:12" x14ac:dyDescent="0.3">
      <c r="L1883" s="239"/>
    </row>
    <row r="1884" spans="12:12" x14ac:dyDescent="0.3">
      <c r="L1884" s="239"/>
    </row>
    <row r="1885" spans="12:12" x14ac:dyDescent="0.3">
      <c r="L1885" s="239"/>
    </row>
    <row r="1886" spans="12:12" x14ac:dyDescent="0.3">
      <c r="L1886" s="239"/>
    </row>
    <row r="1887" spans="12:12" x14ac:dyDescent="0.3">
      <c r="L1887" s="239"/>
    </row>
    <row r="1888" spans="12:12" x14ac:dyDescent="0.3">
      <c r="L1888" s="239"/>
    </row>
    <row r="1889" spans="12:12" x14ac:dyDescent="0.3">
      <c r="L1889" s="239"/>
    </row>
    <row r="1890" spans="12:12" x14ac:dyDescent="0.3">
      <c r="L1890" s="239"/>
    </row>
    <row r="1891" spans="12:12" x14ac:dyDescent="0.3">
      <c r="L1891" s="239"/>
    </row>
    <row r="1892" spans="12:12" x14ac:dyDescent="0.3">
      <c r="L1892" s="239"/>
    </row>
    <row r="1893" spans="12:12" x14ac:dyDescent="0.3">
      <c r="L1893" s="239"/>
    </row>
    <row r="1894" spans="12:12" x14ac:dyDescent="0.3">
      <c r="L1894" s="239"/>
    </row>
    <row r="1895" spans="12:12" x14ac:dyDescent="0.3">
      <c r="L1895" s="239"/>
    </row>
    <row r="1896" spans="12:12" x14ac:dyDescent="0.3">
      <c r="L1896" s="239"/>
    </row>
    <row r="1897" spans="12:12" x14ac:dyDescent="0.3">
      <c r="L1897" s="239"/>
    </row>
    <row r="1898" spans="12:12" x14ac:dyDescent="0.3">
      <c r="L1898" s="239"/>
    </row>
    <row r="1899" spans="12:12" x14ac:dyDescent="0.3">
      <c r="L1899" s="239"/>
    </row>
    <row r="1900" spans="12:12" x14ac:dyDescent="0.3">
      <c r="L1900" s="239"/>
    </row>
    <row r="1901" spans="12:12" x14ac:dyDescent="0.3">
      <c r="L1901" s="239"/>
    </row>
    <row r="1902" spans="12:12" x14ac:dyDescent="0.3">
      <c r="L1902" s="239"/>
    </row>
    <row r="1903" spans="12:12" x14ac:dyDescent="0.3">
      <c r="L1903" s="239"/>
    </row>
    <row r="1904" spans="12:12" x14ac:dyDescent="0.3">
      <c r="L1904" s="239"/>
    </row>
    <row r="1905" spans="12:12" x14ac:dyDescent="0.3">
      <c r="L1905" s="239"/>
    </row>
    <row r="1906" spans="12:12" x14ac:dyDescent="0.3">
      <c r="L1906" s="239"/>
    </row>
    <row r="1907" spans="12:12" x14ac:dyDescent="0.3">
      <c r="L1907" s="239"/>
    </row>
    <row r="1908" spans="12:12" x14ac:dyDescent="0.3">
      <c r="L1908" s="239"/>
    </row>
    <row r="1909" spans="12:12" x14ac:dyDescent="0.3">
      <c r="L1909" s="239"/>
    </row>
    <row r="1910" spans="12:12" x14ac:dyDescent="0.3">
      <c r="L1910" s="239"/>
    </row>
    <row r="1911" spans="12:12" x14ac:dyDescent="0.3">
      <c r="L1911" s="239"/>
    </row>
    <row r="1912" spans="12:12" x14ac:dyDescent="0.3">
      <c r="L1912" s="239"/>
    </row>
    <row r="1913" spans="12:12" x14ac:dyDescent="0.3">
      <c r="L1913" s="239"/>
    </row>
    <row r="1914" spans="12:12" x14ac:dyDescent="0.3">
      <c r="L1914" s="239"/>
    </row>
    <row r="1915" spans="12:12" x14ac:dyDescent="0.3">
      <c r="L1915" s="239"/>
    </row>
    <row r="1916" spans="12:12" x14ac:dyDescent="0.3">
      <c r="L1916" s="239"/>
    </row>
    <row r="1917" spans="12:12" x14ac:dyDescent="0.3">
      <c r="L1917" s="239"/>
    </row>
    <row r="1918" spans="12:12" x14ac:dyDescent="0.3">
      <c r="L1918" s="239"/>
    </row>
    <row r="1919" spans="12:12" x14ac:dyDescent="0.3">
      <c r="L1919" s="239"/>
    </row>
    <row r="1920" spans="12:12" x14ac:dyDescent="0.3">
      <c r="L1920" s="239"/>
    </row>
    <row r="1921" spans="12:12" x14ac:dyDescent="0.3">
      <c r="L1921" s="239"/>
    </row>
    <row r="1922" spans="12:12" x14ac:dyDescent="0.3">
      <c r="L1922" s="239"/>
    </row>
    <row r="1923" spans="12:12" x14ac:dyDescent="0.3">
      <c r="L1923" s="239"/>
    </row>
    <row r="1924" spans="12:12" x14ac:dyDescent="0.3">
      <c r="L1924" s="239"/>
    </row>
    <row r="1925" spans="12:12" x14ac:dyDescent="0.3">
      <c r="L1925" s="239"/>
    </row>
    <row r="1926" spans="12:12" x14ac:dyDescent="0.3">
      <c r="L1926" s="239"/>
    </row>
    <row r="1927" spans="12:12" x14ac:dyDescent="0.3">
      <c r="L1927" s="239"/>
    </row>
    <row r="1928" spans="12:12" x14ac:dyDescent="0.3">
      <c r="L1928" s="239"/>
    </row>
    <row r="1929" spans="12:12" x14ac:dyDescent="0.3">
      <c r="L1929" s="239"/>
    </row>
    <row r="1930" spans="12:12" x14ac:dyDescent="0.3">
      <c r="L1930" s="239"/>
    </row>
    <row r="1931" spans="12:12" x14ac:dyDescent="0.3">
      <c r="L1931" s="239"/>
    </row>
    <row r="1932" spans="12:12" x14ac:dyDescent="0.3">
      <c r="L1932" s="239"/>
    </row>
    <row r="1933" spans="12:12" x14ac:dyDescent="0.3">
      <c r="L1933" s="239"/>
    </row>
    <row r="1934" spans="12:12" x14ac:dyDescent="0.3">
      <c r="L1934" s="239"/>
    </row>
    <row r="1935" spans="12:12" x14ac:dyDescent="0.3">
      <c r="L1935" s="239"/>
    </row>
    <row r="1936" spans="12:12" x14ac:dyDescent="0.3">
      <c r="L1936" s="239"/>
    </row>
    <row r="1937" spans="12:12" x14ac:dyDescent="0.3">
      <c r="L1937" s="239"/>
    </row>
    <row r="1938" spans="12:12" x14ac:dyDescent="0.3">
      <c r="L1938" s="239"/>
    </row>
    <row r="1939" spans="12:12" x14ac:dyDescent="0.3">
      <c r="L1939" s="239"/>
    </row>
    <row r="1940" spans="12:12" x14ac:dyDescent="0.3">
      <c r="L1940" s="239"/>
    </row>
    <row r="1941" spans="12:12" x14ac:dyDescent="0.3">
      <c r="L1941" s="239"/>
    </row>
    <row r="1942" spans="12:12" x14ac:dyDescent="0.3">
      <c r="L1942" s="239"/>
    </row>
    <row r="1943" spans="12:12" x14ac:dyDescent="0.3">
      <c r="L1943" s="239"/>
    </row>
    <row r="1944" spans="12:12" x14ac:dyDescent="0.3">
      <c r="L1944" s="239"/>
    </row>
    <row r="1945" spans="12:12" x14ac:dyDescent="0.3">
      <c r="L1945" s="239"/>
    </row>
    <row r="1946" spans="12:12" x14ac:dyDescent="0.3">
      <c r="L1946" s="239"/>
    </row>
    <row r="1947" spans="12:12" x14ac:dyDescent="0.3">
      <c r="L1947" s="239"/>
    </row>
    <row r="1948" spans="12:12" x14ac:dyDescent="0.3">
      <c r="L1948" s="239"/>
    </row>
    <row r="1949" spans="12:12" x14ac:dyDescent="0.3">
      <c r="L1949" s="239"/>
    </row>
    <row r="1950" spans="12:12" x14ac:dyDescent="0.3">
      <c r="L1950" s="239"/>
    </row>
    <row r="1951" spans="12:12" x14ac:dyDescent="0.3">
      <c r="L1951" s="239"/>
    </row>
    <row r="1952" spans="12:12" x14ac:dyDescent="0.3">
      <c r="L1952" s="239"/>
    </row>
    <row r="1953" spans="12:12" x14ac:dyDescent="0.3">
      <c r="L1953" s="239"/>
    </row>
    <row r="1954" spans="12:12" x14ac:dyDescent="0.3">
      <c r="L1954" s="239"/>
    </row>
    <row r="1955" spans="12:12" x14ac:dyDescent="0.3">
      <c r="L1955" s="239"/>
    </row>
    <row r="1956" spans="12:12" x14ac:dyDescent="0.3">
      <c r="L1956" s="239"/>
    </row>
    <row r="1957" spans="12:12" x14ac:dyDescent="0.3">
      <c r="L1957" s="239"/>
    </row>
    <row r="1958" spans="12:12" x14ac:dyDescent="0.3">
      <c r="L1958" s="239"/>
    </row>
    <row r="1959" spans="12:12" x14ac:dyDescent="0.3">
      <c r="L1959" s="239"/>
    </row>
    <row r="1960" spans="12:12" x14ac:dyDescent="0.3">
      <c r="L1960" s="239"/>
    </row>
    <row r="1961" spans="12:12" x14ac:dyDescent="0.3">
      <c r="L1961" s="239"/>
    </row>
    <row r="1962" spans="12:12" x14ac:dyDescent="0.3">
      <c r="L1962" s="239"/>
    </row>
    <row r="1963" spans="12:12" x14ac:dyDescent="0.3">
      <c r="L1963" s="239"/>
    </row>
    <row r="1964" spans="12:12" x14ac:dyDescent="0.3">
      <c r="L1964" s="239"/>
    </row>
    <row r="1965" spans="12:12" x14ac:dyDescent="0.3">
      <c r="L1965" s="239"/>
    </row>
    <row r="1966" spans="12:12" x14ac:dyDescent="0.3">
      <c r="L1966" s="239"/>
    </row>
    <row r="1967" spans="12:12" x14ac:dyDescent="0.3">
      <c r="L1967" s="239"/>
    </row>
    <row r="1968" spans="12:12" x14ac:dyDescent="0.3">
      <c r="L1968" s="239"/>
    </row>
    <row r="1969" spans="12:12" x14ac:dyDescent="0.3">
      <c r="L1969" s="239"/>
    </row>
    <row r="1970" spans="12:12" x14ac:dyDescent="0.3">
      <c r="L1970" s="239"/>
    </row>
    <row r="1971" spans="12:12" x14ac:dyDescent="0.3">
      <c r="L1971" s="239"/>
    </row>
    <row r="1972" spans="12:12" x14ac:dyDescent="0.3">
      <c r="L1972" s="239"/>
    </row>
    <row r="1973" spans="12:12" x14ac:dyDescent="0.3">
      <c r="L1973" s="239"/>
    </row>
    <row r="1974" spans="12:12" x14ac:dyDescent="0.3">
      <c r="L1974" s="239"/>
    </row>
    <row r="1975" spans="12:12" x14ac:dyDescent="0.3">
      <c r="L1975" s="239"/>
    </row>
    <row r="1976" spans="12:12" x14ac:dyDescent="0.3">
      <c r="L1976" s="239"/>
    </row>
    <row r="1977" spans="12:12" x14ac:dyDescent="0.3">
      <c r="L1977" s="239"/>
    </row>
    <row r="1978" spans="12:12" x14ac:dyDescent="0.3">
      <c r="L1978" s="239"/>
    </row>
    <row r="1979" spans="12:12" x14ac:dyDescent="0.3">
      <c r="L1979" s="239"/>
    </row>
    <row r="1980" spans="12:12" x14ac:dyDescent="0.3">
      <c r="L1980" s="239"/>
    </row>
    <row r="1981" spans="12:12" x14ac:dyDescent="0.3">
      <c r="L1981" s="239"/>
    </row>
    <row r="1982" spans="12:12" x14ac:dyDescent="0.3">
      <c r="L1982" s="239"/>
    </row>
    <row r="1983" spans="12:12" x14ac:dyDescent="0.3">
      <c r="L1983" s="239"/>
    </row>
    <row r="1984" spans="12:12" x14ac:dyDescent="0.3">
      <c r="L1984" s="239"/>
    </row>
    <row r="1985" spans="12:12" x14ac:dyDescent="0.3">
      <c r="L1985" s="239"/>
    </row>
    <row r="1986" spans="12:12" x14ac:dyDescent="0.3">
      <c r="L1986" s="239"/>
    </row>
    <row r="1987" spans="12:12" x14ac:dyDescent="0.3">
      <c r="L1987" s="239"/>
    </row>
    <row r="1988" spans="12:12" x14ac:dyDescent="0.3">
      <c r="L1988" s="239"/>
    </row>
    <row r="1989" spans="12:12" x14ac:dyDescent="0.3">
      <c r="L1989" s="239"/>
    </row>
    <row r="1990" spans="12:12" x14ac:dyDescent="0.3">
      <c r="L1990" s="239"/>
    </row>
    <row r="1991" spans="12:12" x14ac:dyDescent="0.3">
      <c r="L1991" s="239"/>
    </row>
    <row r="1992" spans="12:12" x14ac:dyDescent="0.3">
      <c r="L1992" s="239"/>
    </row>
    <row r="1993" spans="12:12" x14ac:dyDescent="0.3">
      <c r="L1993" s="239"/>
    </row>
    <row r="1994" spans="12:12" x14ac:dyDescent="0.3">
      <c r="L1994" s="239"/>
    </row>
    <row r="1995" spans="12:12" x14ac:dyDescent="0.3">
      <c r="L1995" s="239"/>
    </row>
    <row r="1996" spans="12:12" x14ac:dyDescent="0.3">
      <c r="L1996" s="239"/>
    </row>
    <row r="1997" spans="12:12" x14ac:dyDescent="0.3">
      <c r="L1997" s="239"/>
    </row>
    <row r="1998" spans="12:12" x14ac:dyDescent="0.3">
      <c r="L1998" s="239"/>
    </row>
    <row r="1999" spans="12:12" x14ac:dyDescent="0.3">
      <c r="L1999" s="239"/>
    </row>
    <row r="2000" spans="12:12" x14ac:dyDescent="0.3">
      <c r="L2000" s="239"/>
    </row>
    <row r="2001" spans="12:12" x14ac:dyDescent="0.3">
      <c r="L2001" s="239"/>
    </row>
    <row r="2002" spans="12:12" x14ac:dyDescent="0.3">
      <c r="L2002" s="239"/>
    </row>
    <row r="2003" spans="12:12" x14ac:dyDescent="0.3">
      <c r="L2003" s="239"/>
    </row>
    <row r="2004" spans="12:12" x14ac:dyDescent="0.3">
      <c r="L2004" s="239"/>
    </row>
    <row r="2005" spans="12:12" x14ac:dyDescent="0.3">
      <c r="L2005" s="239"/>
    </row>
    <row r="2006" spans="12:12" x14ac:dyDescent="0.3">
      <c r="L2006" s="239"/>
    </row>
    <row r="2007" spans="12:12" x14ac:dyDescent="0.3">
      <c r="L2007" s="239"/>
    </row>
    <row r="2008" spans="12:12" x14ac:dyDescent="0.3">
      <c r="L2008" s="239"/>
    </row>
    <row r="2009" spans="12:12" x14ac:dyDescent="0.3">
      <c r="L2009" s="239"/>
    </row>
    <row r="2010" spans="12:12" x14ac:dyDescent="0.3">
      <c r="L2010" s="239"/>
    </row>
    <row r="2011" spans="12:12" x14ac:dyDescent="0.3">
      <c r="L2011" s="239"/>
    </row>
    <row r="2012" spans="12:12" x14ac:dyDescent="0.3">
      <c r="L2012" s="239"/>
    </row>
    <row r="2013" spans="12:12" x14ac:dyDescent="0.3">
      <c r="L2013" s="239"/>
    </row>
    <row r="2014" spans="12:12" x14ac:dyDescent="0.3">
      <c r="L2014" s="239"/>
    </row>
    <row r="2015" spans="12:12" x14ac:dyDescent="0.3">
      <c r="L2015" s="239"/>
    </row>
    <row r="2016" spans="12:12" x14ac:dyDescent="0.3">
      <c r="L2016" s="239"/>
    </row>
    <row r="2017" spans="12:12" x14ac:dyDescent="0.3">
      <c r="L2017" s="239"/>
    </row>
    <row r="2018" spans="12:12" x14ac:dyDescent="0.3">
      <c r="L2018" s="239"/>
    </row>
    <row r="2019" spans="12:12" x14ac:dyDescent="0.3">
      <c r="L2019" s="239"/>
    </row>
    <row r="2020" spans="12:12" x14ac:dyDescent="0.3">
      <c r="L2020" s="239"/>
    </row>
    <row r="2021" spans="12:12" x14ac:dyDescent="0.3">
      <c r="L2021" s="239"/>
    </row>
    <row r="2022" spans="12:12" x14ac:dyDescent="0.3">
      <c r="L2022" s="239"/>
    </row>
    <row r="2023" spans="12:12" x14ac:dyDescent="0.3">
      <c r="L2023" s="239"/>
    </row>
    <row r="2024" spans="12:12" x14ac:dyDescent="0.3">
      <c r="L2024" s="239"/>
    </row>
    <row r="2025" spans="12:12" x14ac:dyDescent="0.3">
      <c r="L2025" s="239"/>
    </row>
    <row r="2026" spans="12:12" x14ac:dyDescent="0.3">
      <c r="L2026" s="239"/>
    </row>
    <row r="2027" spans="12:12" x14ac:dyDescent="0.3">
      <c r="L2027" s="239"/>
    </row>
    <row r="2028" spans="12:12" x14ac:dyDescent="0.3">
      <c r="L2028" s="239"/>
    </row>
    <row r="2029" spans="12:12" x14ac:dyDescent="0.3">
      <c r="L2029" s="239"/>
    </row>
    <row r="2030" spans="12:12" x14ac:dyDescent="0.3">
      <c r="L2030" s="239"/>
    </row>
    <row r="2031" spans="12:12" x14ac:dyDescent="0.3">
      <c r="L2031" s="239"/>
    </row>
    <row r="2032" spans="12:12" x14ac:dyDescent="0.3">
      <c r="L2032" s="239"/>
    </row>
    <row r="2033" spans="12:12" x14ac:dyDescent="0.3">
      <c r="L2033" s="239"/>
    </row>
    <row r="2034" spans="12:12" x14ac:dyDescent="0.3">
      <c r="L2034" s="239"/>
    </row>
    <row r="2035" spans="12:12" x14ac:dyDescent="0.3">
      <c r="L2035" s="239"/>
    </row>
    <row r="2036" spans="12:12" x14ac:dyDescent="0.3">
      <c r="L2036" s="239"/>
    </row>
    <row r="2037" spans="12:12" x14ac:dyDescent="0.3">
      <c r="L2037" s="239"/>
    </row>
    <row r="2038" spans="12:12" x14ac:dyDescent="0.3">
      <c r="L2038" s="239"/>
    </row>
    <row r="2039" spans="12:12" x14ac:dyDescent="0.3">
      <c r="L2039" s="239"/>
    </row>
    <row r="2040" spans="12:12" x14ac:dyDescent="0.3">
      <c r="L2040" s="239"/>
    </row>
    <row r="2041" spans="12:12" x14ac:dyDescent="0.3">
      <c r="L2041" s="239"/>
    </row>
    <row r="2042" spans="12:12" x14ac:dyDescent="0.3">
      <c r="L2042" s="239"/>
    </row>
    <row r="2043" spans="12:12" x14ac:dyDescent="0.3">
      <c r="L2043" s="239"/>
    </row>
    <row r="2044" spans="12:12" x14ac:dyDescent="0.3">
      <c r="L2044" s="239"/>
    </row>
    <row r="2045" spans="12:12" x14ac:dyDescent="0.3">
      <c r="L2045" s="239"/>
    </row>
    <row r="2046" spans="12:12" x14ac:dyDescent="0.3">
      <c r="L2046" s="239"/>
    </row>
    <row r="2047" spans="12:12" x14ac:dyDescent="0.3">
      <c r="L2047" s="239"/>
    </row>
    <row r="2048" spans="12:12" x14ac:dyDescent="0.3">
      <c r="L2048" s="239"/>
    </row>
    <row r="2049" spans="12:12" x14ac:dyDescent="0.3">
      <c r="L2049" s="239"/>
    </row>
    <row r="2050" spans="12:12" x14ac:dyDescent="0.3">
      <c r="L2050" s="239"/>
    </row>
    <row r="2051" spans="12:12" x14ac:dyDescent="0.3">
      <c r="L2051" s="239"/>
    </row>
    <row r="2052" spans="12:12" x14ac:dyDescent="0.3">
      <c r="L2052" s="239"/>
    </row>
    <row r="2053" spans="12:12" x14ac:dyDescent="0.3">
      <c r="L2053" s="239"/>
    </row>
    <row r="2054" spans="12:12" x14ac:dyDescent="0.3">
      <c r="L2054" s="239"/>
    </row>
    <row r="2055" spans="12:12" x14ac:dyDescent="0.3">
      <c r="L2055" s="239"/>
    </row>
    <row r="2056" spans="12:12" x14ac:dyDescent="0.3">
      <c r="L2056" s="239"/>
    </row>
    <row r="2057" spans="12:12" x14ac:dyDescent="0.3">
      <c r="L2057" s="239"/>
    </row>
    <row r="2058" spans="12:12" x14ac:dyDescent="0.3">
      <c r="L2058" s="239"/>
    </row>
    <row r="2059" spans="12:12" x14ac:dyDescent="0.3">
      <c r="L2059" s="239"/>
    </row>
    <row r="2060" spans="12:12" x14ac:dyDescent="0.3">
      <c r="L2060" s="239"/>
    </row>
    <row r="2061" spans="12:12" x14ac:dyDescent="0.3">
      <c r="L2061" s="239"/>
    </row>
    <row r="2062" spans="12:12" x14ac:dyDescent="0.3">
      <c r="L2062" s="239"/>
    </row>
    <row r="2063" spans="12:12" x14ac:dyDescent="0.3">
      <c r="L2063" s="239"/>
    </row>
    <row r="2064" spans="12:12" x14ac:dyDescent="0.3">
      <c r="L2064" s="239"/>
    </row>
    <row r="2065" spans="12:12" x14ac:dyDescent="0.3">
      <c r="L2065" s="239"/>
    </row>
    <row r="2066" spans="12:12" x14ac:dyDescent="0.3">
      <c r="L2066" s="239"/>
    </row>
    <row r="2067" spans="12:12" x14ac:dyDescent="0.3">
      <c r="L2067" s="239"/>
    </row>
    <row r="2068" spans="12:12" x14ac:dyDescent="0.3">
      <c r="L2068" s="239"/>
    </row>
    <row r="2069" spans="12:12" x14ac:dyDescent="0.3">
      <c r="L2069" s="239"/>
    </row>
    <row r="2070" spans="12:12" x14ac:dyDescent="0.3">
      <c r="L2070" s="239"/>
    </row>
    <row r="2071" spans="12:12" x14ac:dyDescent="0.3">
      <c r="L2071" s="239"/>
    </row>
    <row r="2072" spans="12:12" x14ac:dyDescent="0.3">
      <c r="L2072" s="239"/>
    </row>
    <row r="2073" spans="12:12" x14ac:dyDescent="0.3">
      <c r="L2073" s="239"/>
    </row>
    <row r="2074" spans="12:12" x14ac:dyDescent="0.3">
      <c r="L2074" s="239"/>
    </row>
    <row r="2075" spans="12:12" x14ac:dyDescent="0.3">
      <c r="L2075" s="239"/>
    </row>
    <row r="2076" spans="12:12" x14ac:dyDescent="0.3">
      <c r="L2076" s="239"/>
    </row>
    <row r="2077" spans="12:12" x14ac:dyDescent="0.3">
      <c r="L2077" s="239"/>
    </row>
    <row r="2078" spans="12:12" x14ac:dyDescent="0.3">
      <c r="L2078" s="239"/>
    </row>
    <row r="2079" spans="12:12" x14ac:dyDescent="0.3">
      <c r="L2079" s="239"/>
    </row>
    <row r="2080" spans="12:12" x14ac:dyDescent="0.3">
      <c r="L2080" s="239"/>
    </row>
    <row r="2081" spans="12:12" x14ac:dyDescent="0.3">
      <c r="L2081" s="239"/>
    </row>
    <row r="2082" spans="12:12" x14ac:dyDescent="0.3">
      <c r="L2082" s="239"/>
    </row>
    <row r="2083" spans="12:12" x14ac:dyDescent="0.3">
      <c r="L2083" s="239"/>
    </row>
    <row r="2084" spans="12:12" x14ac:dyDescent="0.3">
      <c r="L2084" s="239"/>
    </row>
    <row r="2085" spans="12:12" x14ac:dyDescent="0.3">
      <c r="L2085" s="239"/>
    </row>
    <row r="2086" spans="12:12" x14ac:dyDescent="0.3">
      <c r="L2086" s="239"/>
    </row>
    <row r="2087" spans="12:12" x14ac:dyDescent="0.3">
      <c r="L2087" s="239"/>
    </row>
    <row r="2088" spans="12:12" x14ac:dyDescent="0.3">
      <c r="L2088" s="239"/>
    </row>
    <row r="2089" spans="12:12" x14ac:dyDescent="0.3">
      <c r="L2089" s="239"/>
    </row>
    <row r="2090" spans="12:12" x14ac:dyDescent="0.3">
      <c r="L2090" s="239"/>
    </row>
    <row r="2091" spans="12:12" x14ac:dyDescent="0.3">
      <c r="L2091" s="239"/>
    </row>
    <row r="2092" spans="12:12" x14ac:dyDescent="0.3">
      <c r="L2092" s="239"/>
    </row>
    <row r="2093" spans="12:12" x14ac:dyDescent="0.3">
      <c r="L2093" s="239"/>
    </row>
    <row r="2094" spans="12:12" x14ac:dyDescent="0.3">
      <c r="L2094" s="239"/>
    </row>
    <row r="2095" spans="12:12" x14ac:dyDescent="0.3">
      <c r="L2095" s="239"/>
    </row>
    <row r="2096" spans="12:12" x14ac:dyDescent="0.3">
      <c r="L2096" s="239"/>
    </row>
    <row r="2097" spans="12:12" x14ac:dyDescent="0.3">
      <c r="L2097" s="239"/>
    </row>
    <row r="2098" spans="12:12" x14ac:dyDescent="0.3">
      <c r="L2098" s="239"/>
    </row>
    <row r="2099" spans="12:12" x14ac:dyDescent="0.3">
      <c r="L2099" s="239"/>
    </row>
    <row r="2100" spans="12:12" x14ac:dyDescent="0.3">
      <c r="L2100" s="239"/>
    </row>
    <row r="2101" spans="12:12" x14ac:dyDescent="0.3">
      <c r="L2101" s="239"/>
    </row>
    <row r="2102" spans="12:12" x14ac:dyDescent="0.3">
      <c r="L2102" s="239"/>
    </row>
    <row r="2103" spans="12:12" x14ac:dyDescent="0.3">
      <c r="L2103" s="239"/>
    </row>
    <row r="2104" spans="12:12" x14ac:dyDescent="0.3">
      <c r="L2104" s="239"/>
    </row>
    <row r="2105" spans="12:12" x14ac:dyDescent="0.3">
      <c r="L2105" s="239"/>
    </row>
    <row r="2106" spans="12:12" x14ac:dyDescent="0.3">
      <c r="L2106" s="239"/>
    </row>
    <row r="2107" spans="12:12" x14ac:dyDescent="0.3">
      <c r="L2107" s="239"/>
    </row>
    <row r="2108" spans="12:12" x14ac:dyDescent="0.3">
      <c r="L2108" s="239"/>
    </row>
    <row r="2109" spans="12:12" x14ac:dyDescent="0.3">
      <c r="L2109" s="239"/>
    </row>
    <row r="2110" spans="12:12" x14ac:dyDescent="0.3">
      <c r="L2110" s="239"/>
    </row>
    <row r="2111" spans="12:12" x14ac:dyDescent="0.3">
      <c r="L2111" s="239"/>
    </row>
    <row r="2112" spans="12:12" x14ac:dyDescent="0.3">
      <c r="L2112" s="239"/>
    </row>
    <row r="2113" spans="12:12" x14ac:dyDescent="0.3">
      <c r="L2113" s="239"/>
    </row>
    <row r="2114" spans="12:12" x14ac:dyDescent="0.3">
      <c r="L2114" s="239"/>
    </row>
    <row r="2115" spans="12:12" x14ac:dyDescent="0.3">
      <c r="L2115" s="239"/>
    </row>
    <row r="2116" spans="12:12" x14ac:dyDescent="0.3">
      <c r="L2116" s="239"/>
    </row>
    <row r="2117" spans="12:12" x14ac:dyDescent="0.3">
      <c r="L2117" s="239"/>
    </row>
    <row r="2118" spans="12:12" x14ac:dyDescent="0.3">
      <c r="L2118" s="239"/>
    </row>
    <row r="2119" spans="12:12" x14ac:dyDescent="0.3">
      <c r="L2119" s="239"/>
    </row>
    <row r="2120" spans="12:12" x14ac:dyDescent="0.3">
      <c r="L2120" s="239"/>
    </row>
    <row r="2121" spans="12:12" x14ac:dyDescent="0.3">
      <c r="L2121" s="239"/>
    </row>
    <row r="2122" spans="12:12" x14ac:dyDescent="0.3">
      <c r="L2122" s="239"/>
    </row>
    <row r="2123" spans="12:12" x14ac:dyDescent="0.3">
      <c r="L2123" s="239"/>
    </row>
    <row r="2124" spans="12:12" x14ac:dyDescent="0.3">
      <c r="L2124" s="239"/>
    </row>
    <row r="2125" spans="12:12" x14ac:dyDescent="0.3">
      <c r="L2125" s="239"/>
    </row>
    <row r="2126" spans="12:12" x14ac:dyDescent="0.3">
      <c r="L2126" s="239"/>
    </row>
    <row r="2127" spans="12:12" x14ac:dyDescent="0.3">
      <c r="L2127" s="239"/>
    </row>
    <row r="2128" spans="12:12" x14ac:dyDescent="0.3">
      <c r="L2128" s="239"/>
    </row>
    <row r="2129" spans="12:12" x14ac:dyDescent="0.3">
      <c r="L2129" s="239"/>
    </row>
    <row r="2130" spans="12:12" x14ac:dyDescent="0.3">
      <c r="L2130" s="239"/>
    </row>
    <row r="2131" spans="12:12" x14ac:dyDescent="0.3">
      <c r="L2131" s="239"/>
    </row>
    <row r="2132" spans="12:12" x14ac:dyDescent="0.3">
      <c r="L2132" s="239"/>
    </row>
    <row r="2133" spans="12:12" x14ac:dyDescent="0.3">
      <c r="L2133" s="239"/>
    </row>
    <row r="2134" spans="12:12" x14ac:dyDescent="0.3">
      <c r="L2134" s="239"/>
    </row>
    <row r="2135" spans="12:12" x14ac:dyDescent="0.3">
      <c r="L2135" s="239"/>
    </row>
    <row r="2136" spans="12:12" x14ac:dyDescent="0.3">
      <c r="L2136" s="239"/>
    </row>
    <row r="2137" spans="12:12" x14ac:dyDescent="0.3">
      <c r="L2137" s="239"/>
    </row>
    <row r="2138" spans="12:12" x14ac:dyDescent="0.3">
      <c r="L2138" s="239"/>
    </row>
    <row r="2139" spans="12:12" x14ac:dyDescent="0.3">
      <c r="L2139" s="239"/>
    </row>
    <row r="2140" spans="12:12" x14ac:dyDescent="0.3">
      <c r="L2140" s="239"/>
    </row>
    <row r="2141" spans="12:12" x14ac:dyDescent="0.3">
      <c r="L2141" s="239"/>
    </row>
    <row r="2142" spans="12:12" x14ac:dyDescent="0.3">
      <c r="L2142" s="239"/>
    </row>
    <row r="2143" spans="12:12" x14ac:dyDescent="0.3">
      <c r="L2143" s="239"/>
    </row>
    <row r="2144" spans="12:12" x14ac:dyDescent="0.3">
      <c r="L2144" s="239"/>
    </row>
    <row r="2145" spans="12:12" x14ac:dyDescent="0.3">
      <c r="L2145" s="239"/>
    </row>
    <row r="2146" spans="12:12" x14ac:dyDescent="0.3">
      <c r="L2146" s="239"/>
    </row>
    <row r="2147" spans="12:12" x14ac:dyDescent="0.3">
      <c r="L2147" s="239"/>
    </row>
    <row r="2148" spans="12:12" x14ac:dyDescent="0.3">
      <c r="L2148" s="239"/>
    </row>
    <row r="2149" spans="12:12" x14ac:dyDescent="0.3">
      <c r="L2149" s="239"/>
    </row>
    <row r="2150" spans="12:12" x14ac:dyDescent="0.3">
      <c r="L2150" s="239"/>
    </row>
    <row r="2151" spans="12:12" x14ac:dyDescent="0.3">
      <c r="L2151" s="239"/>
    </row>
    <row r="2152" spans="12:12" x14ac:dyDescent="0.3">
      <c r="L2152" s="239"/>
    </row>
    <row r="2153" spans="12:12" x14ac:dyDescent="0.3">
      <c r="L2153" s="239"/>
    </row>
    <row r="2154" spans="12:12" x14ac:dyDescent="0.3">
      <c r="L2154" s="239"/>
    </row>
    <row r="2155" spans="12:12" x14ac:dyDescent="0.3">
      <c r="L2155" s="239"/>
    </row>
    <row r="2156" spans="12:12" x14ac:dyDescent="0.3">
      <c r="L2156" s="239"/>
    </row>
    <row r="2157" spans="12:12" x14ac:dyDescent="0.3">
      <c r="L2157" s="239"/>
    </row>
    <row r="2158" spans="12:12" x14ac:dyDescent="0.3">
      <c r="L2158" s="239"/>
    </row>
    <row r="2159" spans="12:12" x14ac:dyDescent="0.3">
      <c r="L2159" s="239"/>
    </row>
    <row r="2160" spans="12:12" x14ac:dyDescent="0.3">
      <c r="L2160" s="239"/>
    </row>
    <row r="2161" spans="12:12" x14ac:dyDescent="0.3">
      <c r="L2161" s="239"/>
    </row>
    <row r="2162" spans="12:12" x14ac:dyDescent="0.3">
      <c r="L2162" s="239"/>
    </row>
    <row r="2163" spans="12:12" x14ac:dyDescent="0.3">
      <c r="L2163" s="239"/>
    </row>
    <row r="2164" spans="12:12" x14ac:dyDescent="0.3">
      <c r="L2164" s="239"/>
    </row>
    <row r="2165" spans="12:12" x14ac:dyDescent="0.3">
      <c r="L2165" s="239"/>
    </row>
    <row r="2166" spans="12:12" x14ac:dyDescent="0.3">
      <c r="L2166" s="239"/>
    </row>
    <row r="2167" spans="12:12" x14ac:dyDescent="0.3">
      <c r="L2167" s="239"/>
    </row>
    <row r="2168" spans="12:12" x14ac:dyDescent="0.3">
      <c r="L2168" s="239"/>
    </row>
    <row r="2169" spans="12:12" x14ac:dyDescent="0.3">
      <c r="L2169" s="239"/>
    </row>
    <row r="2170" spans="12:12" x14ac:dyDescent="0.3">
      <c r="L2170" s="239"/>
    </row>
    <row r="2171" spans="12:12" x14ac:dyDescent="0.3">
      <c r="L2171" s="239"/>
    </row>
    <row r="2172" spans="12:12" x14ac:dyDescent="0.3">
      <c r="L2172" s="239"/>
    </row>
    <row r="2173" spans="12:12" x14ac:dyDescent="0.3">
      <c r="L2173" s="239"/>
    </row>
    <row r="2174" spans="12:12" x14ac:dyDescent="0.3">
      <c r="L2174" s="239"/>
    </row>
    <row r="2175" spans="12:12" x14ac:dyDescent="0.3">
      <c r="L2175" s="239"/>
    </row>
    <row r="2176" spans="12:12" x14ac:dyDescent="0.3">
      <c r="L2176" s="239"/>
    </row>
    <row r="2177" spans="12:12" x14ac:dyDescent="0.3">
      <c r="L2177" s="239"/>
    </row>
    <row r="2178" spans="12:12" x14ac:dyDescent="0.3">
      <c r="L2178" s="239"/>
    </row>
    <row r="2179" spans="12:12" x14ac:dyDescent="0.3">
      <c r="L2179" s="239"/>
    </row>
    <row r="2180" spans="12:12" x14ac:dyDescent="0.3">
      <c r="L2180" s="239"/>
    </row>
    <row r="2181" spans="12:12" x14ac:dyDescent="0.3">
      <c r="L2181" s="239"/>
    </row>
    <row r="2182" spans="12:12" x14ac:dyDescent="0.3">
      <c r="L2182" s="239"/>
    </row>
    <row r="2183" spans="12:12" x14ac:dyDescent="0.3">
      <c r="L2183" s="239"/>
    </row>
    <row r="2184" spans="12:12" x14ac:dyDescent="0.3">
      <c r="L2184" s="239"/>
    </row>
    <row r="2185" spans="12:12" x14ac:dyDescent="0.3">
      <c r="L2185" s="239"/>
    </row>
    <row r="2186" spans="12:12" x14ac:dyDescent="0.3">
      <c r="L2186" s="239"/>
    </row>
    <row r="2187" spans="12:12" x14ac:dyDescent="0.3">
      <c r="L2187" s="239"/>
    </row>
    <row r="2188" spans="12:12" x14ac:dyDescent="0.3">
      <c r="L2188" s="239"/>
    </row>
    <row r="2189" spans="12:12" x14ac:dyDescent="0.3">
      <c r="L2189" s="239"/>
    </row>
    <row r="2190" spans="12:12" x14ac:dyDescent="0.3">
      <c r="L2190" s="239"/>
    </row>
    <row r="2191" spans="12:12" x14ac:dyDescent="0.3">
      <c r="L2191" s="239"/>
    </row>
    <row r="2192" spans="12:12" x14ac:dyDescent="0.3">
      <c r="L2192" s="239"/>
    </row>
    <row r="2193" spans="12:12" x14ac:dyDescent="0.3">
      <c r="L2193" s="239"/>
    </row>
    <row r="2194" spans="12:12" x14ac:dyDescent="0.3">
      <c r="L2194" s="239"/>
    </row>
    <row r="2195" spans="12:12" x14ac:dyDescent="0.3">
      <c r="L2195" s="239"/>
    </row>
    <row r="2196" spans="12:12" x14ac:dyDescent="0.3">
      <c r="L2196" s="239"/>
    </row>
    <row r="2197" spans="12:12" x14ac:dyDescent="0.3">
      <c r="L2197" s="239"/>
    </row>
    <row r="2198" spans="12:12" x14ac:dyDescent="0.3">
      <c r="L2198" s="239"/>
    </row>
    <row r="2199" spans="12:12" x14ac:dyDescent="0.3">
      <c r="L2199" s="239"/>
    </row>
    <row r="2200" spans="12:12" x14ac:dyDescent="0.3">
      <c r="L2200" s="239"/>
    </row>
    <row r="2201" spans="12:12" x14ac:dyDescent="0.3">
      <c r="L2201" s="239"/>
    </row>
    <row r="2202" spans="12:12" x14ac:dyDescent="0.3">
      <c r="L2202" s="239"/>
    </row>
    <row r="2203" spans="12:12" x14ac:dyDescent="0.3">
      <c r="L2203" s="239"/>
    </row>
    <row r="2204" spans="12:12" x14ac:dyDescent="0.3">
      <c r="L2204" s="239"/>
    </row>
    <row r="2205" spans="12:12" x14ac:dyDescent="0.3">
      <c r="L2205" s="239"/>
    </row>
    <row r="2206" spans="12:12" x14ac:dyDescent="0.3">
      <c r="L2206" s="239"/>
    </row>
    <row r="2207" spans="12:12" x14ac:dyDescent="0.3">
      <c r="L2207" s="239"/>
    </row>
    <row r="2208" spans="12:12" x14ac:dyDescent="0.3">
      <c r="L2208" s="239"/>
    </row>
    <row r="2209" spans="12:12" x14ac:dyDescent="0.3">
      <c r="L2209" s="239"/>
    </row>
    <row r="2210" spans="12:12" x14ac:dyDescent="0.3">
      <c r="L2210" s="239"/>
    </row>
    <row r="2211" spans="12:12" x14ac:dyDescent="0.3">
      <c r="L2211" s="239"/>
    </row>
    <row r="2212" spans="12:12" x14ac:dyDescent="0.3">
      <c r="L2212" s="239"/>
    </row>
    <row r="2213" spans="12:12" x14ac:dyDescent="0.3">
      <c r="L2213" s="239"/>
    </row>
    <row r="2214" spans="12:12" x14ac:dyDescent="0.3">
      <c r="L2214" s="239"/>
    </row>
    <row r="2215" spans="12:12" x14ac:dyDescent="0.3">
      <c r="L2215" s="239"/>
    </row>
    <row r="2216" spans="12:12" x14ac:dyDescent="0.3">
      <c r="L2216" s="239"/>
    </row>
    <row r="2217" spans="12:12" x14ac:dyDescent="0.3">
      <c r="L2217" s="239"/>
    </row>
    <row r="2218" spans="12:12" x14ac:dyDescent="0.3">
      <c r="L2218" s="239"/>
    </row>
    <row r="2219" spans="12:12" x14ac:dyDescent="0.3">
      <c r="L2219" s="239"/>
    </row>
    <row r="2220" spans="12:12" x14ac:dyDescent="0.3">
      <c r="L2220" s="239"/>
    </row>
    <row r="2221" spans="12:12" x14ac:dyDescent="0.3">
      <c r="L2221" s="239"/>
    </row>
    <row r="2222" spans="12:12" x14ac:dyDescent="0.3">
      <c r="L2222" s="239"/>
    </row>
    <row r="2223" spans="12:12" x14ac:dyDescent="0.3">
      <c r="L2223" s="239"/>
    </row>
    <row r="2224" spans="12:12" x14ac:dyDescent="0.3">
      <c r="L2224" s="239"/>
    </row>
    <row r="2225" spans="12:12" x14ac:dyDescent="0.3">
      <c r="L2225" s="239"/>
    </row>
    <row r="2226" spans="12:12" x14ac:dyDescent="0.3">
      <c r="L2226" s="239"/>
    </row>
    <row r="2227" spans="12:12" x14ac:dyDescent="0.3">
      <c r="L2227" s="239"/>
    </row>
    <row r="2228" spans="12:12" x14ac:dyDescent="0.3">
      <c r="L2228" s="239"/>
    </row>
    <row r="2229" spans="12:12" x14ac:dyDescent="0.3">
      <c r="L2229" s="239"/>
    </row>
    <row r="2230" spans="12:12" x14ac:dyDescent="0.3">
      <c r="L2230" s="239"/>
    </row>
    <row r="2231" spans="12:12" x14ac:dyDescent="0.3">
      <c r="L2231" s="239"/>
    </row>
    <row r="2232" spans="12:12" x14ac:dyDescent="0.3">
      <c r="L2232" s="239"/>
    </row>
    <row r="2233" spans="12:12" x14ac:dyDescent="0.3">
      <c r="L2233" s="239"/>
    </row>
    <row r="2234" spans="12:12" x14ac:dyDescent="0.3">
      <c r="L2234" s="239"/>
    </row>
    <row r="2235" spans="12:12" x14ac:dyDescent="0.3">
      <c r="L2235" s="239"/>
    </row>
    <row r="2236" spans="12:12" x14ac:dyDescent="0.3">
      <c r="L2236" s="239"/>
    </row>
    <row r="2237" spans="12:12" x14ac:dyDescent="0.3">
      <c r="L2237" s="239"/>
    </row>
    <row r="2238" spans="12:12" x14ac:dyDescent="0.3">
      <c r="L2238" s="239"/>
    </row>
    <row r="2239" spans="12:12" x14ac:dyDescent="0.3">
      <c r="L2239" s="239"/>
    </row>
    <row r="2240" spans="12:12" x14ac:dyDescent="0.3">
      <c r="L2240" s="239"/>
    </row>
    <row r="2241" spans="12:12" x14ac:dyDescent="0.3">
      <c r="L2241" s="239"/>
    </row>
    <row r="2242" spans="12:12" x14ac:dyDescent="0.3">
      <c r="L2242" s="239"/>
    </row>
    <row r="2243" spans="12:12" x14ac:dyDescent="0.3">
      <c r="L2243" s="239"/>
    </row>
    <row r="2244" spans="12:12" x14ac:dyDescent="0.3">
      <c r="L2244" s="239"/>
    </row>
    <row r="2245" spans="12:12" x14ac:dyDescent="0.3">
      <c r="L2245" s="239"/>
    </row>
    <row r="2246" spans="12:12" x14ac:dyDescent="0.3">
      <c r="L2246" s="239"/>
    </row>
    <row r="2247" spans="12:12" x14ac:dyDescent="0.3">
      <c r="L2247" s="239"/>
    </row>
    <row r="2248" spans="12:12" x14ac:dyDescent="0.3">
      <c r="L2248" s="239"/>
    </row>
    <row r="2249" spans="12:12" x14ac:dyDescent="0.3">
      <c r="L2249" s="239"/>
    </row>
    <row r="2250" spans="12:12" x14ac:dyDescent="0.3">
      <c r="L2250" s="239"/>
    </row>
    <row r="2251" spans="12:12" x14ac:dyDescent="0.3">
      <c r="L2251" s="239"/>
    </row>
    <row r="2252" spans="12:12" x14ac:dyDescent="0.3">
      <c r="L2252" s="239"/>
    </row>
    <row r="2253" spans="12:12" x14ac:dyDescent="0.3">
      <c r="L2253" s="239"/>
    </row>
    <row r="2254" spans="12:12" x14ac:dyDescent="0.3">
      <c r="L2254" s="239"/>
    </row>
    <row r="2255" spans="12:12" x14ac:dyDescent="0.3">
      <c r="L2255" s="239"/>
    </row>
    <row r="2256" spans="12:12" x14ac:dyDescent="0.3">
      <c r="L2256" s="239"/>
    </row>
    <row r="2257" spans="12:12" x14ac:dyDescent="0.3">
      <c r="L2257" s="239"/>
    </row>
    <row r="2258" spans="12:12" x14ac:dyDescent="0.3">
      <c r="L2258" s="239"/>
    </row>
    <row r="2259" spans="12:12" x14ac:dyDescent="0.3">
      <c r="L2259" s="239"/>
    </row>
    <row r="2260" spans="12:12" x14ac:dyDescent="0.3">
      <c r="L2260" s="239"/>
    </row>
    <row r="2261" spans="12:12" x14ac:dyDescent="0.3">
      <c r="L2261" s="239"/>
    </row>
    <row r="2262" spans="12:12" x14ac:dyDescent="0.3">
      <c r="L2262" s="239"/>
    </row>
    <row r="2263" spans="12:12" x14ac:dyDescent="0.3">
      <c r="L2263" s="239"/>
    </row>
    <row r="2264" spans="12:12" x14ac:dyDescent="0.3">
      <c r="L2264" s="239"/>
    </row>
    <row r="2265" spans="12:12" x14ac:dyDescent="0.3">
      <c r="L2265" s="239"/>
    </row>
    <row r="2266" spans="12:12" x14ac:dyDescent="0.3">
      <c r="L2266" s="239"/>
    </row>
    <row r="2267" spans="12:12" x14ac:dyDescent="0.3">
      <c r="L2267" s="239"/>
    </row>
    <row r="2268" spans="12:12" x14ac:dyDescent="0.3">
      <c r="L2268" s="239"/>
    </row>
    <row r="2269" spans="12:12" x14ac:dyDescent="0.3">
      <c r="L2269" s="239"/>
    </row>
    <row r="2270" spans="12:12" x14ac:dyDescent="0.3">
      <c r="L2270" s="239"/>
    </row>
    <row r="2271" spans="12:12" x14ac:dyDescent="0.3">
      <c r="L2271" s="239"/>
    </row>
    <row r="2272" spans="12:12" x14ac:dyDescent="0.3">
      <c r="L2272" s="239"/>
    </row>
    <row r="2273" spans="12:12" x14ac:dyDescent="0.3">
      <c r="L2273" s="239"/>
    </row>
    <row r="2274" spans="12:12" x14ac:dyDescent="0.3">
      <c r="L2274" s="239"/>
    </row>
    <row r="2275" spans="12:12" x14ac:dyDescent="0.3">
      <c r="L2275" s="239"/>
    </row>
    <row r="2276" spans="12:12" x14ac:dyDescent="0.3">
      <c r="L2276" s="239"/>
    </row>
    <row r="2277" spans="12:12" x14ac:dyDescent="0.3">
      <c r="L2277" s="239"/>
    </row>
    <row r="2278" spans="12:12" x14ac:dyDescent="0.3">
      <c r="L2278" s="239"/>
    </row>
    <row r="2279" spans="12:12" x14ac:dyDescent="0.3">
      <c r="L2279" s="239"/>
    </row>
    <row r="2280" spans="12:12" x14ac:dyDescent="0.3">
      <c r="L2280" s="239"/>
    </row>
    <row r="2281" spans="12:12" x14ac:dyDescent="0.3">
      <c r="L2281" s="239"/>
    </row>
    <row r="2282" spans="12:12" x14ac:dyDescent="0.3">
      <c r="L2282" s="239"/>
    </row>
    <row r="2283" spans="12:12" x14ac:dyDescent="0.3">
      <c r="L2283" s="239"/>
    </row>
    <row r="2284" spans="12:12" x14ac:dyDescent="0.3">
      <c r="L2284" s="239"/>
    </row>
    <row r="2285" spans="12:12" x14ac:dyDescent="0.3">
      <c r="L2285" s="239"/>
    </row>
    <row r="2286" spans="12:12" x14ac:dyDescent="0.3">
      <c r="L2286" s="239"/>
    </row>
    <row r="2287" spans="12:12" x14ac:dyDescent="0.3">
      <c r="L2287" s="239"/>
    </row>
    <row r="2288" spans="12:12" x14ac:dyDescent="0.3">
      <c r="L2288" s="239"/>
    </row>
    <row r="2289" spans="12:12" x14ac:dyDescent="0.3">
      <c r="L2289" s="239"/>
    </row>
    <row r="2290" spans="12:12" x14ac:dyDescent="0.3">
      <c r="L2290" s="239"/>
    </row>
    <row r="2291" spans="12:12" x14ac:dyDescent="0.3">
      <c r="L2291" s="239"/>
    </row>
    <row r="2292" spans="12:12" x14ac:dyDescent="0.3">
      <c r="L2292" s="239"/>
    </row>
    <row r="2293" spans="12:12" x14ac:dyDescent="0.3">
      <c r="L2293" s="239"/>
    </row>
    <row r="2294" spans="12:12" x14ac:dyDescent="0.3">
      <c r="L2294" s="239"/>
    </row>
    <row r="2295" spans="12:12" x14ac:dyDescent="0.3">
      <c r="L2295" s="239"/>
    </row>
    <row r="2296" spans="12:12" x14ac:dyDescent="0.3">
      <c r="L2296" s="239"/>
    </row>
    <row r="2297" spans="12:12" x14ac:dyDescent="0.3">
      <c r="L2297" s="239"/>
    </row>
    <row r="2298" spans="12:12" x14ac:dyDescent="0.3">
      <c r="L2298" s="239"/>
    </row>
    <row r="2299" spans="12:12" x14ac:dyDescent="0.3">
      <c r="L2299" s="239"/>
    </row>
    <row r="2300" spans="12:12" x14ac:dyDescent="0.3">
      <c r="L2300" s="239"/>
    </row>
    <row r="2301" spans="12:12" x14ac:dyDescent="0.3">
      <c r="L2301" s="239"/>
    </row>
    <row r="2302" spans="12:12" x14ac:dyDescent="0.3">
      <c r="L2302" s="239"/>
    </row>
    <row r="2303" spans="12:12" x14ac:dyDescent="0.3">
      <c r="L2303" s="239"/>
    </row>
    <row r="2304" spans="12:12" x14ac:dyDescent="0.3">
      <c r="L2304" s="239"/>
    </row>
    <row r="2305" spans="12:12" x14ac:dyDescent="0.3">
      <c r="L2305" s="239"/>
    </row>
    <row r="2306" spans="12:12" x14ac:dyDescent="0.3">
      <c r="L2306" s="239"/>
    </row>
    <row r="2307" spans="12:12" x14ac:dyDescent="0.3">
      <c r="L2307" s="239"/>
    </row>
    <row r="2308" spans="12:12" x14ac:dyDescent="0.3">
      <c r="L2308" s="239"/>
    </row>
    <row r="2309" spans="12:12" x14ac:dyDescent="0.3">
      <c r="L2309" s="239"/>
    </row>
    <row r="2310" spans="12:12" x14ac:dyDescent="0.3">
      <c r="L2310" s="239"/>
    </row>
    <row r="2311" spans="12:12" x14ac:dyDescent="0.3">
      <c r="L2311" s="239"/>
    </row>
    <row r="2312" spans="12:12" x14ac:dyDescent="0.3">
      <c r="L2312" s="239"/>
    </row>
    <row r="2313" spans="12:12" x14ac:dyDescent="0.3">
      <c r="L2313" s="239"/>
    </row>
    <row r="2314" spans="12:12" x14ac:dyDescent="0.3">
      <c r="L2314" s="239"/>
    </row>
    <row r="2315" spans="12:12" x14ac:dyDescent="0.3">
      <c r="L2315" s="239"/>
    </row>
    <row r="2316" spans="12:12" x14ac:dyDescent="0.3">
      <c r="L2316" s="239"/>
    </row>
    <row r="2317" spans="12:12" x14ac:dyDescent="0.3">
      <c r="L2317" s="239"/>
    </row>
    <row r="2318" spans="12:12" x14ac:dyDescent="0.3">
      <c r="L2318" s="239"/>
    </row>
    <row r="2319" spans="12:12" x14ac:dyDescent="0.3">
      <c r="L2319" s="239"/>
    </row>
    <row r="2320" spans="12:12" x14ac:dyDescent="0.3">
      <c r="L2320" s="239"/>
    </row>
    <row r="2321" spans="12:12" x14ac:dyDescent="0.3">
      <c r="L2321" s="239"/>
    </row>
    <row r="2322" spans="12:12" x14ac:dyDescent="0.3">
      <c r="L2322" s="239"/>
    </row>
    <row r="2323" spans="12:12" x14ac:dyDescent="0.3">
      <c r="L2323" s="239"/>
    </row>
    <row r="2324" spans="12:12" x14ac:dyDescent="0.3">
      <c r="L2324" s="239"/>
    </row>
    <row r="2325" spans="12:12" x14ac:dyDescent="0.3">
      <c r="L2325" s="239"/>
    </row>
    <row r="2326" spans="12:12" x14ac:dyDescent="0.3">
      <c r="L2326" s="239"/>
    </row>
    <row r="2327" spans="12:12" x14ac:dyDescent="0.3">
      <c r="L2327" s="239"/>
    </row>
    <row r="2328" spans="12:12" x14ac:dyDescent="0.3">
      <c r="L2328" s="239"/>
    </row>
    <row r="2329" spans="12:12" x14ac:dyDescent="0.3">
      <c r="L2329" s="239"/>
    </row>
    <row r="2330" spans="12:12" x14ac:dyDescent="0.3">
      <c r="L2330" s="239"/>
    </row>
    <row r="2331" spans="12:12" x14ac:dyDescent="0.3">
      <c r="L2331" s="239"/>
    </row>
    <row r="2332" spans="12:12" x14ac:dyDescent="0.3">
      <c r="L2332" s="239"/>
    </row>
    <row r="2333" spans="12:12" x14ac:dyDescent="0.3">
      <c r="L2333" s="239"/>
    </row>
    <row r="2334" spans="12:12" x14ac:dyDescent="0.3">
      <c r="L2334" s="239"/>
    </row>
    <row r="2335" spans="12:12" x14ac:dyDescent="0.3">
      <c r="L2335" s="239"/>
    </row>
    <row r="2336" spans="12:12" x14ac:dyDescent="0.3">
      <c r="L2336" s="239"/>
    </row>
    <row r="2337" spans="12:12" x14ac:dyDescent="0.3">
      <c r="L2337" s="239"/>
    </row>
    <row r="2338" spans="12:12" x14ac:dyDescent="0.3">
      <c r="L2338" s="239"/>
    </row>
    <row r="2339" spans="12:12" x14ac:dyDescent="0.3">
      <c r="L2339" s="239"/>
    </row>
    <row r="2340" spans="12:12" x14ac:dyDescent="0.3">
      <c r="L2340" s="239"/>
    </row>
    <row r="2341" spans="12:12" x14ac:dyDescent="0.3">
      <c r="L2341" s="239"/>
    </row>
    <row r="2342" spans="12:12" x14ac:dyDescent="0.3">
      <c r="L2342" s="239"/>
    </row>
    <row r="2343" spans="12:12" x14ac:dyDescent="0.3">
      <c r="L2343" s="239"/>
    </row>
    <row r="2344" spans="12:12" x14ac:dyDescent="0.3">
      <c r="L2344" s="239"/>
    </row>
    <row r="2345" spans="12:12" x14ac:dyDescent="0.3">
      <c r="L2345" s="239"/>
    </row>
    <row r="2346" spans="12:12" x14ac:dyDescent="0.3">
      <c r="L2346" s="239"/>
    </row>
    <row r="2347" spans="12:12" x14ac:dyDescent="0.3">
      <c r="L2347" s="239"/>
    </row>
    <row r="2348" spans="12:12" x14ac:dyDescent="0.3">
      <c r="L2348" s="239"/>
    </row>
    <row r="2349" spans="12:12" x14ac:dyDescent="0.3">
      <c r="L2349" s="239"/>
    </row>
    <row r="2350" spans="12:12" x14ac:dyDescent="0.3">
      <c r="L2350" s="239"/>
    </row>
    <row r="2351" spans="12:12" x14ac:dyDescent="0.3">
      <c r="L2351" s="239"/>
    </row>
    <row r="2352" spans="12:12" x14ac:dyDescent="0.3">
      <c r="L2352" s="239"/>
    </row>
    <row r="2353" spans="12:12" x14ac:dyDescent="0.3">
      <c r="L2353" s="239"/>
    </row>
    <row r="2354" spans="12:12" x14ac:dyDescent="0.3">
      <c r="L2354" s="239"/>
    </row>
    <row r="2355" spans="12:12" x14ac:dyDescent="0.3">
      <c r="L2355" s="239"/>
    </row>
    <row r="2356" spans="12:12" x14ac:dyDescent="0.3">
      <c r="L2356" s="239"/>
    </row>
    <row r="2357" spans="12:12" x14ac:dyDescent="0.3">
      <c r="L2357" s="239"/>
    </row>
    <row r="2358" spans="12:12" x14ac:dyDescent="0.3">
      <c r="L2358" s="239"/>
    </row>
    <row r="2359" spans="12:12" x14ac:dyDescent="0.3">
      <c r="L2359" s="239"/>
    </row>
    <row r="2360" spans="12:12" x14ac:dyDescent="0.3">
      <c r="L2360" s="239"/>
    </row>
    <row r="2361" spans="12:12" x14ac:dyDescent="0.3">
      <c r="L2361" s="239"/>
    </row>
    <row r="2362" spans="12:12" x14ac:dyDescent="0.3">
      <c r="L2362" s="239"/>
    </row>
    <row r="2363" spans="12:12" x14ac:dyDescent="0.3">
      <c r="L2363" s="239"/>
    </row>
    <row r="2364" spans="12:12" x14ac:dyDescent="0.3">
      <c r="L2364" s="239"/>
    </row>
    <row r="2365" spans="12:12" x14ac:dyDescent="0.3">
      <c r="L2365" s="239"/>
    </row>
    <row r="2366" spans="12:12" x14ac:dyDescent="0.3">
      <c r="L2366" s="239"/>
    </row>
    <row r="2367" spans="12:12" x14ac:dyDescent="0.3">
      <c r="L2367" s="239"/>
    </row>
    <row r="2368" spans="12:12" x14ac:dyDescent="0.3">
      <c r="L2368" s="239"/>
    </row>
    <row r="2369" spans="12:12" x14ac:dyDescent="0.3">
      <c r="L2369" s="239"/>
    </row>
    <row r="2370" spans="12:12" x14ac:dyDescent="0.3">
      <c r="L2370" s="239"/>
    </row>
    <row r="2371" spans="12:12" x14ac:dyDescent="0.3">
      <c r="L2371" s="239"/>
    </row>
    <row r="2372" spans="12:12" x14ac:dyDescent="0.3">
      <c r="L2372" s="239"/>
    </row>
    <row r="2373" spans="12:12" x14ac:dyDescent="0.3">
      <c r="L2373" s="239"/>
    </row>
    <row r="2374" spans="12:12" x14ac:dyDescent="0.3">
      <c r="L2374" s="239"/>
    </row>
    <row r="2375" spans="12:12" x14ac:dyDescent="0.3">
      <c r="L2375" s="239"/>
    </row>
    <row r="2376" spans="12:12" x14ac:dyDescent="0.3">
      <c r="L2376" s="239"/>
    </row>
    <row r="2377" spans="12:12" x14ac:dyDescent="0.3">
      <c r="L2377" s="239"/>
    </row>
    <row r="2378" spans="12:12" x14ac:dyDescent="0.3">
      <c r="L2378" s="239"/>
    </row>
    <row r="2379" spans="12:12" x14ac:dyDescent="0.3">
      <c r="L2379" s="239"/>
    </row>
    <row r="2380" spans="12:12" x14ac:dyDescent="0.3">
      <c r="L2380" s="239"/>
    </row>
    <row r="2381" spans="12:12" x14ac:dyDescent="0.3">
      <c r="L2381" s="239"/>
    </row>
    <row r="2382" spans="12:12" x14ac:dyDescent="0.3">
      <c r="L2382" s="239"/>
    </row>
    <row r="2383" spans="12:12" x14ac:dyDescent="0.3">
      <c r="L2383" s="239"/>
    </row>
    <row r="2384" spans="12:12" x14ac:dyDescent="0.3">
      <c r="L2384" s="239"/>
    </row>
    <row r="2385" spans="12:12" x14ac:dyDescent="0.3">
      <c r="L2385" s="239"/>
    </row>
    <row r="2386" spans="12:12" x14ac:dyDescent="0.3">
      <c r="L2386" s="239"/>
    </row>
    <row r="2387" spans="12:12" x14ac:dyDescent="0.3">
      <c r="L2387" s="239"/>
    </row>
    <row r="2388" spans="12:12" x14ac:dyDescent="0.3">
      <c r="L2388" s="239"/>
    </row>
    <row r="2389" spans="12:12" x14ac:dyDescent="0.3">
      <c r="L2389" s="239"/>
    </row>
    <row r="2390" spans="12:12" x14ac:dyDescent="0.3">
      <c r="L2390" s="239"/>
    </row>
    <row r="2391" spans="12:12" x14ac:dyDescent="0.3">
      <c r="L2391" s="239"/>
    </row>
    <row r="2392" spans="12:12" x14ac:dyDescent="0.3">
      <c r="L2392" s="239"/>
    </row>
    <row r="2393" spans="12:12" x14ac:dyDescent="0.3">
      <c r="L2393" s="239"/>
    </row>
    <row r="2394" spans="12:12" x14ac:dyDescent="0.3">
      <c r="L2394" s="239"/>
    </row>
    <row r="2395" spans="12:12" x14ac:dyDescent="0.3">
      <c r="L2395" s="239"/>
    </row>
    <row r="2396" spans="12:12" x14ac:dyDescent="0.3">
      <c r="L2396" s="239"/>
    </row>
    <row r="2397" spans="12:12" x14ac:dyDescent="0.3">
      <c r="L2397" s="239"/>
    </row>
    <row r="2398" spans="12:12" x14ac:dyDescent="0.3">
      <c r="L2398" s="239"/>
    </row>
    <row r="2399" spans="12:12" x14ac:dyDescent="0.3">
      <c r="L2399" s="239"/>
    </row>
    <row r="2400" spans="12:12" x14ac:dyDescent="0.3">
      <c r="L2400" s="239"/>
    </row>
    <row r="2401" spans="12:12" x14ac:dyDescent="0.3">
      <c r="L2401" s="239"/>
    </row>
    <row r="2402" spans="12:12" x14ac:dyDescent="0.3">
      <c r="L2402" s="239"/>
    </row>
    <row r="2403" spans="12:12" x14ac:dyDescent="0.3">
      <c r="L2403" s="239"/>
    </row>
    <row r="2404" spans="12:12" x14ac:dyDescent="0.3">
      <c r="L2404" s="239"/>
    </row>
    <row r="2405" spans="12:12" x14ac:dyDescent="0.3">
      <c r="L2405" s="239"/>
    </row>
    <row r="2406" spans="12:12" x14ac:dyDescent="0.3">
      <c r="L2406" s="239"/>
    </row>
    <row r="2407" spans="12:12" x14ac:dyDescent="0.3">
      <c r="L2407" s="239"/>
    </row>
    <row r="2408" spans="12:12" x14ac:dyDescent="0.3">
      <c r="L2408" s="239"/>
    </row>
    <row r="2409" spans="12:12" x14ac:dyDescent="0.3">
      <c r="L2409" s="239"/>
    </row>
    <row r="2410" spans="12:12" x14ac:dyDescent="0.3">
      <c r="L2410" s="239"/>
    </row>
    <row r="2411" spans="12:12" x14ac:dyDescent="0.3">
      <c r="L2411" s="239"/>
    </row>
    <row r="2412" spans="12:12" x14ac:dyDescent="0.3">
      <c r="L2412" s="239"/>
    </row>
    <row r="2413" spans="12:12" x14ac:dyDescent="0.3">
      <c r="L2413" s="239"/>
    </row>
    <row r="2414" spans="12:12" x14ac:dyDescent="0.3">
      <c r="L2414" s="239"/>
    </row>
    <row r="2415" spans="12:12" x14ac:dyDescent="0.3">
      <c r="L2415" s="239"/>
    </row>
    <row r="2416" spans="12:12" x14ac:dyDescent="0.3">
      <c r="L2416" s="239"/>
    </row>
    <row r="2417" spans="12:12" x14ac:dyDescent="0.3">
      <c r="L2417" s="239"/>
    </row>
    <row r="2418" spans="12:12" x14ac:dyDescent="0.3">
      <c r="L2418" s="239"/>
    </row>
    <row r="2419" spans="12:12" x14ac:dyDescent="0.3">
      <c r="L2419" s="239"/>
    </row>
    <row r="2420" spans="12:12" x14ac:dyDescent="0.3">
      <c r="L2420" s="239"/>
    </row>
    <row r="2421" spans="12:12" x14ac:dyDescent="0.3">
      <c r="L2421" s="239"/>
    </row>
    <row r="2422" spans="12:12" x14ac:dyDescent="0.3">
      <c r="L2422" s="239"/>
    </row>
    <row r="2423" spans="12:12" x14ac:dyDescent="0.3">
      <c r="L2423" s="239"/>
    </row>
    <row r="2424" spans="12:12" x14ac:dyDescent="0.3">
      <c r="L2424" s="239"/>
    </row>
    <row r="2425" spans="12:12" x14ac:dyDescent="0.3">
      <c r="L2425" s="239"/>
    </row>
    <row r="2426" spans="12:12" x14ac:dyDescent="0.3">
      <c r="L2426" s="239"/>
    </row>
    <row r="2427" spans="12:12" x14ac:dyDescent="0.3">
      <c r="L2427" s="239"/>
    </row>
    <row r="2428" spans="12:12" x14ac:dyDescent="0.3">
      <c r="L2428" s="239"/>
    </row>
    <row r="2429" spans="12:12" x14ac:dyDescent="0.3">
      <c r="L2429" s="239"/>
    </row>
    <row r="2430" spans="12:12" x14ac:dyDescent="0.3">
      <c r="L2430" s="239"/>
    </row>
    <row r="2431" spans="12:12" x14ac:dyDescent="0.3">
      <c r="L2431" s="239"/>
    </row>
    <row r="2432" spans="12:12" x14ac:dyDescent="0.3">
      <c r="L2432" s="239"/>
    </row>
    <row r="2433" spans="12:12" x14ac:dyDescent="0.3">
      <c r="L2433" s="239"/>
    </row>
    <row r="2434" spans="12:12" x14ac:dyDescent="0.3">
      <c r="L2434" s="239"/>
    </row>
    <row r="2435" spans="12:12" x14ac:dyDescent="0.3">
      <c r="L2435" s="239"/>
    </row>
    <row r="2436" spans="12:12" x14ac:dyDescent="0.3">
      <c r="L2436" s="239"/>
    </row>
    <row r="2437" spans="12:12" x14ac:dyDescent="0.3">
      <c r="L2437" s="239"/>
    </row>
    <row r="2438" spans="12:12" x14ac:dyDescent="0.3">
      <c r="L2438" s="239"/>
    </row>
    <row r="2439" spans="12:12" x14ac:dyDescent="0.3">
      <c r="L2439" s="239"/>
    </row>
    <row r="2440" spans="12:12" x14ac:dyDescent="0.3">
      <c r="L2440" s="239"/>
    </row>
    <row r="2441" spans="12:12" x14ac:dyDescent="0.3">
      <c r="L2441" s="239"/>
    </row>
    <row r="2442" spans="12:12" x14ac:dyDescent="0.3">
      <c r="L2442" s="239"/>
    </row>
    <row r="2443" spans="12:12" x14ac:dyDescent="0.3">
      <c r="L2443" s="239"/>
    </row>
    <row r="2444" spans="12:12" x14ac:dyDescent="0.3">
      <c r="L2444" s="239"/>
    </row>
    <row r="2445" spans="12:12" x14ac:dyDescent="0.3">
      <c r="L2445" s="239"/>
    </row>
    <row r="2446" spans="12:12" x14ac:dyDescent="0.3">
      <c r="L2446" s="239"/>
    </row>
    <row r="2447" spans="12:12" x14ac:dyDescent="0.3">
      <c r="L2447" s="239"/>
    </row>
    <row r="2448" spans="12:12" x14ac:dyDescent="0.3">
      <c r="L2448" s="239"/>
    </row>
    <row r="2449" spans="12:12" x14ac:dyDescent="0.3">
      <c r="L2449" s="239"/>
    </row>
    <row r="2450" spans="12:12" x14ac:dyDescent="0.3">
      <c r="L2450" s="239"/>
    </row>
    <row r="2451" spans="12:12" x14ac:dyDescent="0.3">
      <c r="L2451" s="239"/>
    </row>
    <row r="2452" spans="12:12" x14ac:dyDescent="0.3">
      <c r="L2452" s="239"/>
    </row>
    <row r="2453" spans="12:12" x14ac:dyDescent="0.3">
      <c r="L2453" s="239"/>
    </row>
    <row r="2454" spans="12:12" x14ac:dyDescent="0.3">
      <c r="L2454" s="239"/>
    </row>
    <row r="2455" spans="12:12" x14ac:dyDescent="0.3">
      <c r="L2455" s="239"/>
    </row>
    <row r="2456" spans="12:12" x14ac:dyDescent="0.3">
      <c r="L2456" s="239"/>
    </row>
    <row r="2457" spans="12:12" x14ac:dyDescent="0.3">
      <c r="L2457" s="239"/>
    </row>
    <row r="2458" spans="12:12" x14ac:dyDescent="0.3">
      <c r="L2458" s="239"/>
    </row>
    <row r="2459" spans="12:12" x14ac:dyDescent="0.3">
      <c r="L2459" s="239"/>
    </row>
    <row r="2460" spans="12:12" x14ac:dyDescent="0.3">
      <c r="L2460" s="239"/>
    </row>
    <row r="2461" spans="12:12" x14ac:dyDescent="0.3">
      <c r="L2461" s="239"/>
    </row>
    <row r="2462" spans="12:12" x14ac:dyDescent="0.3">
      <c r="L2462" s="239"/>
    </row>
    <row r="2463" spans="12:12" x14ac:dyDescent="0.3">
      <c r="L2463" s="239"/>
    </row>
    <row r="2464" spans="12:12" x14ac:dyDescent="0.3">
      <c r="L2464" s="239"/>
    </row>
    <row r="2465" spans="12:12" x14ac:dyDescent="0.3">
      <c r="L2465" s="239"/>
    </row>
    <row r="2466" spans="12:12" x14ac:dyDescent="0.3">
      <c r="L2466" s="239"/>
    </row>
    <row r="2467" spans="12:12" x14ac:dyDescent="0.3">
      <c r="L2467" s="239"/>
    </row>
    <row r="2468" spans="12:12" x14ac:dyDescent="0.3">
      <c r="L2468" s="239"/>
    </row>
    <row r="2469" spans="12:12" x14ac:dyDescent="0.3">
      <c r="L2469" s="239"/>
    </row>
    <row r="2470" spans="12:12" x14ac:dyDescent="0.3">
      <c r="L2470" s="239"/>
    </row>
    <row r="2471" spans="12:12" x14ac:dyDescent="0.3">
      <c r="L2471" s="239"/>
    </row>
    <row r="2472" spans="12:12" x14ac:dyDescent="0.3">
      <c r="L2472" s="239"/>
    </row>
    <row r="2473" spans="12:12" x14ac:dyDescent="0.3">
      <c r="L2473" s="239"/>
    </row>
    <row r="2474" spans="12:12" x14ac:dyDescent="0.3">
      <c r="L2474" s="239"/>
    </row>
    <row r="2475" spans="12:12" x14ac:dyDescent="0.3">
      <c r="L2475" s="239"/>
    </row>
    <row r="2476" spans="12:12" x14ac:dyDescent="0.3">
      <c r="L2476" s="239"/>
    </row>
    <row r="2477" spans="12:12" x14ac:dyDescent="0.3">
      <c r="L2477" s="239"/>
    </row>
    <row r="2478" spans="12:12" x14ac:dyDescent="0.3">
      <c r="L2478" s="239"/>
    </row>
    <row r="2479" spans="12:12" x14ac:dyDescent="0.3">
      <c r="L2479" s="239"/>
    </row>
    <row r="2480" spans="12:12" x14ac:dyDescent="0.3">
      <c r="L2480" s="239"/>
    </row>
    <row r="2481" spans="12:12" x14ac:dyDescent="0.3">
      <c r="L2481" s="239"/>
    </row>
    <row r="2482" spans="12:12" x14ac:dyDescent="0.3">
      <c r="L2482" s="239"/>
    </row>
    <row r="2483" spans="12:12" x14ac:dyDescent="0.3">
      <c r="L2483" s="239"/>
    </row>
    <row r="2484" spans="12:12" x14ac:dyDescent="0.3">
      <c r="L2484" s="239"/>
    </row>
    <row r="2485" spans="12:12" x14ac:dyDescent="0.3">
      <c r="L2485" s="239"/>
    </row>
    <row r="2486" spans="12:12" x14ac:dyDescent="0.3">
      <c r="L2486" s="239"/>
    </row>
    <row r="2487" spans="12:12" x14ac:dyDescent="0.3">
      <c r="L2487" s="239"/>
    </row>
    <row r="2488" spans="12:12" x14ac:dyDescent="0.3">
      <c r="L2488" s="239"/>
    </row>
    <row r="2489" spans="12:12" x14ac:dyDescent="0.3">
      <c r="L2489" s="239"/>
    </row>
    <row r="2490" spans="12:12" x14ac:dyDescent="0.3">
      <c r="L2490" s="239"/>
    </row>
    <row r="2491" spans="12:12" x14ac:dyDescent="0.3">
      <c r="L2491" s="239"/>
    </row>
    <row r="2492" spans="12:12" x14ac:dyDescent="0.3">
      <c r="L2492" s="239"/>
    </row>
    <row r="2493" spans="12:12" x14ac:dyDescent="0.3">
      <c r="L2493" s="239"/>
    </row>
    <row r="2494" spans="12:12" x14ac:dyDescent="0.3">
      <c r="L2494" s="239"/>
    </row>
    <row r="2495" spans="12:12" x14ac:dyDescent="0.3">
      <c r="L2495" s="239"/>
    </row>
    <row r="2496" spans="12:12" x14ac:dyDescent="0.3">
      <c r="L2496" s="239"/>
    </row>
    <row r="2497" spans="12:12" x14ac:dyDescent="0.3">
      <c r="L2497" s="239"/>
    </row>
    <row r="2498" spans="12:12" x14ac:dyDescent="0.3">
      <c r="L2498" s="239"/>
    </row>
    <row r="2499" spans="12:12" x14ac:dyDescent="0.3">
      <c r="L2499" s="239"/>
    </row>
    <row r="2500" spans="12:12" x14ac:dyDescent="0.3">
      <c r="L2500" s="239"/>
    </row>
    <row r="2501" spans="12:12" x14ac:dyDescent="0.3">
      <c r="L2501" s="239"/>
    </row>
    <row r="2502" spans="12:12" x14ac:dyDescent="0.3">
      <c r="L2502" s="239"/>
    </row>
    <row r="2503" spans="12:12" x14ac:dyDescent="0.3">
      <c r="L2503" s="239"/>
    </row>
    <row r="2504" spans="12:12" x14ac:dyDescent="0.3">
      <c r="L2504" s="239"/>
    </row>
    <row r="2505" spans="12:12" x14ac:dyDescent="0.3">
      <c r="L2505" s="239"/>
    </row>
    <row r="2506" spans="12:12" x14ac:dyDescent="0.3">
      <c r="L2506" s="239"/>
    </row>
    <row r="2507" spans="12:12" x14ac:dyDescent="0.3">
      <c r="L2507" s="239"/>
    </row>
    <row r="2508" spans="12:12" x14ac:dyDescent="0.3">
      <c r="L2508" s="239"/>
    </row>
    <row r="2509" spans="12:12" x14ac:dyDescent="0.3">
      <c r="L2509" s="239"/>
    </row>
    <row r="2510" spans="12:12" x14ac:dyDescent="0.3">
      <c r="L2510" s="239"/>
    </row>
    <row r="2511" spans="12:12" x14ac:dyDescent="0.3">
      <c r="L2511" s="239"/>
    </row>
    <row r="2512" spans="12:12" x14ac:dyDescent="0.3">
      <c r="L2512" s="239"/>
    </row>
    <row r="2513" spans="12:12" x14ac:dyDescent="0.3">
      <c r="L2513" s="239"/>
    </row>
    <row r="2514" spans="12:12" x14ac:dyDescent="0.3">
      <c r="L2514" s="239"/>
    </row>
    <row r="2515" spans="12:12" x14ac:dyDescent="0.3">
      <c r="L2515" s="239"/>
    </row>
    <row r="2516" spans="12:12" x14ac:dyDescent="0.3">
      <c r="L2516" s="239"/>
    </row>
    <row r="2517" spans="12:12" x14ac:dyDescent="0.3">
      <c r="L2517" s="239"/>
    </row>
    <row r="2518" spans="12:12" x14ac:dyDescent="0.3">
      <c r="L2518" s="239"/>
    </row>
    <row r="2519" spans="12:12" x14ac:dyDescent="0.3">
      <c r="L2519" s="239"/>
    </row>
    <row r="2520" spans="12:12" x14ac:dyDescent="0.3">
      <c r="L2520" s="239"/>
    </row>
    <row r="2521" spans="12:12" x14ac:dyDescent="0.3">
      <c r="L2521" s="239"/>
    </row>
    <row r="2522" spans="12:12" x14ac:dyDescent="0.3">
      <c r="L2522" s="239"/>
    </row>
    <row r="2523" spans="12:12" x14ac:dyDescent="0.3">
      <c r="L2523" s="239"/>
    </row>
    <row r="2524" spans="12:12" x14ac:dyDescent="0.3">
      <c r="L2524" s="239"/>
    </row>
    <row r="2525" spans="12:12" x14ac:dyDescent="0.3">
      <c r="L2525" s="239"/>
    </row>
    <row r="2526" spans="12:12" x14ac:dyDescent="0.3">
      <c r="L2526" s="239"/>
    </row>
    <row r="2527" spans="12:12" x14ac:dyDescent="0.3">
      <c r="L2527" s="239"/>
    </row>
    <row r="2528" spans="12:12" x14ac:dyDescent="0.3">
      <c r="L2528" s="239"/>
    </row>
    <row r="2529" spans="12:12" x14ac:dyDescent="0.3">
      <c r="L2529" s="239"/>
    </row>
    <row r="2530" spans="12:12" x14ac:dyDescent="0.3">
      <c r="L2530" s="239"/>
    </row>
    <row r="2531" spans="12:12" x14ac:dyDescent="0.3">
      <c r="L2531" s="239"/>
    </row>
    <row r="2532" spans="12:12" x14ac:dyDescent="0.3">
      <c r="L2532" s="239"/>
    </row>
    <row r="2533" spans="12:12" x14ac:dyDescent="0.3">
      <c r="L2533" s="239"/>
    </row>
    <row r="2534" spans="12:12" x14ac:dyDescent="0.3">
      <c r="L2534" s="239"/>
    </row>
    <row r="2535" spans="12:12" x14ac:dyDescent="0.3">
      <c r="L2535" s="239"/>
    </row>
    <row r="2536" spans="12:12" x14ac:dyDescent="0.3">
      <c r="L2536" s="239"/>
    </row>
    <row r="2537" spans="12:12" x14ac:dyDescent="0.3">
      <c r="L2537" s="239"/>
    </row>
    <row r="2538" spans="12:12" x14ac:dyDescent="0.3">
      <c r="L2538" s="239"/>
    </row>
    <row r="2539" spans="12:12" x14ac:dyDescent="0.3">
      <c r="L2539" s="239"/>
    </row>
    <row r="2540" spans="12:12" x14ac:dyDescent="0.3">
      <c r="L2540" s="239"/>
    </row>
    <row r="2541" spans="12:12" x14ac:dyDescent="0.3">
      <c r="L2541" s="239"/>
    </row>
    <row r="2542" spans="12:12" x14ac:dyDescent="0.3">
      <c r="L2542" s="239"/>
    </row>
    <row r="2543" spans="12:12" x14ac:dyDescent="0.3">
      <c r="L2543" s="239"/>
    </row>
    <row r="2544" spans="12:12" x14ac:dyDescent="0.3">
      <c r="L2544" s="239"/>
    </row>
    <row r="2545" spans="12:12" x14ac:dyDescent="0.3">
      <c r="L2545" s="239"/>
    </row>
    <row r="2546" spans="12:12" x14ac:dyDescent="0.3">
      <c r="L2546" s="239"/>
    </row>
    <row r="2547" spans="12:12" x14ac:dyDescent="0.3">
      <c r="L2547" s="239"/>
    </row>
    <row r="2548" spans="12:12" x14ac:dyDescent="0.3">
      <c r="L2548" s="239"/>
    </row>
    <row r="2549" spans="12:12" x14ac:dyDescent="0.3">
      <c r="L2549" s="239"/>
    </row>
    <row r="2550" spans="12:12" x14ac:dyDescent="0.3">
      <c r="L2550" s="239"/>
    </row>
    <row r="2551" spans="12:12" x14ac:dyDescent="0.3">
      <c r="L2551" s="239"/>
    </row>
    <row r="2552" spans="12:12" x14ac:dyDescent="0.3">
      <c r="L2552" s="239"/>
    </row>
    <row r="2553" spans="12:12" x14ac:dyDescent="0.3">
      <c r="L2553" s="239"/>
    </row>
    <row r="2554" spans="12:12" x14ac:dyDescent="0.3">
      <c r="L2554" s="239"/>
    </row>
    <row r="2555" spans="12:12" x14ac:dyDescent="0.3">
      <c r="L2555" s="239"/>
    </row>
    <row r="2556" spans="12:12" x14ac:dyDescent="0.3">
      <c r="L2556" s="239"/>
    </row>
    <row r="2557" spans="12:12" x14ac:dyDescent="0.3">
      <c r="L2557" s="239"/>
    </row>
    <row r="2558" spans="12:12" x14ac:dyDescent="0.3">
      <c r="L2558" s="239"/>
    </row>
    <row r="2559" spans="12:12" x14ac:dyDescent="0.3">
      <c r="L2559" s="239"/>
    </row>
    <row r="2560" spans="12:12" x14ac:dyDescent="0.3">
      <c r="L2560" s="239"/>
    </row>
    <row r="2561" spans="12:12" x14ac:dyDescent="0.3">
      <c r="L2561" s="239"/>
    </row>
    <row r="2562" spans="12:12" x14ac:dyDescent="0.3">
      <c r="L2562" s="239"/>
    </row>
    <row r="2563" spans="12:12" x14ac:dyDescent="0.3">
      <c r="L2563" s="239"/>
    </row>
    <row r="2564" spans="12:12" x14ac:dyDescent="0.3">
      <c r="L2564" s="239"/>
    </row>
    <row r="2565" spans="12:12" x14ac:dyDescent="0.3">
      <c r="L2565" s="239"/>
    </row>
    <row r="2566" spans="12:12" x14ac:dyDescent="0.3">
      <c r="L2566" s="239"/>
    </row>
    <row r="2567" spans="12:12" x14ac:dyDescent="0.3">
      <c r="L2567" s="239"/>
    </row>
    <row r="2568" spans="12:12" x14ac:dyDescent="0.3">
      <c r="L2568" s="239"/>
    </row>
    <row r="2569" spans="12:12" x14ac:dyDescent="0.3">
      <c r="L2569" s="239"/>
    </row>
    <row r="2570" spans="12:12" x14ac:dyDescent="0.3">
      <c r="L2570" s="239"/>
    </row>
    <row r="2571" spans="12:12" x14ac:dyDescent="0.3">
      <c r="L2571" s="239"/>
    </row>
    <row r="2572" spans="12:12" x14ac:dyDescent="0.3">
      <c r="L2572" s="239"/>
    </row>
    <row r="2573" spans="12:12" x14ac:dyDescent="0.3">
      <c r="L2573" s="239"/>
    </row>
    <row r="2574" spans="12:12" x14ac:dyDescent="0.3">
      <c r="L2574" s="239"/>
    </row>
    <row r="2575" spans="12:12" x14ac:dyDescent="0.3">
      <c r="L2575" s="239"/>
    </row>
    <row r="2576" spans="12:12" x14ac:dyDescent="0.3">
      <c r="L2576" s="239"/>
    </row>
    <row r="2577" spans="12:12" x14ac:dyDescent="0.3">
      <c r="L2577" s="239"/>
    </row>
    <row r="2578" spans="12:12" x14ac:dyDescent="0.3">
      <c r="L2578" s="239"/>
    </row>
    <row r="2579" spans="12:12" x14ac:dyDescent="0.3">
      <c r="L2579" s="239"/>
    </row>
    <row r="2580" spans="12:12" x14ac:dyDescent="0.3">
      <c r="L2580" s="239"/>
    </row>
    <row r="2581" spans="12:12" x14ac:dyDescent="0.3">
      <c r="L2581" s="239"/>
    </row>
    <row r="2582" spans="12:12" x14ac:dyDescent="0.3">
      <c r="L2582" s="239"/>
    </row>
    <row r="2583" spans="12:12" x14ac:dyDescent="0.3">
      <c r="L2583" s="239"/>
    </row>
    <row r="2584" spans="12:12" x14ac:dyDescent="0.3">
      <c r="L2584" s="239"/>
    </row>
    <row r="2585" spans="12:12" x14ac:dyDescent="0.3">
      <c r="L2585" s="239"/>
    </row>
    <row r="2586" spans="12:12" x14ac:dyDescent="0.3">
      <c r="L2586" s="239"/>
    </row>
    <row r="2587" spans="12:12" x14ac:dyDescent="0.3">
      <c r="L2587" s="239"/>
    </row>
    <row r="2588" spans="12:12" x14ac:dyDescent="0.3">
      <c r="L2588" s="239"/>
    </row>
    <row r="2589" spans="12:12" x14ac:dyDescent="0.3">
      <c r="L2589" s="239"/>
    </row>
    <row r="2590" spans="12:12" x14ac:dyDescent="0.3">
      <c r="L2590" s="239"/>
    </row>
    <row r="2591" spans="12:12" x14ac:dyDescent="0.3">
      <c r="L2591" s="239"/>
    </row>
    <row r="2592" spans="12:12" x14ac:dyDescent="0.3">
      <c r="L2592" s="239"/>
    </row>
    <row r="2593" spans="12:12" x14ac:dyDescent="0.3">
      <c r="L2593" s="239"/>
    </row>
    <row r="2594" spans="12:12" x14ac:dyDescent="0.3">
      <c r="L2594" s="239"/>
    </row>
    <row r="2595" spans="12:12" x14ac:dyDescent="0.3">
      <c r="L2595" s="239"/>
    </row>
    <row r="2596" spans="12:12" x14ac:dyDescent="0.3">
      <c r="L2596" s="239"/>
    </row>
    <row r="2597" spans="12:12" x14ac:dyDescent="0.3">
      <c r="L2597" s="239"/>
    </row>
    <row r="2598" spans="12:12" x14ac:dyDescent="0.3">
      <c r="L2598" s="239"/>
    </row>
    <row r="2599" spans="12:12" x14ac:dyDescent="0.3">
      <c r="L2599" s="239"/>
    </row>
    <row r="2600" spans="12:12" x14ac:dyDescent="0.3">
      <c r="L2600" s="239"/>
    </row>
    <row r="2601" spans="12:12" x14ac:dyDescent="0.3">
      <c r="L2601" s="239"/>
    </row>
    <row r="2602" spans="12:12" x14ac:dyDescent="0.3">
      <c r="L2602" s="239"/>
    </row>
    <row r="2603" spans="12:12" x14ac:dyDescent="0.3">
      <c r="L2603" s="239"/>
    </row>
    <row r="2604" spans="12:12" x14ac:dyDescent="0.3">
      <c r="L2604" s="239"/>
    </row>
    <row r="2605" spans="12:12" x14ac:dyDescent="0.3">
      <c r="L2605" s="239"/>
    </row>
    <row r="2606" spans="12:12" x14ac:dyDescent="0.3">
      <c r="L2606" s="239"/>
    </row>
    <row r="2607" spans="12:12" x14ac:dyDescent="0.3">
      <c r="L2607" s="239"/>
    </row>
    <row r="2608" spans="12:12" x14ac:dyDescent="0.3">
      <c r="L2608" s="239"/>
    </row>
    <row r="2609" spans="12:12" x14ac:dyDescent="0.3">
      <c r="L2609" s="239"/>
    </row>
    <row r="2610" spans="12:12" x14ac:dyDescent="0.3">
      <c r="L2610" s="239"/>
    </row>
    <row r="2611" spans="12:12" x14ac:dyDescent="0.3">
      <c r="L2611" s="239"/>
    </row>
    <row r="2612" spans="12:12" x14ac:dyDescent="0.3">
      <c r="L2612" s="239"/>
    </row>
    <row r="2613" spans="12:12" x14ac:dyDescent="0.3">
      <c r="L2613" s="239"/>
    </row>
    <row r="2614" spans="12:12" x14ac:dyDescent="0.3">
      <c r="L2614" s="239"/>
    </row>
    <row r="2615" spans="12:12" x14ac:dyDescent="0.3">
      <c r="L2615" s="239"/>
    </row>
    <row r="2616" spans="12:12" x14ac:dyDescent="0.3">
      <c r="L2616" s="239"/>
    </row>
    <row r="2617" spans="12:12" x14ac:dyDescent="0.3">
      <c r="L2617" s="239"/>
    </row>
    <row r="2618" spans="12:12" x14ac:dyDescent="0.3">
      <c r="L2618" s="239"/>
    </row>
    <row r="2619" spans="12:12" x14ac:dyDescent="0.3">
      <c r="L2619" s="239"/>
    </row>
    <row r="2620" spans="12:12" x14ac:dyDescent="0.3">
      <c r="L2620" s="239"/>
    </row>
    <row r="2621" spans="12:12" x14ac:dyDescent="0.3">
      <c r="L2621" s="239"/>
    </row>
    <row r="2622" spans="12:12" x14ac:dyDescent="0.3">
      <c r="L2622" s="239"/>
    </row>
    <row r="2623" spans="12:12" x14ac:dyDescent="0.3">
      <c r="L2623" s="239"/>
    </row>
    <row r="2624" spans="12:12" x14ac:dyDescent="0.3">
      <c r="L2624" s="239"/>
    </row>
    <row r="2625" spans="12:12" x14ac:dyDescent="0.3">
      <c r="L2625" s="239"/>
    </row>
    <row r="2626" spans="12:12" x14ac:dyDescent="0.3">
      <c r="L2626" s="239"/>
    </row>
    <row r="2627" spans="12:12" x14ac:dyDescent="0.3">
      <c r="L2627" s="239"/>
    </row>
    <row r="2628" spans="12:12" x14ac:dyDescent="0.3">
      <c r="L2628" s="239"/>
    </row>
    <row r="2629" spans="12:12" x14ac:dyDescent="0.3">
      <c r="L2629" s="239"/>
    </row>
    <row r="2630" spans="12:12" x14ac:dyDescent="0.3">
      <c r="L2630" s="239"/>
    </row>
    <row r="2631" spans="12:12" x14ac:dyDescent="0.3">
      <c r="L2631" s="239"/>
    </row>
    <row r="2632" spans="12:12" x14ac:dyDescent="0.3">
      <c r="L2632" s="239"/>
    </row>
    <row r="2633" spans="12:12" x14ac:dyDescent="0.3">
      <c r="L2633" s="239"/>
    </row>
    <row r="2634" spans="12:12" x14ac:dyDescent="0.3">
      <c r="L2634" s="239"/>
    </row>
    <row r="2635" spans="12:12" x14ac:dyDescent="0.3">
      <c r="L2635" s="239"/>
    </row>
    <row r="2636" spans="12:12" x14ac:dyDescent="0.3">
      <c r="L2636" s="239"/>
    </row>
    <row r="2637" spans="12:12" x14ac:dyDescent="0.3">
      <c r="L2637" s="239"/>
    </row>
    <row r="2638" spans="12:12" x14ac:dyDescent="0.3">
      <c r="L2638" s="239"/>
    </row>
    <row r="2639" spans="12:12" x14ac:dyDescent="0.3">
      <c r="L2639" s="239"/>
    </row>
    <row r="2640" spans="12:12" x14ac:dyDescent="0.3">
      <c r="L2640" s="239"/>
    </row>
    <row r="2641" spans="12:12" x14ac:dyDescent="0.3">
      <c r="L2641" s="239"/>
    </row>
    <row r="2642" spans="12:12" x14ac:dyDescent="0.3">
      <c r="L2642" s="239"/>
    </row>
    <row r="2643" spans="12:12" x14ac:dyDescent="0.3">
      <c r="L2643" s="239"/>
    </row>
    <row r="2644" spans="12:12" x14ac:dyDescent="0.3">
      <c r="L2644" s="239"/>
    </row>
    <row r="2645" spans="12:12" x14ac:dyDescent="0.3">
      <c r="L2645" s="239"/>
    </row>
    <row r="2646" spans="12:12" x14ac:dyDescent="0.3">
      <c r="L2646" s="239"/>
    </row>
    <row r="2647" spans="12:12" x14ac:dyDescent="0.3">
      <c r="L2647" s="239"/>
    </row>
    <row r="2648" spans="12:12" x14ac:dyDescent="0.3">
      <c r="L2648" s="239"/>
    </row>
    <row r="2649" spans="12:12" x14ac:dyDescent="0.3">
      <c r="L2649" s="239"/>
    </row>
    <row r="2650" spans="12:12" x14ac:dyDescent="0.3">
      <c r="L2650" s="239"/>
    </row>
    <row r="2651" spans="12:12" x14ac:dyDescent="0.3">
      <c r="L2651" s="239"/>
    </row>
    <row r="2652" spans="12:12" x14ac:dyDescent="0.3">
      <c r="L2652" s="239"/>
    </row>
    <row r="2653" spans="12:12" x14ac:dyDescent="0.3">
      <c r="L2653" s="239"/>
    </row>
    <row r="2654" spans="12:12" x14ac:dyDescent="0.3">
      <c r="L2654" s="239"/>
    </row>
    <row r="2655" spans="12:12" x14ac:dyDescent="0.3">
      <c r="L2655" s="239"/>
    </row>
    <row r="2656" spans="12:12" x14ac:dyDescent="0.3">
      <c r="L2656" s="239"/>
    </row>
    <row r="2657" spans="12:12" x14ac:dyDescent="0.3">
      <c r="L2657" s="239"/>
    </row>
    <row r="2658" spans="12:12" x14ac:dyDescent="0.3">
      <c r="L2658" s="239"/>
    </row>
    <row r="2659" spans="12:12" x14ac:dyDescent="0.3">
      <c r="L2659" s="239"/>
    </row>
    <row r="2660" spans="12:12" x14ac:dyDescent="0.3">
      <c r="L2660" s="239"/>
    </row>
    <row r="2661" spans="12:12" x14ac:dyDescent="0.3">
      <c r="L2661" s="239"/>
    </row>
    <row r="2662" spans="12:12" x14ac:dyDescent="0.3">
      <c r="L2662" s="239"/>
    </row>
    <row r="2663" spans="12:12" x14ac:dyDescent="0.3">
      <c r="L2663" s="239"/>
    </row>
    <row r="2664" spans="12:12" x14ac:dyDescent="0.3">
      <c r="L2664" s="239"/>
    </row>
    <row r="2665" spans="12:12" x14ac:dyDescent="0.3">
      <c r="L2665" s="239"/>
    </row>
    <row r="2666" spans="12:12" x14ac:dyDescent="0.3">
      <c r="L2666" s="239"/>
    </row>
    <row r="2667" spans="12:12" x14ac:dyDescent="0.3">
      <c r="L2667" s="239"/>
    </row>
    <row r="2668" spans="12:12" x14ac:dyDescent="0.3">
      <c r="L2668" s="239"/>
    </row>
    <row r="2669" spans="12:12" x14ac:dyDescent="0.3">
      <c r="L2669" s="239"/>
    </row>
    <row r="2670" spans="12:12" x14ac:dyDescent="0.3">
      <c r="L2670" s="239"/>
    </row>
    <row r="2671" spans="12:12" x14ac:dyDescent="0.3">
      <c r="L2671" s="239"/>
    </row>
    <row r="2672" spans="12:12" x14ac:dyDescent="0.3">
      <c r="L2672" s="239"/>
    </row>
    <row r="2673" spans="12:12" x14ac:dyDescent="0.3">
      <c r="L2673" s="239"/>
    </row>
    <row r="2674" spans="12:12" x14ac:dyDescent="0.3">
      <c r="L2674" s="239"/>
    </row>
    <row r="2675" spans="12:12" x14ac:dyDescent="0.3">
      <c r="L2675" s="239"/>
    </row>
    <row r="2676" spans="12:12" x14ac:dyDescent="0.3">
      <c r="L2676" s="239"/>
    </row>
    <row r="2677" spans="12:12" x14ac:dyDescent="0.3">
      <c r="L2677" s="239"/>
    </row>
    <row r="2678" spans="12:12" x14ac:dyDescent="0.3">
      <c r="L2678" s="239"/>
    </row>
    <row r="2679" spans="12:12" x14ac:dyDescent="0.3">
      <c r="L2679" s="239"/>
    </row>
    <row r="2680" spans="12:12" x14ac:dyDescent="0.3">
      <c r="L2680" s="239"/>
    </row>
    <row r="2681" spans="12:12" x14ac:dyDescent="0.3">
      <c r="L2681" s="239"/>
    </row>
    <row r="2682" spans="12:12" x14ac:dyDescent="0.3">
      <c r="L2682" s="239"/>
    </row>
    <row r="2683" spans="12:12" x14ac:dyDescent="0.3">
      <c r="L2683" s="239"/>
    </row>
    <row r="2684" spans="12:12" x14ac:dyDescent="0.3">
      <c r="L2684" s="239"/>
    </row>
    <row r="2685" spans="12:12" x14ac:dyDescent="0.3">
      <c r="L2685" s="239"/>
    </row>
    <row r="2686" spans="12:12" x14ac:dyDescent="0.3">
      <c r="L2686" s="239"/>
    </row>
    <row r="2687" spans="12:12" x14ac:dyDescent="0.3">
      <c r="L2687" s="239"/>
    </row>
    <row r="2688" spans="12:12" x14ac:dyDescent="0.3">
      <c r="L2688" s="239"/>
    </row>
    <row r="2689" spans="12:12" x14ac:dyDescent="0.3">
      <c r="L2689" s="239"/>
    </row>
    <row r="2690" spans="12:12" x14ac:dyDescent="0.3">
      <c r="L2690" s="239"/>
    </row>
    <row r="2691" spans="12:12" x14ac:dyDescent="0.3">
      <c r="L2691" s="239"/>
    </row>
    <row r="2692" spans="12:12" x14ac:dyDescent="0.3">
      <c r="L2692" s="239"/>
    </row>
    <row r="2693" spans="12:12" x14ac:dyDescent="0.3">
      <c r="L2693" s="239"/>
    </row>
    <row r="2694" spans="12:12" x14ac:dyDescent="0.3">
      <c r="L2694" s="239"/>
    </row>
    <row r="2695" spans="12:12" x14ac:dyDescent="0.3">
      <c r="L2695" s="239"/>
    </row>
    <row r="2696" spans="12:12" x14ac:dyDescent="0.3">
      <c r="L2696" s="239"/>
    </row>
    <row r="2697" spans="12:12" x14ac:dyDescent="0.3">
      <c r="L2697" s="239"/>
    </row>
    <row r="2698" spans="12:12" x14ac:dyDescent="0.3">
      <c r="L2698" s="239"/>
    </row>
    <row r="2699" spans="12:12" x14ac:dyDescent="0.3">
      <c r="L2699" s="239"/>
    </row>
    <row r="2700" spans="12:12" x14ac:dyDescent="0.3">
      <c r="L2700" s="239"/>
    </row>
    <row r="2701" spans="12:12" x14ac:dyDescent="0.3">
      <c r="L2701" s="239"/>
    </row>
    <row r="2702" spans="12:12" x14ac:dyDescent="0.3">
      <c r="L2702" s="239"/>
    </row>
    <row r="2703" spans="12:12" x14ac:dyDescent="0.3">
      <c r="L2703" s="239"/>
    </row>
    <row r="2704" spans="12:12" x14ac:dyDescent="0.3">
      <c r="L2704" s="239"/>
    </row>
    <row r="2705" spans="12:12" x14ac:dyDescent="0.3">
      <c r="L2705" s="239"/>
    </row>
    <row r="2706" spans="12:12" x14ac:dyDescent="0.3">
      <c r="L2706" s="239"/>
    </row>
    <row r="2707" spans="12:12" x14ac:dyDescent="0.3">
      <c r="L2707" s="239"/>
    </row>
    <row r="2708" spans="12:12" x14ac:dyDescent="0.3">
      <c r="L2708" s="239"/>
    </row>
    <row r="2709" spans="12:12" x14ac:dyDescent="0.3">
      <c r="L2709" s="239"/>
    </row>
    <row r="2710" spans="12:12" x14ac:dyDescent="0.3">
      <c r="L2710" s="239"/>
    </row>
    <row r="2711" spans="12:12" x14ac:dyDescent="0.3">
      <c r="L2711" s="239"/>
    </row>
    <row r="2712" spans="12:12" x14ac:dyDescent="0.3">
      <c r="L2712" s="239"/>
    </row>
    <row r="2713" spans="12:12" x14ac:dyDescent="0.3">
      <c r="L2713" s="239"/>
    </row>
    <row r="2714" spans="12:12" x14ac:dyDescent="0.3">
      <c r="L2714" s="239"/>
    </row>
    <row r="2715" spans="12:12" x14ac:dyDescent="0.3">
      <c r="L2715" s="239"/>
    </row>
    <row r="2716" spans="12:12" x14ac:dyDescent="0.3">
      <c r="L2716" s="239"/>
    </row>
    <row r="2717" spans="12:12" x14ac:dyDescent="0.3">
      <c r="L2717" s="239"/>
    </row>
    <row r="2718" spans="12:12" x14ac:dyDescent="0.3">
      <c r="L2718" s="239"/>
    </row>
    <row r="2719" spans="12:12" x14ac:dyDescent="0.3">
      <c r="L2719" s="239"/>
    </row>
    <row r="2720" spans="12:12" x14ac:dyDescent="0.3">
      <c r="L2720" s="239"/>
    </row>
    <row r="2721" spans="12:12" x14ac:dyDescent="0.3">
      <c r="L2721" s="239"/>
    </row>
    <row r="2722" spans="12:12" x14ac:dyDescent="0.3">
      <c r="L2722" s="239"/>
    </row>
    <row r="2723" spans="12:12" x14ac:dyDescent="0.3">
      <c r="L2723" s="239"/>
    </row>
    <row r="2724" spans="12:12" x14ac:dyDescent="0.3">
      <c r="L2724" s="239"/>
    </row>
    <row r="2725" spans="12:12" x14ac:dyDescent="0.3">
      <c r="L2725" s="239"/>
    </row>
    <row r="2726" spans="12:12" x14ac:dyDescent="0.3">
      <c r="L2726" s="239"/>
    </row>
    <row r="2727" spans="12:12" x14ac:dyDescent="0.3">
      <c r="L2727" s="239"/>
    </row>
    <row r="2728" spans="12:12" x14ac:dyDescent="0.3">
      <c r="L2728" s="239"/>
    </row>
    <row r="2729" spans="12:12" x14ac:dyDescent="0.3">
      <c r="L2729" s="239"/>
    </row>
    <row r="2730" spans="12:12" x14ac:dyDescent="0.3">
      <c r="L2730" s="239"/>
    </row>
    <row r="2731" spans="12:12" x14ac:dyDescent="0.3">
      <c r="L2731" s="239"/>
    </row>
    <row r="2732" spans="12:12" x14ac:dyDescent="0.3">
      <c r="L2732" s="239"/>
    </row>
    <row r="2733" spans="12:12" x14ac:dyDescent="0.3">
      <c r="L2733" s="239"/>
    </row>
    <row r="2734" spans="12:12" x14ac:dyDescent="0.3">
      <c r="L2734" s="239"/>
    </row>
    <row r="2735" spans="12:12" x14ac:dyDescent="0.3">
      <c r="L2735" s="239"/>
    </row>
    <row r="2736" spans="12:12" x14ac:dyDescent="0.3">
      <c r="L2736" s="239"/>
    </row>
    <row r="2737" spans="12:12" x14ac:dyDescent="0.3">
      <c r="L2737" s="239"/>
    </row>
    <row r="2738" spans="12:12" x14ac:dyDescent="0.3">
      <c r="L2738" s="239"/>
    </row>
    <row r="2739" spans="12:12" x14ac:dyDescent="0.3">
      <c r="L2739" s="239"/>
    </row>
    <row r="2740" spans="12:12" x14ac:dyDescent="0.3">
      <c r="L2740" s="239"/>
    </row>
    <row r="2741" spans="12:12" x14ac:dyDescent="0.3">
      <c r="L2741" s="239"/>
    </row>
    <row r="2742" spans="12:12" x14ac:dyDescent="0.3">
      <c r="L2742" s="239"/>
    </row>
    <row r="2743" spans="12:12" x14ac:dyDescent="0.3">
      <c r="L2743" s="239"/>
    </row>
    <row r="2744" spans="12:12" x14ac:dyDescent="0.3">
      <c r="L2744" s="239"/>
    </row>
    <row r="2745" spans="12:12" x14ac:dyDescent="0.3">
      <c r="L2745" s="239"/>
    </row>
    <row r="2746" spans="12:12" x14ac:dyDescent="0.3">
      <c r="L2746" s="239"/>
    </row>
    <row r="2747" spans="12:12" x14ac:dyDescent="0.3">
      <c r="L2747" s="239"/>
    </row>
    <row r="2748" spans="12:12" x14ac:dyDescent="0.3">
      <c r="L2748" s="239"/>
    </row>
    <row r="2749" spans="12:12" x14ac:dyDescent="0.3">
      <c r="L2749" s="239"/>
    </row>
    <row r="2750" spans="12:12" x14ac:dyDescent="0.3">
      <c r="L2750" s="239"/>
    </row>
    <row r="2751" spans="12:12" x14ac:dyDescent="0.3">
      <c r="L2751" s="239"/>
    </row>
    <row r="2752" spans="12:12" x14ac:dyDescent="0.3">
      <c r="L2752" s="239"/>
    </row>
    <row r="2753" spans="12:12" x14ac:dyDescent="0.3">
      <c r="L2753" s="239"/>
    </row>
    <row r="2754" spans="12:12" x14ac:dyDescent="0.3">
      <c r="L2754" s="239"/>
    </row>
    <row r="2755" spans="12:12" x14ac:dyDescent="0.3">
      <c r="L2755" s="239"/>
    </row>
    <row r="2756" spans="12:12" x14ac:dyDescent="0.3">
      <c r="L2756" s="239"/>
    </row>
    <row r="2757" spans="12:12" x14ac:dyDescent="0.3">
      <c r="L2757" s="239"/>
    </row>
    <row r="2758" spans="12:12" x14ac:dyDescent="0.3">
      <c r="L2758" s="239"/>
    </row>
    <row r="2759" spans="12:12" x14ac:dyDescent="0.3">
      <c r="L2759" s="239"/>
    </row>
    <row r="2760" spans="12:12" x14ac:dyDescent="0.3">
      <c r="L2760" s="239"/>
    </row>
    <row r="2761" spans="12:12" x14ac:dyDescent="0.3">
      <c r="L2761" s="239"/>
    </row>
    <row r="2762" spans="12:12" x14ac:dyDescent="0.3">
      <c r="L2762" s="239"/>
    </row>
    <row r="2763" spans="12:12" x14ac:dyDescent="0.3">
      <c r="L2763" s="239"/>
    </row>
    <row r="2764" spans="12:12" x14ac:dyDescent="0.3">
      <c r="L2764" s="239"/>
    </row>
    <row r="2765" spans="12:12" x14ac:dyDescent="0.3">
      <c r="L2765" s="239"/>
    </row>
    <row r="2766" spans="12:12" x14ac:dyDescent="0.3">
      <c r="L2766" s="239"/>
    </row>
    <row r="2767" spans="12:12" x14ac:dyDescent="0.3">
      <c r="L2767" s="239"/>
    </row>
    <row r="2768" spans="12:12" x14ac:dyDescent="0.3">
      <c r="L2768" s="239"/>
    </row>
    <row r="2769" spans="12:12" x14ac:dyDescent="0.3">
      <c r="L2769" s="239"/>
    </row>
    <row r="2770" spans="12:12" x14ac:dyDescent="0.3">
      <c r="L2770" s="239"/>
    </row>
    <row r="2771" spans="12:12" x14ac:dyDescent="0.3">
      <c r="L2771" s="239"/>
    </row>
    <row r="2772" spans="12:12" x14ac:dyDescent="0.3">
      <c r="L2772" s="239"/>
    </row>
    <row r="2773" spans="12:12" x14ac:dyDescent="0.3">
      <c r="L2773" s="239"/>
    </row>
    <row r="2774" spans="12:12" x14ac:dyDescent="0.3">
      <c r="L2774" s="239"/>
    </row>
    <row r="2775" spans="12:12" x14ac:dyDescent="0.3">
      <c r="L2775" s="239"/>
    </row>
    <row r="2776" spans="12:12" x14ac:dyDescent="0.3">
      <c r="L2776" s="239"/>
    </row>
    <row r="2777" spans="12:12" x14ac:dyDescent="0.3">
      <c r="L2777" s="239"/>
    </row>
    <row r="2778" spans="12:12" x14ac:dyDescent="0.3">
      <c r="L2778" s="239"/>
    </row>
    <row r="2779" spans="12:12" x14ac:dyDescent="0.3">
      <c r="L2779" s="239"/>
    </row>
    <row r="2780" spans="12:12" x14ac:dyDescent="0.3">
      <c r="L2780" s="239"/>
    </row>
    <row r="2781" spans="12:12" x14ac:dyDescent="0.3">
      <c r="L2781" s="239"/>
    </row>
    <row r="2782" spans="12:12" x14ac:dyDescent="0.3">
      <c r="L2782" s="239"/>
    </row>
    <row r="2783" spans="12:12" x14ac:dyDescent="0.3">
      <c r="L2783" s="239"/>
    </row>
    <row r="2784" spans="12:12" x14ac:dyDescent="0.3">
      <c r="L2784" s="239"/>
    </row>
    <row r="2785" spans="12:12" x14ac:dyDescent="0.3">
      <c r="L2785" s="239"/>
    </row>
    <row r="2786" spans="12:12" x14ac:dyDescent="0.3">
      <c r="L2786" s="239"/>
    </row>
    <row r="2787" spans="12:12" x14ac:dyDescent="0.3">
      <c r="L2787" s="239"/>
    </row>
    <row r="2788" spans="12:12" x14ac:dyDescent="0.3">
      <c r="L2788" s="239"/>
    </row>
    <row r="2789" spans="12:12" x14ac:dyDescent="0.3">
      <c r="L2789" s="239"/>
    </row>
    <row r="2790" spans="12:12" x14ac:dyDescent="0.3">
      <c r="L2790" s="239"/>
    </row>
    <row r="2791" spans="12:12" x14ac:dyDescent="0.3">
      <c r="L2791" s="239"/>
    </row>
    <row r="2792" spans="12:12" x14ac:dyDescent="0.3">
      <c r="L2792" s="239"/>
    </row>
    <row r="2793" spans="12:12" x14ac:dyDescent="0.3">
      <c r="L2793" s="239"/>
    </row>
    <row r="2794" spans="12:12" x14ac:dyDescent="0.3">
      <c r="L2794" s="239"/>
    </row>
    <row r="2795" spans="12:12" x14ac:dyDescent="0.3">
      <c r="L2795" s="239"/>
    </row>
    <row r="2796" spans="12:12" x14ac:dyDescent="0.3">
      <c r="L2796" s="239"/>
    </row>
    <row r="2797" spans="12:12" x14ac:dyDescent="0.3">
      <c r="L2797" s="239"/>
    </row>
    <row r="2798" spans="12:12" x14ac:dyDescent="0.3">
      <c r="L2798" s="239"/>
    </row>
    <row r="2799" spans="12:12" x14ac:dyDescent="0.3">
      <c r="L2799" s="239"/>
    </row>
    <row r="2800" spans="12:12" x14ac:dyDescent="0.3">
      <c r="L2800" s="239"/>
    </row>
    <row r="2801" spans="12:12" x14ac:dyDescent="0.3">
      <c r="L2801" s="239"/>
    </row>
    <row r="2802" spans="12:12" x14ac:dyDescent="0.3">
      <c r="L2802" s="239"/>
    </row>
    <row r="2803" spans="12:12" x14ac:dyDescent="0.3">
      <c r="L2803" s="239"/>
    </row>
    <row r="2804" spans="12:12" x14ac:dyDescent="0.3">
      <c r="L2804" s="239"/>
    </row>
    <row r="2805" spans="12:12" x14ac:dyDescent="0.3">
      <c r="L2805" s="239"/>
    </row>
    <row r="2806" spans="12:12" x14ac:dyDescent="0.3">
      <c r="L2806" s="239"/>
    </row>
    <row r="2807" spans="12:12" x14ac:dyDescent="0.3">
      <c r="L2807" s="239"/>
    </row>
    <row r="2808" spans="12:12" x14ac:dyDescent="0.3">
      <c r="L2808" s="239"/>
    </row>
    <row r="2809" spans="12:12" x14ac:dyDescent="0.3">
      <c r="L2809" s="239"/>
    </row>
    <row r="2810" spans="12:12" x14ac:dyDescent="0.3">
      <c r="L2810" s="239"/>
    </row>
    <row r="2811" spans="12:12" x14ac:dyDescent="0.3">
      <c r="L2811" s="239"/>
    </row>
    <row r="2812" spans="12:12" x14ac:dyDescent="0.3">
      <c r="L2812" s="239"/>
    </row>
    <row r="2813" spans="12:12" x14ac:dyDescent="0.3">
      <c r="L2813" s="239"/>
    </row>
    <row r="2814" spans="12:12" x14ac:dyDescent="0.3">
      <c r="L2814" s="239"/>
    </row>
    <row r="2815" spans="12:12" x14ac:dyDescent="0.3">
      <c r="L2815" s="239"/>
    </row>
    <row r="2816" spans="12:12" x14ac:dyDescent="0.3">
      <c r="L2816" s="239"/>
    </row>
    <row r="2817" spans="12:12" x14ac:dyDescent="0.3">
      <c r="L2817" s="239"/>
    </row>
    <row r="2818" spans="12:12" x14ac:dyDescent="0.3">
      <c r="L2818" s="239"/>
    </row>
    <row r="2819" spans="12:12" x14ac:dyDescent="0.3">
      <c r="L2819" s="239"/>
    </row>
    <row r="2820" spans="12:12" x14ac:dyDescent="0.3">
      <c r="L2820" s="239"/>
    </row>
    <row r="2821" spans="12:12" x14ac:dyDescent="0.3">
      <c r="L2821" s="239"/>
    </row>
    <row r="2822" spans="12:12" x14ac:dyDescent="0.3">
      <c r="L2822" s="239"/>
    </row>
    <row r="2823" spans="12:12" x14ac:dyDescent="0.3">
      <c r="L2823" s="239"/>
    </row>
    <row r="2824" spans="12:12" x14ac:dyDescent="0.3">
      <c r="L2824" s="239"/>
    </row>
    <row r="2825" spans="12:12" x14ac:dyDescent="0.3">
      <c r="L2825" s="239"/>
    </row>
    <row r="2826" spans="12:12" x14ac:dyDescent="0.3">
      <c r="L2826" s="239"/>
    </row>
    <row r="2827" spans="12:12" x14ac:dyDescent="0.3">
      <c r="L2827" s="239"/>
    </row>
    <row r="2828" spans="12:12" x14ac:dyDescent="0.3">
      <c r="L2828" s="239"/>
    </row>
    <row r="2829" spans="12:12" x14ac:dyDescent="0.3">
      <c r="L2829" s="239"/>
    </row>
    <row r="2830" spans="12:12" x14ac:dyDescent="0.3">
      <c r="L2830" s="239"/>
    </row>
    <row r="2831" spans="12:12" x14ac:dyDescent="0.3">
      <c r="L2831" s="239"/>
    </row>
    <row r="2832" spans="12:12" x14ac:dyDescent="0.3">
      <c r="L2832" s="239"/>
    </row>
    <row r="2833" spans="12:12" x14ac:dyDescent="0.3">
      <c r="L2833" s="239"/>
    </row>
    <row r="2834" spans="12:12" x14ac:dyDescent="0.3">
      <c r="L2834" s="239"/>
    </row>
    <row r="2835" spans="12:12" x14ac:dyDescent="0.3">
      <c r="L2835" s="239"/>
    </row>
    <row r="2836" spans="12:12" x14ac:dyDescent="0.3">
      <c r="L2836" s="239"/>
    </row>
    <row r="2837" spans="12:12" x14ac:dyDescent="0.3">
      <c r="L2837" s="239"/>
    </row>
    <row r="2838" spans="12:12" x14ac:dyDescent="0.3">
      <c r="L2838" s="239"/>
    </row>
    <row r="2839" spans="12:12" x14ac:dyDescent="0.3">
      <c r="L2839" s="239"/>
    </row>
    <row r="2840" spans="12:12" x14ac:dyDescent="0.3">
      <c r="L2840" s="239"/>
    </row>
    <row r="2841" spans="12:12" x14ac:dyDescent="0.3">
      <c r="L2841" s="239"/>
    </row>
    <row r="2842" spans="12:12" x14ac:dyDescent="0.3">
      <c r="L2842" s="239"/>
    </row>
    <row r="2843" spans="12:12" x14ac:dyDescent="0.3">
      <c r="L2843" s="239"/>
    </row>
    <row r="2844" spans="12:12" x14ac:dyDescent="0.3">
      <c r="L2844" s="239"/>
    </row>
    <row r="2845" spans="12:12" x14ac:dyDescent="0.3">
      <c r="L2845" s="239"/>
    </row>
    <row r="2846" spans="12:12" x14ac:dyDescent="0.3">
      <c r="L2846" s="239"/>
    </row>
    <row r="2847" spans="12:12" x14ac:dyDescent="0.3">
      <c r="L2847" s="239"/>
    </row>
    <row r="2848" spans="12:12" x14ac:dyDescent="0.3">
      <c r="L2848" s="239"/>
    </row>
    <row r="2849" spans="12:12" x14ac:dyDescent="0.3">
      <c r="L2849" s="239"/>
    </row>
    <row r="2850" spans="12:12" x14ac:dyDescent="0.3">
      <c r="L2850" s="239"/>
    </row>
    <row r="2851" spans="12:12" x14ac:dyDescent="0.3">
      <c r="L2851" s="239"/>
    </row>
    <row r="2852" spans="12:12" x14ac:dyDescent="0.3">
      <c r="L2852" s="239"/>
    </row>
    <row r="2853" spans="12:12" x14ac:dyDescent="0.3">
      <c r="L2853" s="239"/>
    </row>
    <row r="2854" spans="12:12" x14ac:dyDescent="0.3">
      <c r="L2854" s="239"/>
    </row>
    <row r="2855" spans="12:12" x14ac:dyDescent="0.3">
      <c r="L2855" s="239"/>
    </row>
    <row r="2856" spans="12:12" x14ac:dyDescent="0.3">
      <c r="L2856" s="239"/>
    </row>
    <row r="2857" spans="12:12" x14ac:dyDescent="0.3">
      <c r="L2857" s="239"/>
    </row>
    <row r="2858" spans="12:12" x14ac:dyDescent="0.3">
      <c r="L2858" s="239"/>
    </row>
    <row r="2859" spans="12:12" x14ac:dyDescent="0.3">
      <c r="L2859" s="239"/>
    </row>
    <row r="2860" spans="12:12" x14ac:dyDescent="0.3">
      <c r="L2860" s="239"/>
    </row>
    <row r="2861" spans="12:12" x14ac:dyDescent="0.3">
      <c r="L2861" s="239"/>
    </row>
    <row r="2862" spans="12:12" x14ac:dyDescent="0.3">
      <c r="L2862" s="239"/>
    </row>
    <row r="2863" spans="12:12" x14ac:dyDescent="0.3">
      <c r="L2863" s="239"/>
    </row>
    <row r="2864" spans="12:12" x14ac:dyDescent="0.3">
      <c r="L2864" s="239"/>
    </row>
    <row r="2865" spans="12:12" x14ac:dyDescent="0.3">
      <c r="L2865" s="239"/>
    </row>
    <row r="2866" spans="12:12" x14ac:dyDescent="0.3">
      <c r="L2866" s="239"/>
    </row>
  </sheetData>
  <sheetProtection selectLockedCells="1"/>
  <protectedRanges>
    <protectedRange password="D2B3" sqref="N1:R1 P2:R2" name="Berechnungen"/>
    <protectedRange password="D2B3" sqref="N31:N40 O31:O41 N240 N141:N142 O141:O143 N30:O30 P30:P41 N140:O140 P140:P143 P228:P239 R240 Q228:Q240 N144:P226 N42:P139 Q30:R227 N3:R29 N241:R679" name="Berechnungen_1"/>
    <protectedRange password="D2B3" sqref="N41" name="Berechnungen_2"/>
    <protectedRange password="D2B3" sqref="N228:O239 R228:R239 N227:P227 O240:P240" name="Berechnungen_3"/>
  </protectedRanges>
  <autoFilter ref="A1:R668" xr:uid="{00000000-0009-0000-0000-000008000000}">
    <filterColumn colId="13" showButton="0"/>
    <filterColumn colId="14" showButton="0"/>
    <filterColumn colId="15" showButton="0"/>
  </autoFilter>
  <mergeCells count="4">
    <mergeCell ref="C2:E2"/>
    <mergeCell ref="A2:B3"/>
    <mergeCell ref="N1:Q1"/>
    <mergeCell ref="F2:K2"/>
  </mergeCells>
  <conditionalFormatting sqref="C6:C14">
    <cfRule type="cellIs" dxfId="69" priority="67" operator="greaterThan">
      <formula>0</formula>
    </cfRule>
  </conditionalFormatting>
  <conditionalFormatting sqref="C16:C28">
    <cfRule type="cellIs" dxfId="68" priority="66" operator="greaterThan">
      <formula>0</formula>
    </cfRule>
  </conditionalFormatting>
  <conditionalFormatting sqref="C30:C41">
    <cfRule type="cellIs" dxfId="67" priority="65" operator="greaterThan">
      <formula>0</formula>
    </cfRule>
  </conditionalFormatting>
  <conditionalFormatting sqref="C43:C55">
    <cfRule type="cellIs" dxfId="66" priority="64" operator="greaterThan">
      <formula>0</formula>
    </cfRule>
  </conditionalFormatting>
  <conditionalFormatting sqref="C57:C63">
    <cfRule type="cellIs" dxfId="65" priority="63" operator="greaterThan">
      <formula>0</formula>
    </cfRule>
  </conditionalFormatting>
  <conditionalFormatting sqref="C67:C72">
    <cfRule type="cellIs" dxfId="64" priority="62" operator="greaterThan">
      <formula>0</formula>
    </cfRule>
  </conditionalFormatting>
  <conditionalFormatting sqref="C74:C90">
    <cfRule type="cellIs" dxfId="63" priority="61" operator="greaterThan">
      <formula>0</formula>
    </cfRule>
  </conditionalFormatting>
  <conditionalFormatting sqref="C92:C102">
    <cfRule type="cellIs" dxfId="62" priority="60" operator="greaterThan">
      <formula>0</formula>
    </cfRule>
  </conditionalFormatting>
  <conditionalFormatting sqref="C104:C105">
    <cfRule type="cellIs" dxfId="61" priority="59" operator="greaterThan">
      <formula>0</formula>
    </cfRule>
  </conditionalFormatting>
  <conditionalFormatting sqref="C108:C118">
    <cfRule type="cellIs" dxfId="60" priority="58" operator="greaterThan">
      <formula>0</formula>
    </cfRule>
  </conditionalFormatting>
  <conditionalFormatting sqref="C120:C122">
    <cfRule type="cellIs" dxfId="59" priority="57" operator="greaterThan">
      <formula>0</formula>
    </cfRule>
  </conditionalFormatting>
  <conditionalFormatting sqref="C124:C126">
    <cfRule type="cellIs" dxfId="58" priority="56" operator="greaterThan">
      <formula>0</formula>
    </cfRule>
  </conditionalFormatting>
  <conditionalFormatting sqref="C129:C132">
    <cfRule type="cellIs" dxfId="57" priority="55" operator="greaterThan">
      <formula>0</formula>
    </cfRule>
  </conditionalFormatting>
  <conditionalFormatting sqref="C134:C138">
    <cfRule type="cellIs" dxfId="56" priority="54" operator="greaterThan">
      <formula>0</formula>
    </cfRule>
  </conditionalFormatting>
  <conditionalFormatting sqref="C140:C143">
    <cfRule type="cellIs" dxfId="55" priority="53" operator="greaterThan">
      <formula>0</formula>
    </cfRule>
  </conditionalFormatting>
  <conditionalFormatting sqref="C146:C151">
    <cfRule type="cellIs" dxfId="54" priority="52" operator="greaterThan">
      <formula>0</formula>
    </cfRule>
  </conditionalFormatting>
  <conditionalFormatting sqref="C153:C163">
    <cfRule type="cellIs" dxfId="53" priority="51" operator="greaterThan">
      <formula>0</formula>
    </cfRule>
  </conditionalFormatting>
  <conditionalFormatting sqref="C165:C169">
    <cfRule type="cellIs" dxfId="52" priority="50" operator="greaterThan">
      <formula>0</formula>
    </cfRule>
  </conditionalFormatting>
  <conditionalFormatting sqref="C171:C174">
    <cfRule type="cellIs" dxfId="51" priority="49" operator="greaterThan">
      <formula>0</formula>
    </cfRule>
  </conditionalFormatting>
  <conditionalFormatting sqref="C176:C181">
    <cfRule type="cellIs" dxfId="50" priority="48" operator="greaterThan">
      <formula>0</formula>
    </cfRule>
  </conditionalFormatting>
  <conditionalFormatting sqref="C183:C188">
    <cfRule type="cellIs" dxfId="49" priority="47" operator="greaterThan">
      <formula>0</formula>
    </cfRule>
  </conditionalFormatting>
  <conditionalFormatting sqref="C190:C192">
    <cfRule type="cellIs" dxfId="48" priority="46" operator="greaterThan">
      <formula>0</formula>
    </cfRule>
  </conditionalFormatting>
  <conditionalFormatting sqref="C194:C222">
    <cfRule type="cellIs" dxfId="47" priority="45" operator="greaterThan">
      <formula>0</formula>
    </cfRule>
  </conditionalFormatting>
  <conditionalFormatting sqref="C224:C226">
    <cfRule type="cellIs" dxfId="46" priority="44" operator="greaterThan">
      <formula>0</formula>
    </cfRule>
  </conditionalFormatting>
  <conditionalFormatting sqref="C228:C239">
    <cfRule type="cellIs" dxfId="45" priority="43" operator="greaterThan">
      <formula>0</formula>
    </cfRule>
  </conditionalFormatting>
  <conditionalFormatting sqref="C242:C248">
    <cfRule type="cellIs" dxfId="44" priority="42" operator="greaterThan">
      <formula>0</formula>
    </cfRule>
  </conditionalFormatting>
  <conditionalFormatting sqref="C250:C284">
    <cfRule type="cellIs" dxfId="43" priority="41" operator="greaterThan">
      <formula>0</formula>
    </cfRule>
  </conditionalFormatting>
  <conditionalFormatting sqref="C286:C292">
    <cfRule type="cellIs" dxfId="42" priority="40" operator="greaterThan">
      <formula>0</formula>
    </cfRule>
  </conditionalFormatting>
  <conditionalFormatting sqref="C294:C296">
    <cfRule type="cellIs" dxfId="41" priority="39" operator="greaterThan">
      <formula>0</formula>
    </cfRule>
  </conditionalFormatting>
  <conditionalFormatting sqref="C298:C303">
    <cfRule type="cellIs" dxfId="40" priority="38" operator="greaterThan">
      <formula>0</formula>
    </cfRule>
  </conditionalFormatting>
  <conditionalFormatting sqref="C305:C308">
    <cfRule type="cellIs" dxfId="39" priority="37" operator="greaterThan">
      <formula>0</formula>
    </cfRule>
  </conditionalFormatting>
  <conditionalFormatting sqref="C310:C316">
    <cfRule type="cellIs" dxfId="38" priority="36" operator="greaterThan">
      <formula>0</formula>
    </cfRule>
  </conditionalFormatting>
  <conditionalFormatting sqref="C318">
    <cfRule type="cellIs" dxfId="37" priority="35" operator="greaterThan">
      <formula>0</formula>
    </cfRule>
  </conditionalFormatting>
  <conditionalFormatting sqref="C321:C325">
    <cfRule type="cellIs" dxfId="36" priority="34" operator="greaterThan">
      <formula>0</formula>
    </cfRule>
  </conditionalFormatting>
  <conditionalFormatting sqref="C327:C339">
    <cfRule type="cellIs" dxfId="35" priority="33" operator="greaterThan">
      <formula>0</formula>
    </cfRule>
  </conditionalFormatting>
  <conditionalFormatting sqref="C341:C349">
    <cfRule type="cellIs" dxfId="34" priority="32" operator="greaterThan">
      <formula>0</formula>
    </cfRule>
  </conditionalFormatting>
  <conditionalFormatting sqref="C351:C367">
    <cfRule type="cellIs" dxfId="33" priority="31" operator="greaterThan">
      <formula>0</formula>
    </cfRule>
  </conditionalFormatting>
  <conditionalFormatting sqref="C370:C379">
    <cfRule type="cellIs" dxfId="32" priority="30" operator="greaterThan">
      <formula>0</formula>
    </cfRule>
  </conditionalFormatting>
  <conditionalFormatting sqref="C381:C391">
    <cfRule type="cellIs" dxfId="31" priority="29" operator="greaterThan">
      <formula>0</formula>
    </cfRule>
  </conditionalFormatting>
  <conditionalFormatting sqref="C394:C409">
    <cfRule type="cellIs" dxfId="30" priority="28" operator="greaterThan">
      <formula>0</formula>
    </cfRule>
  </conditionalFormatting>
  <conditionalFormatting sqref="C411:C422">
    <cfRule type="cellIs" dxfId="29" priority="27" operator="greaterThan">
      <formula>0</formula>
    </cfRule>
  </conditionalFormatting>
  <conditionalFormatting sqref="C424:C428">
    <cfRule type="cellIs" dxfId="28" priority="26" operator="greaterThan">
      <formula>0</formula>
    </cfRule>
  </conditionalFormatting>
  <conditionalFormatting sqref="C431:C436">
    <cfRule type="cellIs" dxfId="27" priority="25" operator="greaterThan">
      <formula>0</formula>
    </cfRule>
  </conditionalFormatting>
  <conditionalFormatting sqref="C438:C444">
    <cfRule type="cellIs" dxfId="26" priority="24" operator="greaterThan">
      <formula>0</formula>
    </cfRule>
  </conditionalFormatting>
  <conditionalFormatting sqref="C447:C453">
    <cfRule type="cellIs" dxfId="25" priority="23" operator="greaterThan">
      <formula>0</formula>
    </cfRule>
  </conditionalFormatting>
  <conditionalFormatting sqref="C455:C463">
    <cfRule type="cellIs" dxfId="24" priority="22" operator="greaterThan">
      <formula>0</formula>
    </cfRule>
  </conditionalFormatting>
  <conditionalFormatting sqref="C465:C490">
    <cfRule type="cellIs" dxfId="23" priority="21" operator="greaterThan">
      <formula>0</formula>
    </cfRule>
  </conditionalFormatting>
  <conditionalFormatting sqref="C492:C506">
    <cfRule type="cellIs" dxfId="22" priority="20" operator="greaterThan">
      <formula>0</formula>
    </cfRule>
  </conditionalFormatting>
  <conditionalFormatting sqref="C508:C516">
    <cfRule type="cellIs" dxfId="21" priority="19" operator="greaterThan">
      <formula>0</formula>
    </cfRule>
  </conditionalFormatting>
  <conditionalFormatting sqref="C518:C525">
    <cfRule type="cellIs" dxfId="20" priority="18" operator="greaterThan">
      <formula>0</formula>
    </cfRule>
  </conditionalFormatting>
  <conditionalFormatting sqref="C527:C531">
    <cfRule type="cellIs" dxfId="19" priority="17" operator="greaterThan">
      <formula>0</formula>
    </cfRule>
  </conditionalFormatting>
  <conditionalFormatting sqref="C533:C539">
    <cfRule type="cellIs" dxfId="18" priority="16" operator="greaterThan">
      <formula>0</formula>
    </cfRule>
  </conditionalFormatting>
  <conditionalFormatting sqref="C541:C549">
    <cfRule type="cellIs" dxfId="17" priority="15" operator="greaterThan">
      <formula>0</formula>
    </cfRule>
  </conditionalFormatting>
  <conditionalFormatting sqref="C551:C555">
    <cfRule type="cellIs" dxfId="16" priority="14" operator="greaterThan">
      <formula>0</formula>
    </cfRule>
  </conditionalFormatting>
  <conditionalFormatting sqref="C558:C570">
    <cfRule type="cellIs" dxfId="15" priority="13" operator="greaterThan">
      <formula>0</formula>
    </cfRule>
  </conditionalFormatting>
  <conditionalFormatting sqref="C572:C581">
    <cfRule type="cellIs" dxfId="14" priority="12" operator="greaterThan">
      <formula>0</formula>
    </cfRule>
  </conditionalFormatting>
  <conditionalFormatting sqref="C583:C586">
    <cfRule type="cellIs" dxfId="13" priority="11" operator="greaterThan">
      <formula>0</formula>
    </cfRule>
  </conditionalFormatting>
  <conditionalFormatting sqref="C588:C606">
    <cfRule type="cellIs" dxfId="12" priority="10" operator="greaterThan">
      <formula>0</formula>
    </cfRule>
  </conditionalFormatting>
  <conditionalFormatting sqref="C608:C628">
    <cfRule type="cellIs" dxfId="11" priority="9" operator="greaterThan">
      <formula>0</formula>
    </cfRule>
  </conditionalFormatting>
  <conditionalFormatting sqref="C630:C656">
    <cfRule type="cellIs" dxfId="10" priority="8" operator="greaterThan">
      <formula>0</formula>
    </cfRule>
  </conditionalFormatting>
  <conditionalFormatting sqref="C659:C661">
    <cfRule type="cellIs" dxfId="9" priority="7" operator="greaterThan">
      <formula>0</formula>
    </cfRule>
  </conditionalFormatting>
  <conditionalFormatting sqref="C663">
    <cfRule type="cellIs" dxfId="8" priority="6" operator="greaterThan">
      <formula>0</formula>
    </cfRule>
  </conditionalFormatting>
  <conditionalFormatting sqref="C665:C666">
    <cfRule type="cellIs" dxfId="7" priority="5" operator="greaterThan">
      <formula>0</formula>
    </cfRule>
  </conditionalFormatting>
  <conditionalFormatting sqref="C668">
    <cfRule type="cellIs" dxfId="6" priority="4" operator="greaterThan">
      <formula>0</formula>
    </cfRule>
  </conditionalFormatting>
  <conditionalFormatting sqref="C670:C672">
    <cfRule type="cellIs" dxfId="5" priority="3" operator="greaterThan">
      <formula>0</formula>
    </cfRule>
  </conditionalFormatting>
  <conditionalFormatting sqref="C674">
    <cfRule type="cellIs" dxfId="4" priority="1" operator="greaterThan">
      <formula>0</formula>
    </cfRule>
  </conditionalFormatting>
  <conditionalFormatting sqref="C676:C679">
    <cfRule type="cellIs" dxfId="3" priority="2" operator="greaterThan">
      <formula>0</formula>
    </cfRule>
  </conditionalFormatting>
  <conditionalFormatting sqref="D6:D14 D16:D28 D30:D41 D43:D55 D57:D63 D67:D72 D74:D90 D92:D102 D104:D105 D108:D118 D120:D122 D124:D126 D129:D138 D140:D143 D146:D151 D153:D163 D165:D169 D171:D174 D176:D181 D183:D188 D190:D192 D194:D222 D224:D226 D228:D239 D242:D248 D250:D284 D286:D292 D294:D296 D298:D316 D318 D321:D325 D327:D339 D341:D349 D351:D367 D370:D379 D381:D391 D394:D409 D411:D422 D424:D428 D431:D436 D438:D444 D447:D453 D455:D463 D465:D490 D492:D506 D508:D516 D518:D525 D527:D531 D533:D539 D551:D555 D558:D570 D572:D581 D583:D586 D588:D606">
    <cfRule type="cellIs" dxfId="2" priority="72" operator="equal">
      <formula>"*"</formula>
    </cfRule>
  </conditionalFormatting>
  <conditionalFormatting sqref="D541:D549">
    <cfRule type="cellIs" dxfId="1" priority="69" operator="equal">
      <formula>"*"</formula>
    </cfRule>
  </conditionalFormatting>
  <conditionalFormatting sqref="D608:D628 D630:D656 D659:D661 D663 D665:D666 D668 D670:D672 D674 D676:D679">
    <cfRule type="cellIs" dxfId="0" priority="71" operator="equal">
      <formula>"*"</formula>
    </cfRule>
  </conditionalFormatting>
  <pageMargins left="0.7" right="0.7" top="0.78740157499999996" bottom="0.78740157499999996" header="0.3" footer="0.3"/>
  <pageSetup paperSize="9" scale="66" fitToHeight="0" orientation="portrait" r:id="rId1"/>
  <ignoredErrors>
    <ignoredError sqref="N29" formulaRange="1"/>
    <ignoredError sqref="P15"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7"/>
  <dimension ref="A1:J23"/>
  <sheetViews>
    <sheetView zoomScale="80" zoomScaleNormal="80" workbookViewId="0">
      <selection activeCell="A3" sqref="A3"/>
    </sheetView>
  </sheetViews>
  <sheetFormatPr defaultColWidth="11.44140625" defaultRowHeight="13.2" x14ac:dyDescent="0.25"/>
  <cols>
    <col min="1" max="1" width="27.33203125" style="9" customWidth="1"/>
    <col min="2" max="2" width="13.33203125" style="9" customWidth="1"/>
    <col min="3" max="3" width="19" style="9" customWidth="1"/>
    <col min="4" max="4" width="13.44140625" style="9" customWidth="1"/>
    <col min="5" max="5" width="19.44140625" style="9" bestFit="1" customWidth="1"/>
    <col min="6" max="6" width="2.33203125" style="9" customWidth="1"/>
    <col min="7" max="7" width="12.44140625" style="9" customWidth="1"/>
    <col min="8" max="16384" width="11.44140625" style="9"/>
  </cols>
  <sheetData>
    <row r="1" spans="1:10" x14ac:dyDescent="0.25">
      <c r="E1" s="17"/>
      <c r="F1" s="17"/>
      <c r="G1" s="17"/>
    </row>
    <row r="2" spans="1:10" ht="13.8" thickBot="1" x14ac:dyDescent="0.3">
      <c r="B2" s="344" t="s">
        <v>1567</v>
      </c>
      <c r="C2" s="345"/>
      <c r="D2" s="345"/>
      <c r="E2" s="345"/>
    </row>
    <row r="3" spans="1:10" s="16" customFormat="1" ht="30.75" customHeight="1" thickBot="1" x14ac:dyDescent="0.3">
      <c r="A3" s="61" t="s">
        <v>1568</v>
      </c>
      <c r="B3" s="340" t="str">
        <f xml:space="preserve"> "Autovalutazione "&amp;Analyse!B1</f>
        <v>Autovalutazione Muster AG</v>
      </c>
      <c r="C3" s="341"/>
      <c r="D3" s="342" t="s">
        <v>1569</v>
      </c>
      <c r="E3" s="343"/>
      <c r="G3" s="226" t="s">
        <v>1570</v>
      </c>
    </row>
    <row r="4" spans="1:10" s="16" customFormat="1" ht="30" customHeight="1" x14ac:dyDescent="0.25">
      <c r="A4" s="62"/>
      <c r="B4" s="63" t="s">
        <v>1571</v>
      </c>
      <c r="C4" s="63" t="s">
        <v>1572</v>
      </c>
      <c r="D4" s="63" t="s">
        <v>1571</v>
      </c>
      <c r="E4" s="63" t="s">
        <v>1572</v>
      </c>
      <c r="F4" s="59"/>
      <c r="G4" s="226" t="s">
        <v>1573</v>
      </c>
    </row>
    <row r="5" spans="1:10" ht="30" customHeight="1" x14ac:dyDescent="0.25">
      <c r="A5" s="14" t="str">
        <f>CONCATENATE(Analyse!A4," ",Analyse!B4)</f>
        <v>1 Principi, obiettivi e strategie</v>
      </c>
      <c r="B5" s="15">
        <f>Analyse!C4</f>
        <v>0</v>
      </c>
      <c r="C5" s="60">
        <f>B5</f>
        <v>0</v>
      </c>
      <c r="D5" s="224">
        <f>Analyse!L4</f>
        <v>0</v>
      </c>
      <c r="E5" s="60">
        <f>D5</f>
        <v>0</v>
      </c>
      <c r="F5" s="13"/>
      <c r="G5" s="225">
        <f t="shared" ref="G5:G15" si="0">E5-C5</f>
        <v>0</v>
      </c>
      <c r="H5" s="10"/>
      <c r="I5" s="10"/>
      <c r="J5" s="10"/>
    </row>
    <row r="6" spans="1:10" ht="30" customHeight="1" x14ac:dyDescent="0.25">
      <c r="A6" s="14" t="str">
        <f>CONCATENATE(Analyse!A64," ",Analyse!B64)</f>
        <v>2. Organizzazione</v>
      </c>
      <c r="B6" s="15">
        <f>Analyse!C64</f>
        <v>0</v>
      </c>
      <c r="C6" s="60">
        <f t="shared" ref="C6:C15" si="1">B6</f>
        <v>0</v>
      </c>
      <c r="D6" s="224">
        <f>Analyse!L64</f>
        <v>0</v>
      </c>
      <c r="E6" s="60">
        <f t="shared" ref="E6:E15" si="2">D6</f>
        <v>0</v>
      </c>
      <c r="F6" s="13"/>
      <c r="G6" s="225">
        <f t="shared" si="0"/>
        <v>0</v>
      </c>
      <c r="H6" s="10"/>
      <c r="I6" s="10"/>
      <c r="J6" s="10"/>
    </row>
    <row r="7" spans="1:10" ht="30" customHeight="1" x14ac:dyDescent="0.25">
      <c r="A7" s="14" t="str">
        <f>CONCATENATE(Analyse!A144," ",Analyse!B144)</f>
        <v>3. Qualificazione, formazione, comunicazione</v>
      </c>
      <c r="B7" s="15">
        <f>Analyse!C144</f>
        <v>0</v>
      </c>
      <c r="C7" s="60">
        <f t="shared" si="1"/>
        <v>0</v>
      </c>
      <c r="D7" s="224">
        <f>Analyse!L144</f>
        <v>0</v>
      </c>
      <c r="E7" s="60">
        <f t="shared" si="2"/>
        <v>0</v>
      </c>
      <c r="F7" s="13"/>
      <c r="G7" s="225">
        <f t="shared" si="0"/>
        <v>0</v>
      </c>
      <c r="H7" s="10"/>
      <c r="I7" s="10"/>
      <c r="J7" s="10"/>
    </row>
    <row r="8" spans="1:10" ht="30" customHeight="1" x14ac:dyDescent="0.25">
      <c r="A8" s="14" t="str">
        <f>CONCATENATE(Analyse!A240," ",Analyse!B240)</f>
        <v>4. Norme di sicurezza</v>
      </c>
      <c r="B8" s="15">
        <f>Analyse!C240</f>
        <v>0.5</v>
      </c>
      <c r="C8" s="60">
        <f t="shared" si="1"/>
        <v>0.5</v>
      </c>
      <c r="D8" s="224">
        <f>Analyse!L240</f>
        <v>0</v>
      </c>
      <c r="E8" s="60">
        <f t="shared" si="2"/>
        <v>0</v>
      </c>
      <c r="F8" s="13"/>
      <c r="G8" s="225">
        <f t="shared" si="0"/>
        <v>-0.5</v>
      </c>
      <c r="H8" s="10"/>
      <c r="I8" s="10"/>
      <c r="J8" s="10"/>
    </row>
    <row r="9" spans="1:10" ht="30" customHeight="1" x14ac:dyDescent="0.25">
      <c r="A9" s="14" t="str">
        <f>CONCATENATE(Analyse!A319," ",Analyse!B319)</f>
        <v>5. Individuazione dei pericoli, valutazione dei  rischi</v>
      </c>
      <c r="B9" s="15">
        <f>Analyse!C319</f>
        <v>3.4090909090909088E-2</v>
      </c>
      <c r="C9" s="60">
        <f>B9</f>
        <v>3.4090909090909088E-2</v>
      </c>
      <c r="D9" s="224">
        <f>Analyse!L319</f>
        <v>3.4090909090909088E-2</v>
      </c>
      <c r="E9" s="60">
        <f t="shared" si="2"/>
        <v>3.4090909090909088E-2</v>
      </c>
      <c r="F9" s="13"/>
      <c r="G9" s="225">
        <f t="shared" si="0"/>
        <v>0</v>
      </c>
      <c r="H9" s="10"/>
      <c r="I9" s="10"/>
      <c r="J9" s="10"/>
    </row>
    <row r="10" spans="1:10" ht="30" customHeight="1" x14ac:dyDescent="0.25">
      <c r="A10" s="14" t="str">
        <f>CONCATENATE(Analyse!A368," ",Analyse!B368)</f>
        <v>6. Misure</v>
      </c>
      <c r="B10" s="15">
        <f>Analyse!C368</f>
        <v>0</v>
      </c>
      <c r="C10" s="60">
        <f t="shared" si="1"/>
        <v>0</v>
      </c>
      <c r="D10" s="224">
        <f>Analyse!L368</f>
        <v>0</v>
      </c>
      <c r="E10" s="60">
        <f t="shared" si="2"/>
        <v>0</v>
      </c>
      <c r="F10" s="13"/>
      <c r="G10" s="225">
        <f t="shared" si="0"/>
        <v>0</v>
      </c>
      <c r="H10" s="10"/>
      <c r="I10" s="10"/>
      <c r="J10" s="10"/>
    </row>
    <row r="11" spans="1:10" ht="30" customHeight="1" x14ac:dyDescent="0.25">
      <c r="A11" s="14" t="str">
        <f>CONCATENATE(Analyse!A392," ",Analyse!B392)</f>
        <v>7. Organizzazione per i casi di emergenza</v>
      </c>
      <c r="B11" s="15">
        <f>Analyse!C392</f>
        <v>0</v>
      </c>
      <c r="C11" s="60">
        <f t="shared" si="1"/>
        <v>0</v>
      </c>
      <c r="D11" s="224">
        <f>Analyse!L392</f>
        <v>0</v>
      </c>
      <c r="E11" s="60">
        <f t="shared" si="2"/>
        <v>0</v>
      </c>
      <c r="F11" s="13"/>
      <c r="G11" s="225">
        <f t="shared" si="0"/>
        <v>0</v>
      </c>
      <c r="H11" s="10"/>
      <c r="I11" s="10"/>
      <c r="J11" s="10"/>
    </row>
    <row r="12" spans="1:10" ht="30" customHeight="1" x14ac:dyDescent="0.25">
      <c r="A12" s="14" t="str">
        <f>CONCATENATE(Analyse!A429," ",Analyse!B429)</f>
        <v>8. Partecipazione</v>
      </c>
      <c r="B12" s="15">
        <f>Analyse!C429</f>
        <v>0</v>
      </c>
      <c r="C12" s="60">
        <f t="shared" si="1"/>
        <v>0</v>
      </c>
      <c r="D12" s="224">
        <f>Analyse!L429</f>
        <v>0</v>
      </c>
      <c r="E12" s="60">
        <f t="shared" si="2"/>
        <v>0</v>
      </c>
      <c r="F12" s="13"/>
      <c r="G12" s="225">
        <f t="shared" si="0"/>
        <v>0</v>
      </c>
      <c r="H12" s="10"/>
      <c r="I12" s="10"/>
      <c r="J12" s="10"/>
    </row>
    <row r="13" spans="1:10" ht="30" customHeight="1" x14ac:dyDescent="0.25">
      <c r="A13" s="14" t="str">
        <f>CONCATENATE(Analyse!A445," ",Analyse!B445)</f>
        <v>9. Tutela della salute</v>
      </c>
      <c r="B13" s="15">
        <f>Analyse!C445</f>
        <v>0.15833333333333333</v>
      </c>
      <c r="C13" s="60">
        <f t="shared" si="1"/>
        <v>0.15833333333333333</v>
      </c>
      <c r="D13" s="224">
        <f>Analyse!L445</f>
        <v>0.15833333333333333</v>
      </c>
      <c r="E13" s="60">
        <f t="shared" si="2"/>
        <v>0.15833333333333333</v>
      </c>
      <c r="F13" s="13"/>
      <c r="G13" s="225">
        <f t="shared" si="0"/>
        <v>0</v>
      </c>
      <c r="H13" s="10"/>
      <c r="I13" s="10"/>
      <c r="J13" s="10"/>
    </row>
    <row r="14" spans="1:10" ht="30" customHeight="1" x14ac:dyDescent="0.25">
      <c r="A14" s="14" t="str">
        <f>CONCATENATE(Analyse!A556," ",Analyse!B556)</f>
        <v>10. Controllo</v>
      </c>
      <c r="B14" s="15">
        <f>Analyse!C556</f>
        <v>0</v>
      </c>
      <c r="C14" s="60">
        <f t="shared" si="1"/>
        <v>0</v>
      </c>
      <c r="D14" s="224">
        <f>Analyse!L556</f>
        <v>0</v>
      </c>
      <c r="E14" s="60">
        <f t="shared" si="2"/>
        <v>0</v>
      </c>
      <c r="F14" s="13"/>
      <c r="G14" s="240">
        <f t="shared" si="0"/>
        <v>0</v>
      </c>
      <c r="H14" s="10"/>
      <c r="I14" s="10"/>
      <c r="J14" s="10"/>
    </row>
    <row r="15" spans="1:10" ht="30" customHeight="1" x14ac:dyDescent="0.25">
      <c r="A15" s="14" t="str">
        <f>CONCATENATE(Analyse!A587," ",Analyse!B587)</f>
        <v>11. Assenze</v>
      </c>
      <c r="B15" s="15">
        <f>Analyse!C587</f>
        <v>0</v>
      </c>
      <c r="C15" s="60">
        <f t="shared" si="1"/>
        <v>0</v>
      </c>
      <c r="D15" s="224">
        <f>Analyse!L587</f>
        <v>0</v>
      </c>
      <c r="E15" s="60">
        <f t="shared" si="2"/>
        <v>0</v>
      </c>
      <c r="F15" s="13"/>
      <c r="G15" s="225">
        <f t="shared" si="0"/>
        <v>0</v>
      </c>
      <c r="H15" s="10"/>
      <c r="I15" s="10"/>
      <c r="J15" s="10"/>
    </row>
    <row r="16" spans="1:10" ht="30" customHeight="1" x14ac:dyDescent="0.25">
      <c r="A16" s="14" t="str">
        <f>CONCATENATE(Analyse!A607," ",Analyse!B607)</f>
        <v>12 Sicurezza nel tempo libero (parte facoltativa)</v>
      </c>
      <c r="B16" s="15">
        <f>Analyse!C607</f>
        <v>0</v>
      </c>
      <c r="C16" s="60">
        <f>B16</f>
        <v>0</v>
      </c>
      <c r="D16" s="224">
        <f>Analyse!L607</f>
        <v>0</v>
      </c>
      <c r="E16" s="60">
        <f t="shared" ref="E16:E18" si="3">D16</f>
        <v>0</v>
      </c>
      <c r="F16" s="13"/>
      <c r="G16" s="225">
        <f t="shared" ref="G16:G18" si="4">E16-C16</f>
        <v>0</v>
      </c>
      <c r="H16" s="10"/>
      <c r="I16" s="10"/>
      <c r="J16" s="10"/>
    </row>
    <row r="17" spans="1:10" ht="30" customHeight="1" x14ac:dyDescent="0.25">
      <c r="A17" s="14" t="str">
        <f>CONCATENATE(Analyse!A629," ",Analyse!B629)</f>
        <v>13 GSA: gestione della salute in azienda (parte facoltativa)</v>
      </c>
      <c r="B17" s="15">
        <f>Analyse!C629</f>
        <v>0</v>
      </c>
      <c r="C17" s="60">
        <f t="shared" ref="C17:C18" si="5">B17</f>
        <v>0</v>
      </c>
      <c r="D17" s="224">
        <f>Analyse!L629</f>
        <v>0</v>
      </c>
      <c r="E17" s="60">
        <f t="shared" si="3"/>
        <v>0</v>
      </c>
      <c r="F17" s="13"/>
      <c r="G17" s="225">
        <f t="shared" si="4"/>
        <v>0</v>
      </c>
      <c r="H17" s="10"/>
      <c r="I17" s="10"/>
      <c r="J17" s="10"/>
    </row>
    <row r="18" spans="1:10" ht="30" customHeight="1" x14ac:dyDescent="0.25">
      <c r="A18" s="14" t="str">
        <f>CONCATENATE(Analyse!A657," ",Analyse!B657)</f>
        <v>14 Ampliamento per l'ISO 45001 (parte facoltativa)</v>
      </c>
      <c r="B18" s="15">
        <f>Analyse!C657</f>
        <v>0</v>
      </c>
      <c r="C18" s="60">
        <f t="shared" si="5"/>
        <v>0</v>
      </c>
      <c r="D18" s="224">
        <f>Analyse!L657</f>
        <v>0</v>
      </c>
      <c r="E18" s="60">
        <f t="shared" si="3"/>
        <v>0</v>
      </c>
      <c r="F18" s="13"/>
      <c r="G18" s="225">
        <f t="shared" si="4"/>
        <v>0</v>
      </c>
      <c r="H18" s="10"/>
      <c r="I18" s="10"/>
      <c r="J18" s="10"/>
    </row>
    <row r="19" spans="1:10" ht="21" x14ac:dyDescent="0.25">
      <c r="A19" s="12"/>
      <c r="B19" s="11"/>
      <c r="C19" s="11"/>
      <c r="D19" s="10"/>
      <c r="E19" s="10"/>
      <c r="F19" s="10"/>
      <c r="G19" s="10"/>
      <c r="H19" s="10"/>
      <c r="I19" s="10"/>
      <c r="J19" s="10"/>
    </row>
    <row r="20" spans="1:10" ht="21" x14ac:dyDescent="0.25">
      <c r="A20" s="12"/>
      <c r="B20" s="11"/>
      <c r="C20" s="11"/>
      <c r="D20" s="10"/>
      <c r="E20" s="10"/>
      <c r="F20" s="10"/>
      <c r="G20" s="10"/>
      <c r="H20" s="10"/>
      <c r="I20" s="10"/>
      <c r="J20" s="10"/>
    </row>
    <row r="21" spans="1:10" ht="21" x14ac:dyDescent="0.25">
      <c r="A21" s="12"/>
      <c r="B21" s="11"/>
      <c r="C21" s="11"/>
      <c r="D21" s="10"/>
      <c r="E21" s="10"/>
      <c r="F21" s="10"/>
      <c r="G21" s="10"/>
      <c r="H21" s="10"/>
      <c r="I21" s="10"/>
      <c r="J21" s="10"/>
    </row>
    <row r="22" spans="1:10" ht="21" x14ac:dyDescent="0.25">
      <c r="A22" s="12"/>
      <c r="B22" s="11"/>
      <c r="C22" s="11"/>
      <c r="D22" s="10"/>
      <c r="E22" s="10"/>
      <c r="F22" s="10"/>
      <c r="G22" s="10"/>
      <c r="H22" s="10"/>
      <c r="I22" s="10"/>
      <c r="J22" s="10"/>
    </row>
    <row r="23" spans="1:10" ht="21" x14ac:dyDescent="0.25">
      <c r="A23" s="12"/>
      <c r="B23" s="11"/>
      <c r="C23" s="11"/>
      <c r="D23" s="10"/>
      <c r="E23" s="10"/>
      <c r="F23" s="10"/>
      <c r="G23" s="10"/>
      <c r="H23" s="10"/>
      <c r="I23" s="10"/>
      <c r="J23" s="10"/>
    </row>
  </sheetData>
  <sheetProtection selectLockedCells="1"/>
  <mergeCells count="3">
    <mergeCell ref="B3:C3"/>
    <mergeCell ref="D3:E3"/>
    <mergeCell ref="B2:E2"/>
  </mergeCells>
  <pageMargins left="0.78740157499999996" right="0.78740157499999996" top="0.984251969" bottom="0.984251969" header="0.4921259845" footer="0.4921259845"/>
  <pageSetup paperSize="9"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70"/>
  <sheetViews>
    <sheetView workbookViewId="0">
      <selection activeCell="B13" sqref="B13"/>
    </sheetView>
  </sheetViews>
  <sheetFormatPr defaultColWidth="11.44140625" defaultRowHeight="14.4" x14ac:dyDescent="0.3"/>
  <cols>
    <col min="1" max="1" width="13.5546875" customWidth="1"/>
    <col min="2" max="2" width="26.109375" customWidth="1"/>
    <col min="3" max="3" width="101.88671875" customWidth="1"/>
  </cols>
  <sheetData>
    <row r="1" spans="1:3" ht="17.399999999999999" x14ac:dyDescent="0.3">
      <c r="A1" s="247" t="s">
        <v>1574</v>
      </c>
    </row>
    <row r="3" spans="1:3" x14ac:dyDescent="0.3">
      <c r="A3" s="248" t="s">
        <v>1575</v>
      </c>
      <c r="B3" s="248" t="s">
        <v>1576</v>
      </c>
      <c r="C3" s="248" t="s">
        <v>1577</v>
      </c>
    </row>
    <row r="4" spans="1:3" x14ac:dyDescent="0.3">
      <c r="A4" s="280" t="s">
        <v>1578</v>
      </c>
      <c r="B4" s="265" t="s">
        <v>1579</v>
      </c>
      <c r="C4" s="265" t="s">
        <v>1580</v>
      </c>
    </row>
    <row r="5" spans="1:3" x14ac:dyDescent="0.3">
      <c r="A5" s="281" t="s">
        <v>1581</v>
      </c>
      <c r="B5" s="266"/>
      <c r="C5" s="266"/>
    </row>
    <row r="6" spans="1:3" x14ac:dyDescent="0.3">
      <c r="A6" s="282">
        <v>45061</v>
      </c>
      <c r="B6" s="266"/>
      <c r="C6" s="266"/>
    </row>
    <row r="7" spans="1:3" x14ac:dyDescent="0.3">
      <c r="A7" s="282"/>
      <c r="B7" s="266" t="s">
        <v>1582</v>
      </c>
      <c r="C7" s="266" t="s">
        <v>1583</v>
      </c>
    </row>
    <row r="8" spans="1:3" x14ac:dyDescent="0.3">
      <c r="A8" s="282"/>
      <c r="B8" s="266" t="s">
        <v>1579</v>
      </c>
      <c r="C8" s="266" t="s">
        <v>1583</v>
      </c>
    </row>
    <row r="9" spans="1:3" x14ac:dyDescent="0.3">
      <c r="A9" s="250" t="s">
        <v>1584</v>
      </c>
      <c r="B9" s="277" t="s">
        <v>1585</v>
      </c>
      <c r="C9" s="278" t="s">
        <v>1586</v>
      </c>
    </row>
    <row r="10" spans="1:3" x14ac:dyDescent="0.3">
      <c r="A10" s="262" t="s">
        <v>1581</v>
      </c>
      <c r="B10" s="251"/>
      <c r="C10" s="279"/>
    </row>
    <row r="11" spans="1:3" x14ac:dyDescent="0.3">
      <c r="A11" s="263">
        <v>45028</v>
      </c>
      <c r="B11" s="251"/>
      <c r="C11" s="279"/>
    </row>
    <row r="12" spans="1:3" x14ac:dyDescent="0.3">
      <c r="A12" s="263"/>
      <c r="B12" s="251" t="s">
        <v>1582</v>
      </c>
      <c r="C12" s="279" t="s">
        <v>1583</v>
      </c>
    </row>
    <row r="13" spans="1:3" x14ac:dyDescent="0.3">
      <c r="A13" s="263"/>
      <c r="B13" s="291" t="s">
        <v>1579</v>
      </c>
      <c r="C13" s="279" t="s">
        <v>1583</v>
      </c>
    </row>
    <row r="14" spans="1:3" x14ac:dyDescent="0.3">
      <c r="A14" s="280" t="s">
        <v>1587</v>
      </c>
      <c r="B14" s="265" t="s">
        <v>1579</v>
      </c>
      <c r="C14" s="265" t="s">
        <v>1588</v>
      </c>
    </row>
    <row r="15" spans="1:3" x14ac:dyDescent="0.3">
      <c r="A15" s="281" t="s">
        <v>1581</v>
      </c>
      <c r="B15" s="266" t="s">
        <v>1582</v>
      </c>
      <c r="C15" s="266" t="s">
        <v>1583</v>
      </c>
    </row>
    <row r="16" spans="1:3" x14ac:dyDescent="0.3">
      <c r="A16" s="282">
        <v>44841</v>
      </c>
      <c r="B16" s="266" t="s">
        <v>1589</v>
      </c>
      <c r="C16" s="266" t="s">
        <v>1590</v>
      </c>
    </row>
    <row r="17" spans="1:3" x14ac:dyDescent="0.3">
      <c r="A17" s="282"/>
      <c r="B17" s="266" t="s">
        <v>1589</v>
      </c>
      <c r="C17" s="266" t="s">
        <v>1591</v>
      </c>
    </row>
    <row r="18" spans="1:3" x14ac:dyDescent="0.3">
      <c r="A18" s="282"/>
      <c r="B18" s="266" t="s">
        <v>1579</v>
      </c>
      <c r="C18" s="266" t="s">
        <v>1592</v>
      </c>
    </row>
    <row r="19" spans="1:3" x14ac:dyDescent="0.3">
      <c r="A19" s="249"/>
      <c r="B19" s="266"/>
      <c r="C19" s="283"/>
    </row>
    <row r="20" spans="1:3" x14ac:dyDescent="0.3">
      <c r="A20" s="250" t="s">
        <v>1593</v>
      </c>
      <c r="B20" s="277" t="s">
        <v>1579</v>
      </c>
      <c r="C20" s="278" t="s">
        <v>1588</v>
      </c>
    </row>
    <row r="21" spans="1:3" x14ac:dyDescent="0.3">
      <c r="A21" s="262" t="s">
        <v>1581</v>
      </c>
      <c r="B21" s="251" t="s">
        <v>1582</v>
      </c>
      <c r="C21" s="279" t="s">
        <v>1583</v>
      </c>
    </row>
    <row r="22" spans="1:3" x14ac:dyDescent="0.3">
      <c r="A22" s="263">
        <v>43712</v>
      </c>
      <c r="B22" s="251" t="s">
        <v>1579</v>
      </c>
      <c r="C22" s="279" t="s">
        <v>1594</v>
      </c>
    </row>
    <row r="23" spans="1:3" x14ac:dyDescent="0.3">
      <c r="A23" s="263"/>
      <c r="B23" s="251" t="s">
        <v>1595</v>
      </c>
      <c r="C23" s="279" t="s">
        <v>1596</v>
      </c>
    </row>
    <row r="24" spans="1:3" x14ac:dyDescent="0.3">
      <c r="A24" s="263"/>
      <c r="B24" s="291" t="s">
        <v>1589</v>
      </c>
      <c r="C24" s="279" t="s">
        <v>1597</v>
      </c>
    </row>
    <row r="25" spans="1:3" x14ac:dyDescent="0.3">
      <c r="A25" s="280" t="s">
        <v>1598</v>
      </c>
      <c r="B25" s="265" t="s">
        <v>1579</v>
      </c>
      <c r="C25" s="265" t="s">
        <v>1588</v>
      </c>
    </row>
    <row r="26" spans="1:3" x14ac:dyDescent="0.3">
      <c r="A26" s="281" t="s">
        <v>1581</v>
      </c>
      <c r="B26" s="266" t="s">
        <v>1582</v>
      </c>
      <c r="C26" s="266" t="s">
        <v>1583</v>
      </c>
    </row>
    <row r="27" spans="1:3" x14ac:dyDescent="0.3">
      <c r="A27" s="282">
        <v>42913</v>
      </c>
      <c r="B27" s="266" t="s">
        <v>1589</v>
      </c>
      <c r="C27" s="266" t="s">
        <v>1599</v>
      </c>
    </row>
    <row r="28" spans="1:3" x14ac:dyDescent="0.3">
      <c r="A28" s="282"/>
      <c r="B28" s="266" t="s">
        <v>1589</v>
      </c>
      <c r="C28" s="266" t="s">
        <v>1600</v>
      </c>
    </row>
    <row r="29" spans="1:3" x14ac:dyDescent="0.3">
      <c r="A29" s="282"/>
      <c r="B29" s="266" t="s">
        <v>1589</v>
      </c>
      <c r="C29" s="266" t="s">
        <v>1601</v>
      </c>
    </row>
    <row r="30" spans="1:3" x14ac:dyDescent="0.3">
      <c r="A30" s="282"/>
      <c r="B30" s="266" t="s">
        <v>1589</v>
      </c>
      <c r="C30" s="283" t="s">
        <v>1602</v>
      </c>
    </row>
    <row r="31" spans="1:3" x14ac:dyDescent="0.3">
      <c r="A31" s="282"/>
      <c r="B31" s="266" t="s">
        <v>1589</v>
      </c>
      <c r="C31" s="283" t="s">
        <v>1603</v>
      </c>
    </row>
    <row r="32" spans="1:3" x14ac:dyDescent="0.3">
      <c r="A32" s="282"/>
      <c r="B32" s="266" t="s">
        <v>1589</v>
      </c>
      <c r="C32" s="283" t="s">
        <v>1604</v>
      </c>
    </row>
    <row r="33" spans="1:3" x14ac:dyDescent="0.3">
      <c r="A33" s="282"/>
      <c r="B33" s="266" t="s">
        <v>1605</v>
      </c>
      <c r="C33" s="283" t="s">
        <v>1606</v>
      </c>
    </row>
    <row r="34" spans="1:3" x14ac:dyDescent="0.3">
      <c r="A34" s="249"/>
      <c r="B34" s="266"/>
      <c r="C34" s="283"/>
    </row>
    <row r="35" spans="1:3" x14ac:dyDescent="0.3">
      <c r="A35" s="250" t="s">
        <v>1607</v>
      </c>
      <c r="B35" s="277" t="s">
        <v>1579</v>
      </c>
      <c r="C35" s="278" t="s">
        <v>1588</v>
      </c>
    </row>
    <row r="36" spans="1:3" x14ac:dyDescent="0.3">
      <c r="A36" s="262" t="s">
        <v>1581</v>
      </c>
      <c r="B36" s="251" t="s">
        <v>1582</v>
      </c>
      <c r="C36" s="279" t="s">
        <v>1583</v>
      </c>
    </row>
    <row r="37" spans="1:3" x14ac:dyDescent="0.3">
      <c r="A37" s="263">
        <v>42555</v>
      </c>
      <c r="B37" s="251" t="s">
        <v>1589</v>
      </c>
      <c r="C37" s="279" t="s">
        <v>1608</v>
      </c>
    </row>
    <row r="38" spans="1:3" x14ac:dyDescent="0.3">
      <c r="A38" s="263"/>
      <c r="B38" s="251" t="s">
        <v>1589</v>
      </c>
      <c r="C38" s="279" t="s">
        <v>1609</v>
      </c>
    </row>
    <row r="39" spans="1:3" x14ac:dyDescent="0.3">
      <c r="A39" s="263"/>
      <c r="B39" s="251" t="s">
        <v>1589</v>
      </c>
      <c r="C39" s="279" t="s">
        <v>1610</v>
      </c>
    </row>
    <row r="40" spans="1:3" x14ac:dyDescent="0.3">
      <c r="A40" s="263"/>
      <c r="B40" s="251" t="s">
        <v>1589</v>
      </c>
      <c r="C40" s="279" t="s">
        <v>1611</v>
      </c>
    </row>
    <row r="41" spans="1:3" x14ac:dyDescent="0.3">
      <c r="A41" s="252"/>
      <c r="B41" s="251" t="s">
        <v>1612</v>
      </c>
      <c r="C41" s="279" t="s">
        <v>1613</v>
      </c>
    </row>
    <row r="42" spans="1:3" x14ac:dyDescent="0.3">
      <c r="A42" s="280" t="s">
        <v>1614</v>
      </c>
      <c r="B42" s="265" t="s">
        <v>1579</v>
      </c>
      <c r="C42" s="265" t="s">
        <v>1588</v>
      </c>
    </row>
    <row r="43" spans="1:3" x14ac:dyDescent="0.3">
      <c r="A43" s="281" t="s">
        <v>1581</v>
      </c>
      <c r="B43" s="266" t="s">
        <v>1582</v>
      </c>
      <c r="C43" s="266" t="s">
        <v>1583</v>
      </c>
    </row>
    <row r="44" spans="1:3" x14ac:dyDescent="0.3">
      <c r="A44" s="282">
        <v>42499</v>
      </c>
      <c r="B44" s="266" t="s">
        <v>1589</v>
      </c>
      <c r="C44" s="266" t="s">
        <v>1615</v>
      </c>
    </row>
    <row r="45" spans="1:3" x14ac:dyDescent="0.3">
      <c r="A45" s="249"/>
      <c r="B45" s="267"/>
      <c r="C45" s="267"/>
    </row>
    <row r="46" spans="1:3" x14ac:dyDescent="0.3">
      <c r="A46" s="250" t="s">
        <v>1616</v>
      </c>
      <c r="B46" s="250"/>
      <c r="C46" s="274" t="s">
        <v>1617</v>
      </c>
    </row>
    <row r="47" spans="1:3" x14ac:dyDescent="0.3">
      <c r="A47" s="262" t="s">
        <v>1581</v>
      </c>
      <c r="B47" s="273" t="s">
        <v>1579</v>
      </c>
      <c r="C47" s="275" t="s">
        <v>1588</v>
      </c>
    </row>
    <row r="48" spans="1:3" x14ac:dyDescent="0.3">
      <c r="A48" s="263">
        <v>42492</v>
      </c>
      <c r="B48" s="273" t="s">
        <v>1582</v>
      </c>
      <c r="C48" s="275" t="s">
        <v>1583</v>
      </c>
    </row>
    <row r="49" spans="1:3" x14ac:dyDescent="0.3">
      <c r="A49" s="263"/>
      <c r="B49" s="273" t="s">
        <v>1618</v>
      </c>
      <c r="C49" s="275" t="s">
        <v>1619</v>
      </c>
    </row>
    <row r="50" spans="1:3" x14ac:dyDescent="0.3">
      <c r="A50" s="263"/>
      <c r="B50" s="273" t="s">
        <v>1589</v>
      </c>
      <c r="C50" s="275" t="s">
        <v>1620</v>
      </c>
    </row>
    <row r="51" spans="1:3" x14ac:dyDescent="0.3">
      <c r="A51" s="263"/>
      <c r="B51" s="273" t="s">
        <v>1589</v>
      </c>
      <c r="C51" s="275" t="s">
        <v>1621</v>
      </c>
    </row>
    <row r="52" spans="1:3" x14ac:dyDescent="0.3">
      <c r="A52" s="263"/>
      <c r="B52" s="273" t="s">
        <v>1589</v>
      </c>
      <c r="C52" s="275" t="s">
        <v>1622</v>
      </c>
    </row>
    <row r="53" spans="1:3" x14ac:dyDescent="0.3">
      <c r="A53" s="263"/>
      <c r="B53" s="273" t="s">
        <v>1589</v>
      </c>
      <c r="C53" s="275" t="s">
        <v>1623</v>
      </c>
    </row>
    <row r="54" spans="1:3" x14ac:dyDescent="0.3">
      <c r="A54" s="263"/>
      <c r="B54" s="273" t="s">
        <v>1589</v>
      </c>
      <c r="C54" s="275" t="s">
        <v>1624</v>
      </c>
    </row>
    <row r="55" spans="1:3" x14ac:dyDescent="0.3">
      <c r="A55" s="263"/>
      <c r="B55" s="273" t="s">
        <v>1589</v>
      </c>
      <c r="C55" s="275" t="s">
        <v>1625</v>
      </c>
    </row>
    <row r="56" spans="1:3" x14ac:dyDescent="0.3">
      <c r="A56" s="263"/>
      <c r="B56" s="273" t="s">
        <v>1626</v>
      </c>
      <c r="C56" s="251" t="s">
        <v>1627</v>
      </c>
    </row>
    <row r="57" spans="1:3" x14ac:dyDescent="0.3">
      <c r="A57" s="263"/>
      <c r="B57" s="273" t="s">
        <v>1628</v>
      </c>
      <c r="C57" s="251" t="s">
        <v>1627</v>
      </c>
    </row>
    <row r="58" spans="1:3" x14ac:dyDescent="0.3">
      <c r="A58" s="263"/>
      <c r="B58" s="273" t="s">
        <v>1629</v>
      </c>
      <c r="C58" s="251" t="s">
        <v>1630</v>
      </c>
    </row>
    <row r="59" spans="1:3" x14ac:dyDescent="0.3">
      <c r="A59" s="263"/>
      <c r="B59" s="273" t="s">
        <v>1574</v>
      </c>
      <c r="C59" s="251" t="s">
        <v>1631</v>
      </c>
    </row>
    <row r="60" spans="1:3" x14ac:dyDescent="0.3">
      <c r="A60" s="263"/>
      <c r="B60" s="273" t="s">
        <v>1579</v>
      </c>
      <c r="C60" s="251" t="s">
        <v>1588</v>
      </c>
    </row>
    <row r="61" spans="1:3" x14ac:dyDescent="0.3">
      <c r="A61" s="263"/>
      <c r="B61" s="273" t="s">
        <v>1582</v>
      </c>
      <c r="C61" s="251" t="s">
        <v>1632</v>
      </c>
    </row>
    <row r="62" spans="1:3" x14ac:dyDescent="0.3">
      <c r="A62" s="263"/>
      <c r="B62" s="273"/>
      <c r="C62" s="275" t="s">
        <v>1633</v>
      </c>
    </row>
    <row r="63" spans="1:3" x14ac:dyDescent="0.3">
      <c r="A63" s="263"/>
      <c r="B63" s="273"/>
      <c r="C63" s="275" t="s">
        <v>1634</v>
      </c>
    </row>
    <row r="64" spans="1:3" x14ac:dyDescent="0.3">
      <c r="A64" s="263"/>
      <c r="B64" s="252"/>
      <c r="C64" s="276" t="s">
        <v>1635</v>
      </c>
    </row>
    <row r="65" spans="1:3" x14ac:dyDescent="0.3">
      <c r="A65" s="265" t="s">
        <v>1636</v>
      </c>
      <c r="B65" s="266"/>
      <c r="C65" s="266" t="s">
        <v>1637</v>
      </c>
    </row>
    <row r="66" spans="1:3" x14ac:dyDescent="0.3">
      <c r="A66" s="249" t="s">
        <v>1638</v>
      </c>
      <c r="B66" s="266"/>
      <c r="C66" s="266"/>
    </row>
    <row r="67" spans="1:3" x14ac:dyDescent="0.3">
      <c r="A67" s="267"/>
      <c r="B67" s="267"/>
      <c r="C67" s="267"/>
    </row>
    <row r="68" spans="1:3" x14ac:dyDescent="0.3">
      <c r="C68" s="253"/>
    </row>
    <row r="69" spans="1:3" x14ac:dyDescent="0.3">
      <c r="C69" s="253"/>
    </row>
    <row r="70" spans="1:3" x14ac:dyDescent="0.3">
      <c r="C70" s="253"/>
    </row>
  </sheetData>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st xmlns="4b2400fe-f831-49a8-a009-c60ecffd4822" xsi:nil="true"/>
    <lcf76f155ced4ddcb4097134ff3c332f xmlns="4b2400fe-f831-49a8-a009-c60ecffd4822">
      <Terms xmlns="http://schemas.microsoft.com/office/infopath/2007/PartnerControls"/>
    </lcf76f155ced4ddcb4097134ff3c332f>
    <TaxCatchAll xmlns="a808b08c-7c2d-4bd0-a9ec-71cceca54455" xsi:nil="true"/>
    <_Flow_SignoffStatus xmlns="4b2400fe-f831-49a8-a009-c60ecffd4822"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859D6B2F2F8B184B84CD1A0E1ADAAB78" ma:contentTypeVersion="20" ma:contentTypeDescription="Ein neues Dokument erstellen." ma:contentTypeScope="" ma:versionID="3fcfa37e0be72f645c279f7488897fb0">
  <xsd:schema xmlns:xsd="http://www.w3.org/2001/XMLSchema" xmlns:xs="http://www.w3.org/2001/XMLSchema" xmlns:p="http://schemas.microsoft.com/office/2006/metadata/properties" xmlns:ns1="http://schemas.microsoft.com/sharepoint/v3" xmlns:ns2="4b2400fe-f831-49a8-a009-c60ecffd4822" xmlns:ns3="a808b08c-7c2d-4bd0-a9ec-71cceca54455" targetNamespace="http://schemas.microsoft.com/office/2006/metadata/properties" ma:root="true" ma:fieldsID="47a7f7023c42d4d432f1ab1db246cb28" ns1:_="" ns2:_="" ns3:_="">
    <xsd:import namespace="http://schemas.microsoft.com/sharepoint/v3"/>
    <xsd:import namespace="4b2400fe-f831-49a8-a009-c60ecffd4822"/>
    <xsd:import namespace="a808b08c-7c2d-4bd0-a9ec-71cceca5445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_Flow_SignoffStatu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test"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Eigenschaften der einheitlichen Compliancerichtlinie" ma:hidden="true" ma:internalName="_ip_UnifiedCompliancePolicyProperties">
      <xsd:simpleType>
        <xsd:restriction base="dms:Note"/>
      </xsd:simpleType>
    </xsd:element>
    <xsd:element name="_ip_UnifiedCompliancePolicyUIAction" ma:index="26"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2400fe-f831-49a8-a009-c60ecffd48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2" nillable="true" ma:displayName="Status Unterschrift" ma:internalName="Status_x0020_Unterschrift">
      <xsd:simpleType>
        <xsd:restriction base="dms:Text"/>
      </xsd:simpleType>
    </xsd:element>
    <xsd:element name="lcf76f155ced4ddcb4097134ff3c332f" ma:index="14" nillable="true" ma:taxonomy="true" ma:internalName="lcf76f155ced4ddcb4097134ff3c332f" ma:taxonomyFieldName="MediaServiceImageTags" ma:displayName="Bildmarkierungen" ma:readOnly="false" ma:fieldId="{5cf76f15-5ced-4ddc-b409-7134ff3c332f}" ma:taxonomyMulti="true" ma:sspId="5398598b-1692-41ba-b181-08e92b7f9036"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test" ma:index="21" nillable="true" ma:displayName="test" ma:format="Dropdown" ma:internalName="test" ma:percentage="FALSE">
      <xsd:simpleType>
        <xsd:restriction base="dms:Number"/>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08b08c-7c2d-4bd0-a9ec-71cceca54455"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5" nillable="true" ma:displayName="Taxonomy Catch All Column" ma:hidden="true" ma:list="{d1db793e-95a7-416f-a27c-636b26f16c80}" ma:internalName="TaxCatchAll" ma:showField="CatchAllData" ma:web="a808b08c-7c2d-4bd0-a9ec-71cceca544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75DB92-9333-408F-A044-4BE8DF075356}">
  <ds:schemaRefs>
    <ds:schemaRef ds:uri="http://schemas.microsoft.com/office/2006/metadata/properties"/>
    <ds:schemaRef ds:uri="http://schemas.microsoft.com/office/infopath/2007/PartnerControls"/>
    <ds:schemaRef ds:uri="4b2400fe-f831-49a8-a009-c60ecffd4822"/>
    <ds:schemaRef ds:uri="a808b08c-7c2d-4bd0-a9ec-71cceca54455"/>
    <ds:schemaRef ds:uri="http://schemas.microsoft.com/sharepoint/v3"/>
  </ds:schemaRefs>
</ds:datastoreItem>
</file>

<file path=customXml/itemProps2.xml><?xml version="1.0" encoding="utf-8"?>
<ds:datastoreItem xmlns:ds="http://schemas.openxmlformats.org/officeDocument/2006/customXml" ds:itemID="{BF4FBFE0-5E53-4E73-81AC-6EE2C99114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b2400fe-f831-49a8-a009-c60ecffd4822"/>
    <ds:schemaRef ds:uri="a808b08c-7c2d-4bd0-a9ec-71cceca544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5AB485-3E6A-4665-A63C-A24991826F43}">
  <ds:schemaRefs>
    <ds:schemaRef ds:uri="http://schemas.microsoft.com/sharepoint/v3/contenttype/forms"/>
  </ds:schemaRefs>
</ds:datastoreItem>
</file>

<file path=docMetadata/LabelInfo.xml><?xml version="1.0" encoding="utf-8"?>
<clbl:labelList xmlns:clbl="http://schemas.microsoft.com/office/2020/mipLabelMetadata">
  <clbl:label id="{40f20d95-30f1-4757-92d7-5495691a0c29}" enabled="1" method="Privileged" siteId="{98616167-5668-4e66-acbf-925e81df8b00}"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8</vt:i4>
      </vt:variant>
      <vt:variant>
        <vt:lpstr>Charts</vt:lpstr>
      </vt:variant>
      <vt:variant>
        <vt:i4>2</vt:i4>
      </vt:variant>
      <vt:variant>
        <vt:lpstr>Named Ranges</vt:lpstr>
      </vt:variant>
      <vt:variant>
        <vt:i4>6</vt:i4>
      </vt:variant>
    </vt:vector>
  </HeadingPairs>
  <TitlesOfParts>
    <vt:vector size="16" baseType="lpstr">
      <vt:lpstr>Guida</vt:lpstr>
      <vt:lpstr>Dati aziendali</vt:lpstr>
      <vt:lpstr>Persone chiavi per la sicurezza</vt:lpstr>
      <vt:lpstr>Autovalutazione</vt:lpstr>
      <vt:lpstr>Allegati</vt:lpstr>
      <vt:lpstr>Analyse</vt:lpstr>
      <vt:lpstr>Auswertungen</vt:lpstr>
      <vt:lpstr>Versionenprotokoll</vt:lpstr>
      <vt:lpstr>Spinne ohne FZ, BGM, ISO45001</vt:lpstr>
      <vt:lpstr>Spinne mit FZ, BGM, ISO45001</vt:lpstr>
      <vt:lpstr>Analyse!Print_Area</vt:lpstr>
      <vt:lpstr>'Persone chiavi per la sicurezza'!Print_Area</vt:lpstr>
      <vt:lpstr>Autovalutazione!Print_Titles</vt:lpstr>
      <vt:lpstr>'Dati aziendali'!Print_Titles</vt:lpstr>
      <vt:lpstr>'Persone chiavi per la sicurezza'!Print_Titles</vt:lpstr>
      <vt:lpstr>Spinne1</vt:lpstr>
    </vt:vector>
  </TitlesOfParts>
  <Manager/>
  <Company>SUVA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Martinez Lopez Victor (MVD)</dc:creator>
  <cp:keywords/>
  <dc:description/>
  <cp:lastModifiedBy>DeCaro Oliver (OLD)</cp:lastModifiedBy>
  <cp:revision/>
  <dcterms:created xsi:type="dcterms:W3CDTF">2015-04-27T06:23:23Z</dcterms:created>
  <dcterms:modified xsi:type="dcterms:W3CDTF">2026-01-06T05:24:28Z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f20d95-30f1-4757-92d7-5495691a0c29_Enabled">
    <vt:lpwstr>true</vt:lpwstr>
  </property>
  <property fmtid="{D5CDD505-2E9C-101B-9397-08002B2CF9AE}" pid="3" name="MSIP_Label_40f20d95-30f1-4757-92d7-5495691a0c29_SetDate">
    <vt:lpwstr>2023-04-12T06:25:17Z</vt:lpwstr>
  </property>
  <property fmtid="{D5CDD505-2E9C-101B-9397-08002B2CF9AE}" pid="4" name="MSIP_Label_40f20d95-30f1-4757-92d7-5495691a0c29_Method">
    <vt:lpwstr>Privileged</vt:lpwstr>
  </property>
  <property fmtid="{D5CDD505-2E9C-101B-9397-08002B2CF9AE}" pid="5" name="MSIP_Label_40f20d95-30f1-4757-92d7-5495691a0c29_Name">
    <vt:lpwstr>Intern</vt:lpwstr>
  </property>
  <property fmtid="{D5CDD505-2E9C-101B-9397-08002B2CF9AE}" pid="6" name="MSIP_Label_40f20d95-30f1-4757-92d7-5495691a0c29_SiteId">
    <vt:lpwstr>98616167-5668-4e66-acbf-925e81df8b00</vt:lpwstr>
  </property>
  <property fmtid="{D5CDD505-2E9C-101B-9397-08002B2CF9AE}" pid="7" name="MSIP_Label_40f20d95-30f1-4757-92d7-5495691a0c29_ActionId">
    <vt:lpwstr>46296a60-ce9d-4598-b5ba-1031c7cdec5b</vt:lpwstr>
  </property>
  <property fmtid="{D5CDD505-2E9C-101B-9397-08002B2CF9AE}" pid="8" name="MSIP_Label_40f20d95-30f1-4757-92d7-5495691a0c29_ContentBits">
    <vt:lpwstr>0</vt:lpwstr>
  </property>
  <property fmtid="{D5CDD505-2E9C-101B-9397-08002B2CF9AE}" pid="9" name="ContentTypeId">
    <vt:lpwstr>0x010100859D6B2F2F8B184B84CD1A0E1ADAAB78</vt:lpwstr>
  </property>
</Properties>
</file>