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C:\Temp\github\"/>
    </mc:Choice>
  </mc:AlternateContent>
  <xr:revisionPtr revIDLastSave="0" documentId="13_ncr:1_{0470293E-8A68-416A-8AF4-6EDFD86F9472}" xr6:coauthVersionLast="47" xr6:coauthVersionMax="47" xr10:uidLastSave="{00000000-0000-0000-0000-000000000000}"/>
  <bookViews>
    <workbookView xWindow="-108" yWindow="-108" windowWidth="23256" windowHeight="13896" activeTab="3" xr2:uid="{00000000-000D-0000-FFFF-FFFF00000000}"/>
  </bookViews>
  <sheets>
    <sheet name="Anleitung" sheetId="33" r:id="rId1"/>
    <sheet name="Betriebsspiegel" sheetId="15" r:id="rId2"/>
    <sheet name="Schlüsselpersonen Sicherheit" sheetId="17" r:id="rId3"/>
    <sheet name="Selbstbeurteilung Kunde" sheetId="13" r:id="rId4"/>
    <sheet name="Übersicht Anhänge" sheetId="18" r:id="rId5"/>
    <sheet name="Analyse" sheetId="19" r:id="rId6"/>
    <sheet name="Auswertungen" sheetId="9" r:id="rId7"/>
    <sheet name="Spinne ohne FZ, BGM, ISO45001" sheetId="31" r:id="rId8"/>
    <sheet name="Spinne mit FZ, BGM, ISO45001" sheetId="32" r:id="rId9"/>
    <sheet name="Versionenprotokoll" sheetId="36" r:id="rId10"/>
  </sheets>
  <definedNames>
    <definedName name="_xlnm._FilterDatabase" localSheetId="5" hidden="1">Analyse!$A$1:$R$668</definedName>
    <definedName name="_xlnm._FilterDatabase" localSheetId="3" hidden="1">'Selbstbeurteilung Kunde'!$A$2:$G$648</definedName>
    <definedName name="_xlnm._FilterDatabase" localSheetId="4" hidden="1">'Übersicht Anhänge'!$A$1:$B$42</definedName>
    <definedName name="_xlnm.Print_Area" localSheetId="5">Analyse!$A:$L</definedName>
    <definedName name="_xlnm.Print_Area" localSheetId="2">'Schlüsselpersonen Sicherheit'!$A:$B</definedName>
    <definedName name="_xlnm.Print_Titles" localSheetId="1">Betriebsspiegel!$2:$2</definedName>
    <definedName name="_xlnm.Print_Titles" localSheetId="2">'Schlüsselpersonen Sicherheit'!$2:$2</definedName>
    <definedName name="_xlnm.Print_Titles" localSheetId="3">'Selbstbeurteilung Kunde'!$2:$2</definedName>
    <definedName name="Spinne1">Analyse!$C$4</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19" l="1"/>
  <c r="D679" i="19"/>
  <c r="D678" i="19"/>
  <c r="D677" i="19"/>
  <c r="D676" i="19"/>
  <c r="D674" i="19"/>
  <c r="D672" i="19"/>
  <c r="D671" i="19"/>
  <c r="D670" i="19"/>
  <c r="D668" i="19"/>
  <c r="D666" i="19"/>
  <c r="D665" i="19"/>
  <c r="D663" i="19"/>
  <c r="D661" i="19"/>
  <c r="D660" i="19"/>
  <c r="D659" i="19"/>
  <c r="D656" i="19"/>
  <c r="D655" i="19"/>
  <c r="D654" i="19"/>
  <c r="D653" i="19"/>
  <c r="D652" i="19"/>
  <c r="D651" i="19"/>
  <c r="D650" i="19"/>
  <c r="D649" i="19"/>
  <c r="D648" i="19"/>
  <c r="D647" i="19"/>
  <c r="D646" i="19"/>
  <c r="D645" i="19"/>
  <c r="D644" i="19"/>
  <c r="D643" i="19"/>
  <c r="D642" i="19"/>
  <c r="D641" i="19"/>
  <c r="D640" i="19"/>
  <c r="D639" i="19"/>
  <c r="D638" i="19"/>
  <c r="D637" i="19"/>
  <c r="D636" i="19"/>
  <c r="D635" i="19"/>
  <c r="D634" i="19"/>
  <c r="D633" i="19"/>
  <c r="D632" i="19"/>
  <c r="D631" i="19"/>
  <c r="D630" i="19"/>
  <c r="D628" i="19"/>
  <c r="D627" i="19"/>
  <c r="D626" i="19"/>
  <c r="D625" i="19"/>
  <c r="D624" i="19"/>
  <c r="D623" i="19"/>
  <c r="D622" i="19"/>
  <c r="D621" i="19"/>
  <c r="D620" i="19"/>
  <c r="D619" i="19"/>
  <c r="D618" i="19"/>
  <c r="D617" i="19"/>
  <c r="D616" i="19"/>
  <c r="D615" i="19"/>
  <c r="D614" i="19"/>
  <c r="D613" i="19"/>
  <c r="D612" i="19"/>
  <c r="D611" i="19"/>
  <c r="D610" i="19"/>
  <c r="D609" i="19"/>
  <c r="D608" i="19"/>
  <c r="D606" i="19"/>
  <c r="D605" i="19"/>
  <c r="D604" i="19"/>
  <c r="D603" i="19"/>
  <c r="D602" i="19"/>
  <c r="D601" i="19"/>
  <c r="D600" i="19"/>
  <c r="D599" i="19"/>
  <c r="D598" i="19"/>
  <c r="D597" i="19"/>
  <c r="D596" i="19"/>
  <c r="D595" i="19"/>
  <c r="D594" i="19"/>
  <c r="D593" i="19"/>
  <c r="D592" i="19"/>
  <c r="D591" i="19"/>
  <c r="D590" i="19"/>
  <c r="D589" i="19"/>
  <c r="D588" i="19"/>
  <c r="D586" i="19"/>
  <c r="D585" i="19"/>
  <c r="D584" i="19"/>
  <c r="D583" i="19"/>
  <c r="D581" i="19"/>
  <c r="D580" i="19"/>
  <c r="D579" i="19"/>
  <c r="D578" i="19"/>
  <c r="D577" i="19"/>
  <c r="D576" i="19"/>
  <c r="D575" i="19"/>
  <c r="D574" i="19"/>
  <c r="D573" i="19"/>
  <c r="D572" i="19"/>
  <c r="D570" i="19"/>
  <c r="D569" i="19"/>
  <c r="D568" i="19"/>
  <c r="D567" i="19"/>
  <c r="D566" i="19"/>
  <c r="D565" i="19"/>
  <c r="D564" i="19"/>
  <c r="D563" i="19"/>
  <c r="D562" i="19"/>
  <c r="D561" i="19"/>
  <c r="D560" i="19"/>
  <c r="D559" i="19"/>
  <c r="D558" i="19"/>
  <c r="D555" i="19"/>
  <c r="D554" i="19"/>
  <c r="D553" i="19"/>
  <c r="D552" i="19"/>
  <c r="D551" i="19"/>
  <c r="D549" i="19"/>
  <c r="D548" i="19"/>
  <c r="D547" i="19"/>
  <c r="D546" i="19"/>
  <c r="D545" i="19"/>
  <c r="D544" i="19"/>
  <c r="D543" i="19"/>
  <c r="D542" i="19"/>
  <c r="D541" i="19"/>
  <c r="D539" i="19"/>
  <c r="D538" i="19"/>
  <c r="D537" i="19"/>
  <c r="D536" i="19"/>
  <c r="D535" i="19"/>
  <c r="D534" i="19"/>
  <c r="D533" i="19"/>
  <c r="D531" i="19"/>
  <c r="D530" i="19"/>
  <c r="D529" i="19"/>
  <c r="D528" i="19"/>
  <c r="D527" i="19"/>
  <c r="D525" i="19"/>
  <c r="D524" i="19"/>
  <c r="D523" i="19"/>
  <c r="D522" i="19"/>
  <c r="D521" i="19"/>
  <c r="D520" i="19"/>
  <c r="D519" i="19"/>
  <c r="D518" i="19"/>
  <c r="D516" i="19"/>
  <c r="D515" i="19"/>
  <c r="D514" i="19"/>
  <c r="D513" i="19"/>
  <c r="D512" i="19"/>
  <c r="D511" i="19"/>
  <c r="D510" i="19"/>
  <c r="D509" i="19"/>
  <c r="D508" i="19"/>
  <c r="D506" i="19"/>
  <c r="D505" i="19"/>
  <c r="D504" i="19"/>
  <c r="D503" i="19"/>
  <c r="D502" i="19"/>
  <c r="D501" i="19"/>
  <c r="D500" i="19"/>
  <c r="D499" i="19"/>
  <c r="D498" i="19"/>
  <c r="D497" i="19"/>
  <c r="D496" i="19"/>
  <c r="D495" i="19"/>
  <c r="D494" i="19"/>
  <c r="D493" i="19"/>
  <c r="D492" i="19"/>
  <c r="D490" i="19"/>
  <c r="D489" i="19"/>
  <c r="D488" i="19"/>
  <c r="D487" i="19"/>
  <c r="D486" i="19"/>
  <c r="D485" i="19"/>
  <c r="D484" i="19"/>
  <c r="D483" i="19"/>
  <c r="D482" i="19"/>
  <c r="D481" i="19"/>
  <c r="D480" i="19"/>
  <c r="D479" i="19"/>
  <c r="D478" i="19"/>
  <c r="D477" i="19"/>
  <c r="D476" i="19"/>
  <c r="D475" i="19"/>
  <c r="D474" i="19"/>
  <c r="D473" i="19"/>
  <c r="D472" i="19"/>
  <c r="D471" i="19"/>
  <c r="D470" i="19"/>
  <c r="D469" i="19"/>
  <c r="D468" i="19"/>
  <c r="D467" i="19"/>
  <c r="D466" i="19"/>
  <c r="D465" i="19"/>
  <c r="D463" i="19"/>
  <c r="D462" i="19"/>
  <c r="D461" i="19"/>
  <c r="D460" i="19"/>
  <c r="D459" i="19"/>
  <c r="D458" i="19"/>
  <c r="D457" i="19"/>
  <c r="D456" i="19"/>
  <c r="D455" i="19"/>
  <c r="D453" i="19"/>
  <c r="D452" i="19"/>
  <c r="D451" i="19"/>
  <c r="D450" i="19"/>
  <c r="D449" i="19"/>
  <c r="D448" i="19"/>
  <c r="D447" i="19"/>
  <c r="D444" i="19"/>
  <c r="D443" i="19"/>
  <c r="D442" i="19"/>
  <c r="D441" i="19"/>
  <c r="D440" i="19"/>
  <c r="D439" i="19"/>
  <c r="D438" i="19"/>
  <c r="D436" i="19"/>
  <c r="D435" i="19"/>
  <c r="D434" i="19"/>
  <c r="D433" i="19"/>
  <c r="D432" i="19"/>
  <c r="D431" i="19"/>
  <c r="D428" i="19"/>
  <c r="D427" i="19"/>
  <c r="D426" i="19"/>
  <c r="D425" i="19"/>
  <c r="D424" i="19"/>
  <c r="D422" i="19"/>
  <c r="D421" i="19"/>
  <c r="D420" i="19"/>
  <c r="D419" i="19"/>
  <c r="D418" i="19"/>
  <c r="D417" i="19"/>
  <c r="D416" i="19"/>
  <c r="D415" i="19"/>
  <c r="D414" i="19"/>
  <c r="D413" i="19"/>
  <c r="D412" i="19"/>
  <c r="D411" i="19"/>
  <c r="D409" i="19"/>
  <c r="D408" i="19"/>
  <c r="D407" i="19"/>
  <c r="D406" i="19"/>
  <c r="D405" i="19"/>
  <c r="D404" i="19"/>
  <c r="D403" i="19"/>
  <c r="D402" i="19"/>
  <c r="D401" i="19"/>
  <c r="D400" i="19"/>
  <c r="D399" i="19"/>
  <c r="D398" i="19"/>
  <c r="D397" i="19"/>
  <c r="D396" i="19"/>
  <c r="D395" i="19"/>
  <c r="D394" i="19"/>
  <c r="D391" i="19"/>
  <c r="D390" i="19"/>
  <c r="D389" i="19"/>
  <c r="D388" i="19"/>
  <c r="D387" i="19"/>
  <c r="D386" i="19"/>
  <c r="D385" i="19"/>
  <c r="D384" i="19"/>
  <c r="D383" i="19"/>
  <c r="D382" i="19"/>
  <c r="D381" i="19"/>
  <c r="D379" i="19"/>
  <c r="D378" i="19"/>
  <c r="D377" i="19"/>
  <c r="D376" i="19"/>
  <c r="D375" i="19"/>
  <c r="D374" i="19"/>
  <c r="D373" i="19"/>
  <c r="D372" i="19"/>
  <c r="D371" i="19"/>
  <c r="D370" i="19"/>
  <c r="D367" i="19"/>
  <c r="D366" i="19"/>
  <c r="D365" i="19"/>
  <c r="D364" i="19"/>
  <c r="D363" i="19"/>
  <c r="D362" i="19"/>
  <c r="D361" i="19"/>
  <c r="D360" i="19"/>
  <c r="D359" i="19"/>
  <c r="D358" i="19"/>
  <c r="D357" i="19"/>
  <c r="D356" i="19"/>
  <c r="D355" i="19"/>
  <c r="D354" i="19"/>
  <c r="D353" i="19"/>
  <c r="D352" i="19"/>
  <c r="D351" i="19"/>
  <c r="D349" i="19"/>
  <c r="D348" i="19"/>
  <c r="D347" i="19"/>
  <c r="D346" i="19"/>
  <c r="D345" i="19"/>
  <c r="D344" i="19"/>
  <c r="D343" i="19"/>
  <c r="D342" i="19"/>
  <c r="D341" i="19"/>
  <c r="D339" i="19"/>
  <c r="D338" i="19"/>
  <c r="D337" i="19"/>
  <c r="D336" i="19"/>
  <c r="D335" i="19"/>
  <c r="D334" i="19"/>
  <c r="D333" i="19"/>
  <c r="D332" i="19"/>
  <c r="D331" i="19"/>
  <c r="D330" i="19"/>
  <c r="D329" i="19"/>
  <c r="D328" i="19"/>
  <c r="D327" i="19"/>
  <c r="D325" i="19"/>
  <c r="D324" i="19"/>
  <c r="D323" i="19"/>
  <c r="D322" i="19"/>
  <c r="D321" i="19"/>
  <c r="D316" i="19"/>
  <c r="D315" i="19"/>
  <c r="D314" i="19"/>
  <c r="D313" i="19"/>
  <c r="D312" i="19"/>
  <c r="D311" i="19"/>
  <c r="D308" i="19"/>
  <c r="C308" i="19"/>
  <c r="D307" i="19"/>
  <c r="C307" i="19"/>
  <c r="D306" i="19"/>
  <c r="C306" i="19"/>
  <c r="D305" i="19"/>
  <c r="C305" i="19"/>
  <c r="D310" i="19"/>
  <c r="D303" i="19"/>
  <c r="D302" i="19"/>
  <c r="D301" i="19"/>
  <c r="D300" i="19"/>
  <c r="D299" i="19"/>
  <c r="D298" i="19"/>
  <c r="D296" i="19"/>
  <c r="D295" i="19"/>
  <c r="D294" i="19"/>
  <c r="D292" i="19"/>
  <c r="D291" i="19"/>
  <c r="D290" i="19"/>
  <c r="D289" i="19"/>
  <c r="D288" i="19"/>
  <c r="D287" i="19"/>
  <c r="D286" i="19"/>
  <c r="D284" i="19"/>
  <c r="D283" i="19"/>
  <c r="D282" i="19"/>
  <c r="D281" i="19"/>
  <c r="D280" i="19"/>
  <c r="D279" i="19"/>
  <c r="D278" i="19"/>
  <c r="D277" i="19"/>
  <c r="D276" i="19"/>
  <c r="D275" i="19"/>
  <c r="D274" i="19"/>
  <c r="D273" i="19"/>
  <c r="D272" i="19"/>
  <c r="D271" i="19"/>
  <c r="D270" i="19"/>
  <c r="D269" i="19"/>
  <c r="D268" i="19"/>
  <c r="D267" i="19"/>
  <c r="D266" i="19"/>
  <c r="D265" i="19"/>
  <c r="D264" i="19"/>
  <c r="D263" i="19"/>
  <c r="D262" i="19"/>
  <c r="D261" i="19"/>
  <c r="D260" i="19"/>
  <c r="D259" i="19"/>
  <c r="D258" i="19"/>
  <c r="D257" i="19"/>
  <c r="D256" i="19"/>
  <c r="D255" i="19"/>
  <c r="D254" i="19"/>
  <c r="D253" i="19"/>
  <c r="D252" i="19"/>
  <c r="D251" i="19"/>
  <c r="D250" i="19"/>
  <c r="D248" i="19"/>
  <c r="D247" i="19"/>
  <c r="D246" i="19"/>
  <c r="D245" i="19"/>
  <c r="D244" i="19"/>
  <c r="D243" i="19"/>
  <c r="D242" i="19"/>
  <c r="D239" i="19"/>
  <c r="D238" i="19"/>
  <c r="D237" i="19"/>
  <c r="D236" i="19"/>
  <c r="D235" i="19"/>
  <c r="D234" i="19"/>
  <c r="D233" i="19"/>
  <c r="D232" i="19"/>
  <c r="D231" i="19"/>
  <c r="D230" i="19"/>
  <c r="D228" i="19"/>
  <c r="D226" i="19"/>
  <c r="D225" i="19"/>
  <c r="D224" i="19"/>
  <c r="D222" i="19"/>
  <c r="D221" i="19"/>
  <c r="D220" i="19"/>
  <c r="D219" i="19"/>
  <c r="D218" i="19"/>
  <c r="D217" i="19"/>
  <c r="D216" i="19"/>
  <c r="D215" i="19"/>
  <c r="D214" i="19"/>
  <c r="D213" i="19"/>
  <c r="D212" i="19"/>
  <c r="D211" i="19"/>
  <c r="D210" i="19"/>
  <c r="D209" i="19"/>
  <c r="D208" i="19"/>
  <c r="D207" i="19"/>
  <c r="D206" i="19"/>
  <c r="D205" i="19"/>
  <c r="D204" i="19"/>
  <c r="D203" i="19"/>
  <c r="D202" i="19"/>
  <c r="D201" i="19"/>
  <c r="D200" i="19"/>
  <c r="D199" i="19"/>
  <c r="D198" i="19"/>
  <c r="D197" i="19"/>
  <c r="D196" i="19"/>
  <c r="D195" i="19"/>
  <c r="D194" i="19"/>
  <c r="D192" i="19"/>
  <c r="D191" i="19"/>
  <c r="D190" i="19"/>
  <c r="D188" i="19"/>
  <c r="D187" i="19"/>
  <c r="D186" i="19"/>
  <c r="D185" i="19"/>
  <c r="D184" i="19"/>
  <c r="D183" i="19"/>
  <c r="D181" i="19"/>
  <c r="D180" i="19"/>
  <c r="D179" i="19"/>
  <c r="D178" i="19"/>
  <c r="D177" i="19"/>
  <c r="D176" i="19"/>
  <c r="D174" i="19"/>
  <c r="D173" i="19"/>
  <c r="D172" i="19"/>
  <c r="D171" i="19"/>
  <c r="D169" i="19"/>
  <c r="D168" i="19"/>
  <c r="D167" i="19"/>
  <c r="D166" i="19"/>
  <c r="D165" i="19"/>
  <c r="D163" i="19"/>
  <c r="D162" i="19"/>
  <c r="D161" i="19"/>
  <c r="D160" i="19"/>
  <c r="D159" i="19"/>
  <c r="D158" i="19"/>
  <c r="D157" i="19"/>
  <c r="D156" i="19"/>
  <c r="D155" i="19"/>
  <c r="D154" i="19"/>
  <c r="D153" i="19"/>
  <c r="D151" i="19"/>
  <c r="D150" i="19"/>
  <c r="D149" i="19"/>
  <c r="D148" i="19"/>
  <c r="D147" i="19"/>
  <c r="D146" i="19"/>
  <c r="D143" i="19"/>
  <c r="D142" i="19"/>
  <c r="D141" i="19"/>
  <c r="D140" i="19"/>
  <c r="D138" i="19"/>
  <c r="D137" i="19"/>
  <c r="D136" i="19"/>
  <c r="D135" i="19"/>
  <c r="D134" i="19"/>
  <c r="D132" i="19"/>
  <c r="D131" i="19"/>
  <c r="D130" i="19"/>
  <c r="D129" i="19"/>
  <c r="D126" i="19"/>
  <c r="D125" i="19"/>
  <c r="D124" i="19"/>
  <c r="D122" i="19"/>
  <c r="D121" i="19"/>
  <c r="D120" i="19"/>
  <c r="D118" i="19"/>
  <c r="D117" i="19"/>
  <c r="D116" i="19"/>
  <c r="D115" i="19"/>
  <c r="D114" i="19"/>
  <c r="D113" i="19"/>
  <c r="D112" i="19"/>
  <c r="D111" i="19"/>
  <c r="D110" i="19"/>
  <c r="D109" i="19"/>
  <c r="D108" i="19"/>
  <c r="D105" i="19"/>
  <c r="D104" i="19"/>
  <c r="D102" i="19"/>
  <c r="D101" i="19"/>
  <c r="D100" i="19"/>
  <c r="D99" i="19"/>
  <c r="D98" i="19"/>
  <c r="D97" i="19"/>
  <c r="D96" i="19"/>
  <c r="D95" i="19"/>
  <c r="D94" i="19"/>
  <c r="D93" i="19"/>
  <c r="D92" i="19"/>
  <c r="D90" i="19"/>
  <c r="D89" i="19"/>
  <c r="D88" i="19"/>
  <c r="D87" i="19"/>
  <c r="D86" i="19"/>
  <c r="D85" i="19"/>
  <c r="D84" i="19"/>
  <c r="D83" i="19"/>
  <c r="D82" i="19"/>
  <c r="D81" i="19"/>
  <c r="D80" i="19"/>
  <c r="D79" i="19"/>
  <c r="D78" i="19"/>
  <c r="D77" i="19"/>
  <c r="D76" i="19"/>
  <c r="D75" i="19"/>
  <c r="D74" i="19"/>
  <c r="D72" i="19"/>
  <c r="D71" i="19"/>
  <c r="D70" i="19"/>
  <c r="D69" i="19"/>
  <c r="D68" i="19"/>
  <c r="D67" i="19"/>
  <c r="P540" i="19"/>
  <c r="O540" i="19"/>
  <c r="N540" i="19"/>
  <c r="P549" i="19"/>
  <c r="E549" i="19"/>
  <c r="C549" i="19"/>
  <c r="O549" i="19"/>
  <c r="B549" i="19"/>
  <c r="A549" i="19"/>
  <c r="P548" i="19"/>
  <c r="E548" i="19"/>
  <c r="C548" i="19"/>
  <c r="O548" i="19"/>
  <c r="B548" i="19"/>
  <c r="A548" i="19"/>
  <c r="C679" i="19"/>
  <c r="C678" i="19"/>
  <c r="C677" i="19"/>
  <c r="C676" i="19"/>
  <c r="C674" i="19"/>
  <c r="C672" i="19"/>
  <c r="C671" i="19"/>
  <c r="C670" i="19"/>
  <c r="C663" i="19"/>
  <c r="C661" i="19"/>
  <c r="C660" i="19"/>
  <c r="C659" i="19"/>
  <c r="C656" i="19"/>
  <c r="C655" i="19"/>
  <c r="C654" i="19"/>
  <c r="C653" i="19"/>
  <c r="C652" i="19"/>
  <c r="C651" i="19"/>
  <c r="C650" i="19"/>
  <c r="C649" i="19"/>
  <c r="C648" i="19"/>
  <c r="C647" i="19"/>
  <c r="C646" i="19"/>
  <c r="C645" i="19"/>
  <c r="C644" i="19"/>
  <c r="C643" i="19"/>
  <c r="C642" i="19"/>
  <c r="C641" i="19"/>
  <c r="C640" i="19"/>
  <c r="C639" i="19"/>
  <c r="C638" i="19"/>
  <c r="C637" i="19"/>
  <c r="C636" i="19"/>
  <c r="C635" i="19"/>
  <c r="C634" i="19"/>
  <c r="C633" i="19"/>
  <c r="C632" i="19"/>
  <c r="C631" i="19"/>
  <c r="C630" i="19"/>
  <c r="C628" i="19"/>
  <c r="C627" i="19"/>
  <c r="C626" i="19"/>
  <c r="C625" i="19"/>
  <c r="C624" i="19"/>
  <c r="C623" i="19"/>
  <c r="C622" i="19"/>
  <c r="C621" i="19"/>
  <c r="C620" i="19"/>
  <c r="C619" i="19"/>
  <c r="C618" i="19"/>
  <c r="C617" i="19"/>
  <c r="C616" i="19"/>
  <c r="C615" i="19"/>
  <c r="C614" i="19"/>
  <c r="C613" i="19"/>
  <c r="C612" i="19"/>
  <c r="C611" i="19"/>
  <c r="C610" i="19"/>
  <c r="C609" i="19"/>
  <c r="C608" i="19"/>
  <c r="C606" i="19"/>
  <c r="C605" i="19"/>
  <c r="C604" i="19"/>
  <c r="C603" i="19"/>
  <c r="C602" i="19"/>
  <c r="C601" i="19"/>
  <c r="C600" i="19"/>
  <c r="C599" i="19"/>
  <c r="C598" i="19"/>
  <c r="C597" i="19"/>
  <c r="C596" i="19"/>
  <c r="C595" i="19"/>
  <c r="C594" i="19"/>
  <c r="C593" i="19"/>
  <c r="C592" i="19"/>
  <c r="C591" i="19"/>
  <c r="C590" i="19"/>
  <c r="C589" i="19"/>
  <c r="C588" i="19"/>
  <c r="C586" i="19"/>
  <c r="C585" i="19"/>
  <c r="C584" i="19"/>
  <c r="C583" i="19"/>
  <c r="C581" i="19"/>
  <c r="C580" i="19"/>
  <c r="C579" i="19"/>
  <c r="C578" i="19"/>
  <c r="C577" i="19"/>
  <c r="C576" i="19"/>
  <c r="C575" i="19"/>
  <c r="C574" i="19"/>
  <c r="C573" i="19"/>
  <c r="C572" i="19"/>
  <c r="C570" i="19"/>
  <c r="C569" i="19"/>
  <c r="C568" i="19"/>
  <c r="C567" i="19"/>
  <c r="C566" i="19"/>
  <c r="C565" i="19"/>
  <c r="C564" i="19"/>
  <c r="C563" i="19"/>
  <c r="C562" i="19"/>
  <c r="C561" i="19"/>
  <c r="C560" i="19"/>
  <c r="C559" i="19"/>
  <c r="C558" i="19"/>
  <c r="C555" i="19"/>
  <c r="C554" i="19"/>
  <c r="C553" i="19"/>
  <c r="C552" i="19"/>
  <c r="C551" i="19"/>
  <c r="C547" i="19"/>
  <c r="C546" i="19"/>
  <c r="C545" i="19"/>
  <c r="C544" i="19"/>
  <c r="C543" i="19"/>
  <c r="C542" i="19"/>
  <c r="C541" i="19"/>
  <c r="C539" i="19"/>
  <c r="C538" i="19"/>
  <c r="C537" i="19"/>
  <c r="C536" i="19"/>
  <c r="C535" i="19"/>
  <c r="C534" i="19"/>
  <c r="C533" i="19"/>
  <c r="C531" i="19"/>
  <c r="C530" i="19"/>
  <c r="C529" i="19"/>
  <c r="C528" i="19"/>
  <c r="C527" i="19"/>
  <c r="C525" i="19"/>
  <c r="C524" i="19"/>
  <c r="C523" i="19"/>
  <c r="C522" i="19"/>
  <c r="C521" i="19"/>
  <c r="C520" i="19"/>
  <c r="C519" i="19"/>
  <c r="C518" i="19"/>
  <c r="C516" i="19"/>
  <c r="C515" i="19"/>
  <c r="C514" i="19"/>
  <c r="C513" i="19"/>
  <c r="C512" i="19"/>
  <c r="C511" i="19"/>
  <c r="C510" i="19"/>
  <c r="C509" i="19"/>
  <c r="C508" i="19"/>
  <c r="C506" i="19"/>
  <c r="C505" i="19"/>
  <c r="C504" i="19"/>
  <c r="C503" i="19"/>
  <c r="C502" i="19"/>
  <c r="C501" i="19"/>
  <c r="C500" i="19"/>
  <c r="C499" i="19"/>
  <c r="C498" i="19"/>
  <c r="C497" i="19"/>
  <c r="C496" i="19"/>
  <c r="C495" i="19"/>
  <c r="C494" i="19"/>
  <c r="C493" i="19"/>
  <c r="C492" i="19"/>
  <c r="C490" i="19"/>
  <c r="C489" i="19"/>
  <c r="C488" i="19"/>
  <c r="C487" i="19"/>
  <c r="C486" i="19"/>
  <c r="C485" i="19"/>
  <c r="C484" i="19"/>
  <c r="C483" i="19"/>
  <c r="C482" i="19"/>
  <c r="C481" i="19"/>
  <c r="C480" i="19"/>
  <c r="C479" i="19"/>
  <c r="C478" i="19"/>
  <c r="C477" i="19"/>
  <c r="C476" i="19"/>
  <c r="C475" i="19"/>
  <c r="C474" i="19"/>
  <c r="C473" i="19"/>
  <c r="C472" i="19"/>
  <c r="C471" i="19"/>
  <c r="C470" i="19"/>
  <c r="C469" i="19"/>
  <c r="C468" i="19"/>
  <c r="C467" i="19"/>
  <c r="C466" i="19"/>
  <c r="C465" i="19"/>
  <c r="C463" i="19"/>
  <c r="C462" i="19"/>
  <c r="C461" i="19"/>
  <c r="C460" i="19"/>
  <c r="C459" i="19"/>
  <c r="C458" i="19"/>
  <c r="C457" i="19"/>
  <c r="C456" i="19"/>
  <c r="C455" i="19"/>
  <c r="C453" i="19"/>
  <c r="C452" i="19"/>
  <c r="C451" i="19"/>
  <c r="C450" i="19"/>
  <c r="C449" i="19"/>
  <c r="C448" i="19"/>
  <c r="C447" i="19"/>
  <c r="C444" i="19"/>
  <c r="C443" i="19"/>
  <c r="C442" i="19"/>
  <c r="C441" i="19"/>
  <c r="C440" i="19"/>
  <c r="C439" i="19"/>
  <c r="C438" i="19"/>
  <c r="C436" i="19"/>
  <c r="C435" i="19"/>
  <c r="C434" i="19"/>
  <c r="C433" i="19"/>
  <c r="C432" i="19"/>
  <c r="C431" i="19"/>
  <c r="C428" i="19"/>
  <c r="C427" i="19"/>
  <c r="C426" i="19"/>
  <c r="C425" i="19"/>
  <c r="C424" i="19"/>
  <c r="C422" i="19"/>
  <c r="C421" i="19"/>
  <c r="C420" i="19"/>
  <c r="C419" i="19"/>
  <c r="C418" i="19"/>
  <c r="C417" i="19"/>
  <c r="C416" i="19"/>
  <c r="C415" i="19"/>
  <c r="C414" i="19"/>
  <c r="C413" i="19"/>
  <c r="C412" i="19"/>
  <c r="C411" i="19"/>
  <c r="C409" i="19"/>
  <c r="C408" i="19"/>
  <c r="C407" i="19"/>
  <c r="C406" i="19"/>
  <c r="C405" i="19"/>
  <c r="C404" i="19"/>
  <c r="C403" i="19"/>
  <c r="C402" i="19"/>
  <c r="C401" i="19"/>
  <c r="C400" i="19"/>
  <c r="C399" i="19"/>
  <c r="C398" i="19"/>
  <c r="C397" i="19"/>
  <c r="C396" i="19"/>
  <c r="C395" i="19"/>
  <c r="C394" i="19"/>
  <c r="C391" i="19"/>
  <c r="C390" i="19"/>
  <c r="C389" i="19"/>
  <c r="C388" i="19"/>
  <c r="C387" i="19"/>
  <c r="C386" i="19"/>
  <c r="C385" i="19"/>
  <c r="C384" i="19"/>
  <c r="C383" i="19"/>
  <c r="C382" i="19"/>
  <c r="C381" i="19"/>
  <c r="C379" i="19"/>
  <c r="C378" i="19"/>
  <c r="C377" i="19"/>
  <c r="C376" i="19"/>
  <c r="C375" i="19"/>
  <c r="C374" i="19"/>
  <c r="C373" i="19"/>
  <c r="C372" i="19"/>
  <c r="C371" i="19"/>
  <c r="C370" i="19"/>
  <c r="C367" i="19"/>
  <c r="C366" i="19"/>
  <c r="C365" i="19"/>
  <c r="C364" i="19"/>
  <c r="C363" i="19"/>
  <c r="C362" i="19"/>
  <c r="C361" i="19"/>
  <c r="C360" i="19"/>
  <c r="C359" i="19"/>
  <c r="C358" i="19"/>
  <c r="C357" i="19"/>
  <c r="C356" i="19"/>
  <c r="C355" i="19"/>
  <c r="C354" i="19"/>
  <c r="C353" i="19"/>
  <c r="C352" i="19"/>
  <c r="C351" i="19"/>
  <c r="C349" i="19"/>
  <c r="C348" i="19"/>
  <c r="C347" i="19"/>
  <c r="C346" i="19"/>
  <c r="C345" i="19"/>
  <c r="C344" i="19"/>
  <c r="C343" i="19"/>
  <c r="C342" i="19"/>
  <c r="C341" i="19"/>
  <c r="C339" i="19"/>
  <c r="C338" i="19"/>
  <c r="C337" i="19"/>
  <c r="C336" i="19"/>
  <c r="C335" i="19"/>
  <c r="C334" i="19"/>
  <c r="C333" i="19"/>
  <c r="C332" i="19"/>
  <c r="C331" i="19"/>
  <c r="C330" i="19"/>
  <c r="C329" i="19"/>
  <c r="C328" i="19"/>
  <c r="C327" i="19"/>
  <c r="C325" i="19"/>
  <c r="C324" i="19"/>
  <c r="C323" i="19"/>
  <c r="C322" i="19"/>
  <c r="C321" i="19"/>
  <c r="C316" i="19"/>
  <c r="C315" i="19"/>
  <c r="C314" i="19"/>
  <c r="C313" i="19"/>
  <c r="C312" i="19"/>
  <c r="C311" i="19"/>
  <c r="C310" i="19"/>
  <c r="C303" i="19"/>
  <c r="C302" i="19"/>
  <c r="C301" i="19"/>
  <c r="C300" i="19"/>
  <c r="C299" i="19"/>
  <c r="C298" i="19"/>
  <c r="C296" i="19"/>
  <c r="C295" i="19"/>
  <c r="C294" i="19"/>
  <c r="C292" i="19"/>
  <c r="C291" i="19"/>
  <c r="C290" i="19"/>
  <c r="C289" i="19"/>
  <c r="C288" i="19"/>
  <c r="C287" i="19"/>
  <c r="C286" i="19"/>
  <c r="C284" i="19"/>
  <c r="C283" i="19"/>
  <c r="C282" i="19"/>
  <c r="C281" i="19"/>
  <c r="C280" i="19"/>
  <c r="C279" i="19"/>
  <c r="C278" i="19"/>
  <c r="C277" i="19"/>
  <c r="C276" i="19"/>
  <c r="C275" i="19"/>
  <c r="C274" i="19"/>
  <c r="C273" i="19"/>
  <c r="C272" i="19"/>
  <c r="C271" i="19"/>
  <c r="C270" i="19"/>
  <c r="C269" i="19"/>
  <c r="C268" i="19"/>
  <c r="C267" i="19"/>
  <c r="C266" i="19"/>
  <c r="C265" i="19"/>
  <c r="C264" i="19"/>
  <c r="C263" i="19"/>
  <c r="C262" i="19"/>
  <c r="C261" i="19"/>
  <c r="C260" i="19"/>
  <c r="C259" i="19"/>
  <c r="C258" i="19"/>
  <c r="C257" i="19"/>
  <c r="C256" i="19"/>
  <c r="C255" i="19"/>
  <c r="C254" i="19"/>
  <c r="C253" i="19"/>
  <c r="C252" i="19"/>
  <c r="C251" i="19"/>
  <c r="C250" i="19"/>
  <c r="C248" i="19"/>
  <c r="C247" i="19"/>
  <c r="C246" i="19"/>
  <c r="C245" i="19"/>
  <c r="C244" i="19"/>
  <c r="C243" i="19"/>
  <c r="C242" i="19"/>
  <c r="C239" i="19"/>
  <c r="C238" i="19"/>
  <c r="C237" i="19"/>
  <c r="C236" i="19"/>
  <c r="C235" i="19"/>
  <c r="C234" i="19"/>
  <c r="C233" i="19"/>
  <c r="C232" i="19"/>
  <c r="C231" i="19"/>
  <c r="C230" i="19"/>
  <c r="C229" i="19"/>
  <c r="C228" i="19"/>
  <c r="C226" i="19"/>
  <c r="C225" i="19"/>
  <c r="C224" i="19"/>
  <c r="C222" i="19"/>
  <c r="C221" i="19"/>
  <c r="C220" i="19"/>
  <c r="C219" i="19"/>
  <c r="C218" i="19"/>
  <c r="C217" i="19"/>
  <c r="C216" i="19"/>
  <c r="C215" i="19"/>
  <c r="C214" i="19"/>
  <c r="C213" i="19"/>
  <c r="C212" i="19"/>
  <c r="C211" i="19"/>
  <c r="C210" i="19"/>
  <c r="C209" i="19"/>
  <c r="C208" i="19"/>
  <c r="C207" i="19"/>
  <c r="C206" i="19"/>
  <c r="C205" i="19"/>
  <c r="C204" i="19"/>
  <c r="C203" i="19"/>
  <c r="C202" i="19"/>
  <c r="C201" i="19"/>
  <c r="C200" i="19"/>
  <c r="C199" i="19"/>
  <c r="C198" i="19"/>
  <c r="C197" i="19"/>
  <c r="C196" i="19"/>
  <c r="C195" i="19"/>
  <c r="C194" i="19"/>
  <c r="C192" i="19"/>
  <c r="C191" i="19"/>
  <c r="C190" i="19"/>
  <c r="C188" i="19"/>
  <c r="C187" i="19"/>
  <c r="C186" i="19"/>
  <c r="C185" i="19"/>
  <c r="C184" i="19"/>
  <c r="C183" i="19"/>
  <c r="C181" i="19"/>
  <c r="C180" i="19"/>
  <c r="C179" i="19"/>
  <c r="C178" i="19"/>
  <c r="C177" i="19"/>
  <c r="C176" i="19"/>
  <c r="C174" i="19"/>
  <c r="C173" i="19"/>
  <c r="C172" i="19"/>
  <c r="C171" i="19"/>
  <c r="C169" i="19"/>
  <c r="C168" i="19"/>
  <c r="C167" i="19"/>
  <c r="C166" i="19"/>
  <c r="C165" i="19"/>
  <c r="C163" i="19"/>
  <c r="C162" i="19"/>
  <c r="C161" i="19"/>
  <c r="C160" i="19"/>
  <c r="C159" i="19"/>
  <c r="C158" i="19"/>
  <c r="C157" i="19"/>
  <c r="C156" i="19"/>
  <c r="C155" i="19"/>
  <c r="C154" i="19"/>
  <c r="C153" i="19"/>
  <c r="C151" i="19"/>
  <c r="C150" i="19"/>
  <c r="C149" i="19"/>
  <c r="C148" i="19"/>
  <c r="C147" i="19"/>
  <c r="C146" i="19"/>
  <c r="C143" i="19"/>
  <c r="C142" i="19"/>
  <c r="C141" i="19"/>
  <c r="C140" i="19"/>
  <c r="C138" i="19"/>
  <c r="C137" i="19"/>
  <c r="C136" i="19"/>
  <c r="C135" i="19"/>
  <c r="C134" i="19"/>
  <c r="C132" i="19"/>
  <c r="C131" i="19"/>
  <c r="C130" i="19"/>
  <c r="C129" i="19"/>
  <c r="C126" i="19"/>
  <c r="C125" i="19"/>
  <c r="C124" i="19"/>
  <c r="C122" i="19"/>
  <c r="C121" i="19"/>
  <c r="C120" i="19"/>
  <c r="C118" i="19"/>
  <c r="C117" i="19"/>
  <c r="C116" i="19"/>
  <c r="C115" i="19"/>
  <c r="C114" i="19"/>
  <c r="C113" i="19"/>
  <c r="C112" i="19"/>
  <c r="C111" i="19"/>
  <c r="C110" i="19"/>
  <c r="C109" i="19"/>
  <c r="C108" i="19"/>
  <c r="C105" i="19"/>
  <c r="C104" i="19"/>
  <c r="C102" i="19"/>
  <c r="C101" i="19"/>
  <c r="C100" i="19"/>
  <c r="C99" i="19"/>
  <c r="C98" i="19"/>
  <c r="C97" i="19"/>
  <c r="C96" i="19"/>
  <c r="C95" i="19"/>
  <c r="C94" i="19"/>
  <c r="C93" i="19"/>
  <c r="C92" i="19"/>
  <c r="C90" i="19"/>
  <c r="C89" i="19"/>
  <c r="C88" i="19"/>
  <c r="C87" i="19"/>
  <c r="C86" i="19"/>
  <c r="C85" i="19"/>
  <c r="C84" i="19"/>
  <c r="C83" i="19"/>
  <c r="C82" i="19"/>
  <c r="C81" i="19"/>
  <c r="C80" i="19"/>
  <c r="C79" i="19"/>
  <c r="C78" i="19"/>
  <c r="C77" i="19"/>
  <c r="C76" i="19"/>
  <c r="C75" i="19"/>
  <c r="C74" i="19"/>
  <c r="C72" i="19"/>
  <c r="C71" i="19"/>
  <c r="C70" i="19"/>
  <c r="C69" i="19"/>
  <c r="C68" i="19"/>
  <c r="C67" i="19"/>
  <c r="C63" i="19"/>
  <c r="C62" i="19"/>
  <c r="C61" i="19"/>
  <c r="C60" i="19"/>
  <c r="C59" i="19"/>
  <c r="C58" i="19"/>
  <c r="C57" i="19"/>
  <c r="C55" i="19"/>
  <c r="C54" i="19"/>
  <c r="C53" i="19"/>
  <c r="C52" i="19"/>
  <c r="C51" i="19"/>
  <c r="C50" i="19"/>
  <c r="C49" i="19"/>
  <c r="C48" i="19"/>
  <c r="C47" i="19"/>
  <c r="C46" i="19"/>
  <c r="C45" i="19"/>
  <c r="C44" i="19"/>
  <c r="C43" i="19"/>
  <c r="C41" i="19"/>
  <c r="C40" i="19"/>
  <c r="C39" i="19"/>
  <c r="C38" i="19"/>
  <c r="C37" i="19"/>
  <c r="C36" i="19"/>
  <c r="C35" i="19"/>
  <c r="C34" i="19"/>
  <c r="C33" i="19"/>
  <c r="C32" i="19"/>
  <c r="C31" i="19"/>
  <c r="C30" i="19"/>
  <c r="C14" i="19"/>
  <c r="C13" i="19"/>
  <c r="C12" i="19"/>
  <c r="C11" i="19"/>
  <c r="C10" i="19"/>
  <c r="C9" i="19"/>
  <c r="C8" i="19"/>
  <c r="E411" i="19"/>
  <c r="E412" i="19"/>
  <c r="E413" i="19"/>
  <c r="E414" i="19"/>
  <c r="E415" i="19"/>
  <c r="E416" i="19"/>
  <c r="E417" i="19"/>
  <c r="E418" i="19"/>
  <c r="E419" i="19"/>
  <c r="E420" i="19"/>
  <c r="E421" i="19"/>
  <c r="E422" i="19"/>
  <c r="D229" i="19"/>
  <c r="D63" i="19"/>
  <c r="D62" i="19"/>
  <c r="D61" i="19"/>
  <c r="D60" i="19"/>
  <c r="D59" i="19"/>
  <c r="D58" i="19"/>
  <c r="D57" i="19"/>
  <c r="D55" i="19"/>
  <c r="D54" i="19"/>
  <c r="D53" i="19"/>
  <c r="D52" i="19"/>
  <c r="D51" i="19"/>
  <c r="D50" i="19"/>
  <c r="D49" i="19"/>
  <c r="D48" i="19"/>
  <c r="D47" i="19"/>
  <c r="D46" i="19"/>
  <c r="D45" i="19"/>
  <c r="D44" i="19"/>
  <c r="D43" i="19"/>
  <c r="D41" i="19"/>
  <c r="D40" i="19"/>
  <c r="D39" i="19"/>
  <c r="D38" i="19"/>
  <c r="D37" i="19"/>
  <c r="D36" i="19"/>
  <c r="D35" i="19"/>
  <c r="D34" i="19"/>
  <c r="D33" i="19"/>
  <c r="D32" i="19"/>
  <c r="D31" i="19"/>
  <c r="D30" i="19"/>
  <c r="D28" i="19"/>
  <c r="D27" i="19"/>
  <c r="D26" i="19"/>
  <c r="D25" i="19"/>
  <c r="D24" i="19"/>
  <c r="D23" i="19"/>
  <c r="D22" i="19"/>
  <c r="D21" i="19"/>
  <c r="D20" i="19"/>
  <c r="D19" i="19"/>
  <c r="D18" i="19"/>
  <c r="D17" i="19"/>
  <c r="D16" i="19"/>
  <c r="D14" i="19"/>
  <c r="D13" i="19"/>
  <c r="D12" i="19"/>
  <c r="D11" i="19"/>
  <c r="D10" i="19"/>
  <c r="D9" i="19"/>
  <c r="D8" i="19"/>
  <c r="D7" i="19"/>
  <c r="D6" i="19"/>
  <c r="N664" i="19"/>
  <c r="P666" i="19"/>
  <c r="E666" i="19"/>
  <c r="C666" i="19"/>
  <c r="O666" i="19"/>
  <c r="B666" i="19"/>
  <c r="A666" i="19"/>
  <c r="N657" i="19"/>
  <c r="N667" i="19"/>
  <c r="N673" i="19"/>
  <c r="N675" i="19"/>
  <c r="P679" i="19"/>
  <c r="E679" i="19"/>
  <c r="O679" i="19"/>
  <c r="B679" i="19"/>
  <c r="A679" i="19"/>
  <c r="P678" i="19"/>
  <c r="E678" i="19"/>
  <c r="O678" i="19"/>
  <c r="B678" i="19"/>
  <c r="A678" i="19"/>
  <c r="P677" i="19"/>
  <c r="E677" i="19"/>
  <c r="O677" i="19"/>
  <c r="B677" i="19"/>
  <c r="A677" i="19"/>
  <c r="P676" i="19"/>
  <c r="E676" i="19"/>
  <c r="O676" i="19"/>
  <c r="B676" i="19"/>
  <c r="A676" i="19"/>
  <c r="B675" i="19"/>
  <c r="A675" i="19"/>
  <c r="P674" i="19"/>
  <c r="P673" i="19"/>
  <c r="E674" i="19"/>
  <c r="O674" i="19"/>
  <c r="O673" i="19"/>
  <c r="B674" i="19"/>
  <c r="A674" i="19"/>
  <c r="B673" i="19"/>
  <c r="A673" i="19"/>
  <c r="P672" i="19"/>
  <c r="E672" i="19"/>
  <c r="O672" i="19"/>
  <c r="B672" i="19"/>
  <c r="A672" i="19"/>
  <c r="P671" i="19"/>
  <c r="E671" i="19"/>
  <c r="O671" i="19"/>
  <c r="B671" i="19"/>
  <c r="A671" i="19"/>
  <c r="P670" i="19"/>
  <c r="E670" i="19"/>
  <c r="O670" i="19"/>
  <c r="B670" i="19"/>
  <c r="A670" i="19"/>
  <c r="N669" i="19"/>
  <c r="B669" i="19"/>
  <c r="A669" i="19"/>
  <c r="P668" i="19"/>
  <c r="P667" i="19"/>
  <c r="E668" i="19"/>
  <c r="C668" i="19"/>
  <c r="O668" i="19"/>
  <c r="B668" i="19"/>
  <c r="A668" i="19"/>
  <c r="B667" i="19"/>
  <c r="A667" i="19"/>
  <c r="P665" i="19"/>
  <c r="P664" i="19"/>
  <c r="E665" i="19"/>
  <c r="C665" i="19"/>
  <c r="O665" i="19"/>
  <c r="O664" i="19"/>
  <c r="B665" i="19"/>
  <c r="A665" i="19"/>
  <c r="B664" i="19"/>
  <c r="A664" i="19"/>
  <c r="A659" i="19"/>
  <c r="A660" i="19"/>
  <c r="A661" i="19"/>
  <c r="P661" i="19"/>
  <c r="E661" i="19"/>
  <c r="O661" i="19"/>
  <c r="P660" i="19"/>
  <c r="E660" i="19"/>
  <c r="O660" i="19"/>
  <c r="B661" i="19"/>
  <c r="B660" i="19"/>
  <c r="E659" i="19"/>
  <c r="B659" i="19"/>
  <c r="B658" i="19"/>
  <c r="A658" i="19"/>
  <c r="P332" i="19"/>
  <c r="E332" i="19"/>
  <c r="O332" i="19"/>
  <c r="B332" i="19"/>
  <c r="A332" i="19"/>
  <c r="A334" i="19"/>
  <c r="B334" i="19"/>
  <c r="O334" i="19"/>
  <c r="E334" i="19"/>
  <c r="P334" i="19"/>
  <c r="P313" i="19"/>
  <c r="P312" i="19"/>
  <c r="E313" i="19"/>
  <c r="E312" i="19"/>
  <c r="O313" i="19"/>
  <c r="O312" i="19"/>
  <c r="B313" i="19"/>
  <c r="B312" i="19"/>
  <c r="A314" i="19"/>
  <c r="A313" i="19"/>
  <c r="A312" i="19"/>
  <c r="P675" i="19"/>
  <c r="R675" i="19"/>
  <c r="O675" i="19"/>
  <c r="C675" i="19"/>
  <c r="O667" i="19"/>
  <c r="C667" i="19"/>
  <c r="L673" i="19"/>
  <c r="P669" i="19"/>
  <c r="C673" i="19"/>
  <c r="O669" i="19"/>
  <c r="Q669" i="19"/>
  <c r="R669" i="19"/>
  <c r="L669" i="19"/>
  <c r="Q675" i="19"/>
  <c r="L675" i="19"/>
  <c r="R673" i="19"/>
  <c r="L667" i="19"/>
  <c r="R667" i="19"/>
  <c r="C669" i="19"/>
  <c r="Q673" i="19"/>
  <c r="Q667" i="19"/>
  <c r="B145" i="19"/>
  <c r="N240" i="19"/>
  <c r="N317" i="19"/>
  <c r="P318" i="19"/>
  <c r="P317" i="19"/>
  <c r="O318" i="19"/>
  <c r="O317" i="19"/>
  <c r="E317" i="19"/>
  <c r="R317" i="19"/>
  <c r="L317" i="19"/>
  <c r="B1" i="19"/>
  <c r="B3" i="9"/>
  <c r="P642" i="19"/>
  <c r="E642" i="19"/>
  <c r="O642" i="19"/>
  <c r="B642" i="19"/>
  <c r="A642" i="19"/>
  <c r="A5" i="19"/>
  <c r="N587" i="19"/>
  <c r="N629" i="19"/>
  <c r="N607" i="19"/>
  <c r="A663" i="19"/>
  <c r="E663" i="19"/>
  <c r="B663" i="19"/>
  <c r="B662" i="19"/>
  <c r="A662" i="19"/>
  <c r="B645" i="19"/>
  <c r="B657" i="19"/>
  <c r="A657" i="19"/>
  <c r="P656" i="19"/>
  <c r="E656" i="19"/>
  <c r="O656" i="19"/>
  <c r="B656" i="19"/>
  <c r="A656" i="19"/>
  <c r="P655" i="19"/>
  <c r="E655" i="19"/>
  <c r="O655" i="19"/>
  <c r="B655" i="19"/>
  <c r="A655" i="19"/>
  <c r="P654" i="19"/>
  <c r="E654" i="19"/>
  <c r="O654" i="19"/>
  <c r="B654" i="19"/>
  <c r="A654" i="19"/>
  <c r="P653" i="19"/>
  <c r="E653" i="19"/>
  <c r="O653" i="19"/>
  <c r="B653" i="19"/>
  <c r="A653" i="19"/>
  <c r="P652" i="19"/>
  <c r="E652" i="19"/>
  <c r="O652" i="19"/>
  <c r="B652" i="19"/>
  <c r="A652" i="19"/>
  <c r="P651" i="19"/>
  <c r="E651" i="19"/>
  <c r="O651" i="19"/>
  <c r="B651" i="19"/>
  <c r="A651" i="19"/>
  <c r="P650" i="19"/>
  <c r="E650" i="19"/>
  <c r="O650" i="19"/>
  <c r="B650" i="19"/>
  <c r="A650" i="19"/>
  <c r="P649" i="19"/>
  <c r="E649" i="19"/>
  <c r="O649" i="19"/>
  <c r="B649" i="19"/>
  <c r="A649" i="19"/>
  <c r="P648" i="19"/>
  <c r="E648" i="19"/>
  <c r="O648" i="19"/>
  <c r="B648" i="19"/>
  <c r="A648" i="19"/>
  <c r="P647" i="19"/>
  <c r="E647" i="19"/>
  <c r="O647" i="19"/>
  <c r="B647" i="19"/>
  <c r="A647" i="19"/>
  <c r="P646" i="19"/>
  <c r="E646" i="19"/>
  <c r="O646" i="19"/>
  <c r="B646" i="19"/>
  <c r="A646" i="19"/>
  <c r="P645" i="19"/>
  <c r="E645" i="19"/>
  <c r="O645" i="19"/>
  <c r="A645" i="19"/>
  <c r="P644" i="19"/>
  <c r="E644" i="19"/>
  <c r="O644" i="19"/>
  <c r="B644" i="19"/>
  <c r="A644" i="19"/>
  <c r="P643" i="19"/>
  <c r="E643" i="19"/>
  <c r="O643" i="19"/>
  <c r="B643" i="19"/>
  <c r="A643" i="19"/>
  <c r="P641" i="19"/>
  <c r="E641" i="19"/>
  <c r="O641" i="19"/>
  <c r="B641" i="19"/>
  <c r="A641" i="19"/>
  <c r="P640" i="19"/>
  <c r="E640" i="19"/>
  <c r="O640" i="19"/>
  <c r="B640" i="19"/>
  <c r="A640" i="19"/>
  <c r="P639" i="19"/>
  <c r="E639" i="19"/>
  <c r="O639" i="19"/>
  <c r="B639" i="19"/>
  <c r="A639" i="19"/>
  <c r="P638" i="19"/>
  <c r="E638" i="19"/>
  <c r="O638" i="19"/>
  <c r="B638" i="19"/>
  <c r="A638" i="19"/>
  <c r="P637" i="19"/>
  <c r="E637" i="19"/>
  <c r="O637" i="19"/>
  <c r="B637" i="19"/>
  <c r="A637" i="19"/>
  <c r="P636" i="19"/>
  <c r="E636" i="19"/>
  <c r="O636" i="19"/>
  <c r="B636" i="19"/>
  <c r="A636" i="19"/>
  <c r="P635" i="19"/>
  <c r="E635" i="19"/>
  <c r="O635" i="19"/>
  <c r="B635" i="19"/>
  <c r="A635" i="19"/>
  <c r="P634" i="19"/>
  <c r="E634" i="19"/>
  <c r="O634" i="19"/>
  <c r="B634" i="19"/>
  <c r="A634" i="19"/>
  <c r="P633" i="19"/>
  <c r="E633" i="19"/>
  <c r="O633" i="19"/>
  <c r="B633" i="19"/>
  <c r="A633" i="19"/>
  <c r="P632" i="19"/>
  <c r="E632" i="19"/>
  <c r="O632" i="19"/>
  <c r="B632" i="19"/>
  <c r="A632" i="19"/>
  <c r="P631" i="19"/>
  <c r="E631" i="19"/>
  <c r="O631" i="19"/>
  <c r="B631" i="19"/>
  <c r="A631" i="19"/>
  <c r="E630" i="19"/>
  <c r="O630" i="19"/>
  <c r="A630" i="19"/>
  <c r="B630" i="19"/>
  <c r="A629" i="19"/>
  <c r="B629" i="19"/>
  <c r="P630" i="19"/>
  <c r="P628" i="19"/>
  <c r="E628" i="19"/>
  <c r="O628" i="19"/>
  <c r="B628" i="19"/>
  <c r="A628" i="19"/>
  <c r="P627" i="19"/>
  <c r="E627" i="19"/>
  <c r="O627" i="19"/>
  <c r="B627" i="19"/>
  <c r="A627" i="19"/>
  <c r="P626" i="19"/>
  <c r="E626" i="19"/>
  <c r="O626" i="19"/>
  <c r="B626" i="19"/>
  <c r="A626" i="19"/>
  <c r="P625" i="19"/>
  <c r="E625" i="19"/>
  <c r="O625" i="19"/>
  <c r="B625" i="19"/>
  <c r="A625" i="19"/>
  <c r="P624" i="19"/>
  <c r="E624" i="19"/>
  <c r="O624" i="19"/>
  <c r="B624" i="19"/>
  <c r="A624" i="19"/>
  <c r="P623" i="19"/>
  <c r="E623" i="19"/>
  <c r="O623" i="19"/>
  <c r="B623" i="19"/>
  <c r="A623" i="19"/>
  <c r="P622" i="19"/>
  <c r="E622" i="19"/>
  <c r="O622" i="19"/>
  <c r="B622" i="19"/>
  <c r="A622" i="19"/>
  <c r="P621" i="19"/>
  <c r="E621" i="19"/>
  <c r="O621" i="19"/>
  <c r="B621" i="19"/>
  <c r="A621" i="19"/>
  <c r="P620" i="19"/>
  <c r="E620" i="19"/>
  <c r="O620" i="19"/>
  <c r="B620" i="19"/>
  <c r="A620" i="19"/>
  <c r="P619" i="19"/>
  <c r="E619" i="19"/>
  <c r="O619" i="19"/>
  <c r="B619" i="19"/>
  <c r="A619" i="19"/>
  <c r="P618" i="19"/>
  <c r="E618" i="19"/>
  <c r="O618" i="19"/>
  <c r="B618" i="19"/>
  <c r="A618" i="19"/>
  <c r="P617" i="19"/>
  <c r="E617" i="19"/>
  <c r="O617" i="19"/>
  <c r="B617" i="19"/>
  <c r="A617" i="19"/>
  <c r="P616" i="19"/>
  <c r="E616" i="19"/>
  <c r="O616" i="19"/>
  <c r="B616" i="19"/>
  <c r="A616" i="19"/>
  <c r="P615" i="19"/>
  <c r="E615" i="19"/>
  <c r="O615" i="19"/>
  <c r="B615" i="19"/>
  <c r="A615" i="19"/>
  <c r="P614" i="19"/>
  <c r="E614" i="19"/>
  <c r="O614" i="19"/>
  <c r="B614" i="19"/>
  <c r="A614" i="19"/>
  <c r="P613" i="19"/>
  <c r="E613" i="19"/>
  <c r="O613" i="19"/>
  <c r="B613" i="19"/>
  <c r="A613" i="19"/>
  <c r="P612" i="19"/>
  <c r="E612" i="19"/>
  <c r="O612" i="19"/>
  <c r="B612" i="19"/>
  <c r="A612" i="19"/>
  <c r="P611" i="19"/>
  <c r="E611" i="19"/>
  <c r="O611" i="19"/>
  <c r="B611" i="19"/>
  <c r="A611" i="19"/>
  <c r="P610" i="19"/>
  <c r="E610" i="19"/>
  <c r="O610" i="19"/>
  <c r="B610" i="19"/>
  <c r="A610" i="19"/>
  <c r="P609" i="19"/>
  <c r="E609" i="19"/>
  <c r="O609" i="19"/>
  <c r="B609" i="19"/>
  <c r="A609" i="19"/>
  <c r="E608" i="19"/>
  <c r="O608" i="19"/>
  <c r="A608" i="19"/>
  <c r="B608" i="19"/>
  <c r="A607" i="19"/>
  <c r="B607" i="19"/>
  <c r="P597" i="19"/>
  <c r="E597" i="19"/>
  <c r="O597" i="19"/>
  <c r="B597" i="19"/>
  <c r="A597" i="19"/>
  <c r="P592" i="19"/>
  <c r="E592" i="19"/>
  <c r="O592" i="19"/>
  <c r="B592" i="19"/>
  <c r="A592" i="19"/>
  <c r="P608" i="19"/>
  <c r="P606" i="19"/>
  <c r="E606" i="19"/>
  <c r="O606" i="19"/>
  <c r="B606" i="19"/>
  <c r="A606" i="19"/>
  <c r="P605" i="19"/>
  <c r="E605" i="19"/>
  <c r="O605" i="19"/>
  <c r="B605" i="19"/>
  <c r="A605" i="19"/>
  <c r="P604" i="19"/>
  <c r="E604" i="19"/>
  <c r="O604" i="19"/>
  <c r="B604" i="19"/>
  <c r="A604" i="19"/>
  <c r="P603" i="19"/>
  <c r="E603" i="19"/>
  <c r="O603" i="19"/>
  <c r="B603" i="19"/>
  <c r="A603" i="19"/>
  <c r="P602" i="19"/>
  <c r="E602" i="19"/>
  <c r="O602" i="19"/>
  <c r="B602" i="19"/>
  <c r="A602" i="19"/>
  <c r="P601" i="19"/>
  <c r="E601" i="19"/>
  <c r="O601" i="19"/>
  <c r="B601" i="19"/>
  <c r="A601" i="19"/>
  <c r="P600" i="19"/>
  <c r="E600" i="19"/>
  <c r="O600" i="19"/>
  <c r="B600" i="19"/>
  <c r="A600" i="19"/>
  <c r="P599" i="19"/>
  <c r="E599" i="19"/>
  <c r="O599" i="19"/>
  <c r="B599" i="19"/>
  <c r="A599" i="19"/>
  <c r="P598" i="19"/>
  <c r="E598" i="19"/>
  <c r="O598" i="19"/>
  <c r="B598" i="19"/>
  <c r="A598" i="19"/>
  <c r="E596" i="19"/>
  <c r="B596" i="19"/>
  <c r="A596" i="19"/>
  <c r="E595" i="19"/>
  <c r="B595" i="19"/>
  <c r="A595" i="19"/>
  <c r="E594" i="19"/>
  <c r="B594" i="19"/>
  <c r="A594" i="19"/>
  <c r="E593" i="19"/>
  <c r="B593" i="19"/>
  <c r="A593" i="19"/>
  <c r="E591" i="19"/>
  <c r="B591" i="19"/>
  <c r="A591" i="19"/>
  <c r="E590" i="19"/>
  <c r="B590" i="19"/>
  <c r="A590" i="19"/>
  <c r="E589" i="19"/>
  <c r="B589" i="19"/>
  <c r="A589" i="19"/>
  <c r="A16" i="9"/>
  <c r="A17" i="9"/>
  <c r="A18" i="9"/>
  <c r="O629" i="19"/>
  <c r="O607" i="19"/>
  <c r="P629" i="19"/>
  <c r="P607" i="19"/>
  <c r="N15" i="19"/>
  <c r="A28" i="19"/>
  <c r="N119" i="19"/>
  <c r="N454" i="19"/>
  <c r="N350" i="19"/>
  <c r="N662" i="19"/>
  <c r="N571" i="19"/>
  <c r="N556" i="19"/>
  <c r="N550" i="19"/>
  <c r="N532" i="19"/>
  <c r="N526" i="19"/>
  <c r="N507" i="19"/>
  <c r="N491" i="19"/>
  <c r="N464" i="19"/>
  <c r="N446" i="19"/>
  <c r="N445" i="19"/>
  <c r="N437" i="19"/>
  <c r="N430" i="19"/>
  <c r="N423" i="19"/>
  <c r="N410" i="19"/>
  <c r="N369" i="19"/>
  <c r="N380" i="19"/>
  <c r="P381" i="19"/>
  <c r="P367" i="19"/>
  <c r="N340" i="19"/>
  <c r="N326" i="19"/>
  <c r="N320" i="19"/>
  <c r="N309" i="19"/>
  <c r="N304" i="19"/>
  <c r="N297" i="19"/>
  <c r="N293" i="19"/>
  <c r="N285" i="19"/>
  <c r="N175" i="19"/>
  <c r="N170" i="19"/>
  <c r="N164" i="19"/>
  <c r="N152" i="19"/>
  <c r="N144" i="19"/>
  <c r="N145" i="19"/>
  <c r="N64" i="19"/>
  <c r="N241" i="19"/>
  <c r="N227" i="19"/>
  <c r="N223" i="19"/>
  <c r="N193" i="19"/>
  <c r="N189" i="19"/>
  <c r="N182" i="19"/>
  <c r="N139" i="19"/>
  <c r="P147" i="19"/>
  <c r="P148" i="19"/>
  <c r="P149" i="19"/>
  <c r="P150" i="19"/>
  <c r="P151" i="19"/>
  <c r="P146" i="19"/>
  <c r="P154" i="19"/>
  <c r="N123" i="19"/>
  <c r="N106" i="19"/>
  <c r="N107" i="19"/>
  <c r="N103" i="19"/>
  <c r="N73" i="19"/>
  <c r="N66" i="19"/>
  <c r="N65" i="19"/>
  <c r="P145" i="19"/>
  <c r="P508" i="19"/>
  <c r="P72" i="19"/>
  <c r="P26" i="19"/>
  <c r="P455" i="19"/>
  <c r="P545" i="19"/>
  <c r="P543" i="19"/>
  <c r="P541" i="19"/>
  <c r="P534" i="19"/>
  <c r="P533" i="19"/>
  <c r="P530" i="19"/>
  <c r="P529" i="19"/>
  <c r="P516" i="19"/>
  <c r="P515" i="19"/>
  <c r="P514" i="19"/>
  <c r="P513" i="19"/>
  <c r="P506" i="19"/>
  <c r="P505" i="19"/>
  <c r="P504" i="19"/>
  <c r="P503" i="19"/>
  <c r="P502" i="19"/>
  <c r="P501" i="19"/>
  <c r="P500" i="19"/>
  <c r="P499" i="19"/>
  <c r="P498" i="19"/>
  <c r="P497" i="19"/>
  <c r="P496" i="19"/>
  <c r="P495" i="19"/>
  <c r="P494" i="19"/>
  <c r="P493" i="19"/>
  <c r="P492" i="19"/>
  <c r="P490" i="19"/>
  <c r="P489" i="19"/>
  <c r="P488" i="19"/>
  <c r="P487" i="19"/>
  <c r="P486" i="19"/>
  <c r="P485" i="19"/>
  <c r="P484" i="19"/>
  <c r="P483" i="19"/>
  <c r="P482" i="19"/>
  <c r="P481" i="19"/>
  <c r="P480" i="19"/>
  <c r="P479" i="19"/>
  <c r="P478" i="19"/>
  <c r="P477" i="19"/>
  <c r="P476" i="19"/>
  <c r="P475" i="19"/>
  <c r="P474" i="19"/>
  <c r="P473" i="19"/>
  <c r="P472" i="19"/>
  <c r="P471" i="19"/>
  <c r="P470" i="19"/>
  <c r="P469" i="19"/>
  <c r="P468" i="19"/>
  <c r="P467" i="19"/>
  <c r="P466" i="19"/>
  <c r="P465" i="19"/>
  <c r="P462" i="19"/>
  <c r="P461" i="19"/>
  <c r="P460" i="19"/>
  <c r="P459" i="19"/>
  <c r="P458" i="19"/>
  <c r="P457" i="19"/>
  <c r="P456" i="19"/>
  <c r="P452" i="19"/>
  <c r="P451" i="19"/>
  <c r="P450" i="19"/>
  <c r="P663" i="19"/>
  <c r="P659" i="19"/>
  <c r="P596" i="19"/>
  <c r="P595" i="19"/>
  <c r="P594" i="19"/>
  <c r="P593" i="19"/>
  <c r="P591" i="19"/>
  <c r="P590" i="19"/>
  <c r="P589" i="19"/>
  <c r="P588" i="19"/>
  <c r="P586" i="19"/>
  <c r="P585" i="19"/>
  <c r="P584" i="19"/>
  <c r="P583" i="19"/>
  <c r="P581" i="19"/>
  <c r="P580" i="19"/>
  <c r="P579" i="19"/>
  <c r="P578" i="19"/>
  <c r="P577" i="19"/>
  <c r="P576" i="19"/>
  <c r="P575" i="19"/>
  <c r="P574" i="19"/>
  <c r="P573" i="19"/>
  <c r="P572" i="19"/>
  <c r="P570" i="19"/>
  <c r="P569" i="19"/>
  <c r="P568" i="19"/>
  <c r="P567" i="19"/>
  <c r="P566" i="19"/>
  <c r="P565" i="19"/>
  <c r="P564" i="19"/>
  <c r="P563" i="19"/>
  <c r="P562" i="19"/>
  <c r="P561" i="19"/>
  <c r="P560" i="19"/>
  <c r="P559" i="19"/>
  <c r="P558" i="19"/>
  <c r="P555" i="19"/>
  <c r="P554" i="19"/>
  <c r="P553" i="19"/>
  <c r="P552" i="19"/>
  <c r="P551" i="19"/>
  <c r="P547" i="19"/>
  <c r="P546" i="19"/>
  <c r="P544" i="19"/>
  <c r="P542" i="19"/>
  <c r="P539" i="19"/>
  <c r="P538" i="19"/>
  <c r="P537" i="19"/>
  <c r="P536" i="19"/>
  <c r="P535" i="19"/>
  <c r="P531" i="19"/>
  <c r="P528" i="19"/>
  <c r="P527" i="19"/>
  <c r="P525" i="19"/>
  <c r="P524" i="19"/>
  <c r="P523" i="19"/>
  <c r="P522" i="19"/>
  <c r="P521" i="19"/>
  <c r="P520" i="19"/>
  <c r="P519" i="19"/>
  <c r="P518" i="19"/>
  <c r="P512" i="19"/>
  <c r="P511" i="19"/>
  <c r="P510" i="19"/>
  <c r="P509" i="19"/>
  <c r="P463" i="19"/>
  <c r="P453" i="19"/>
  <c r="P449" i="19"/>
  <c r="P448" i="19"/>
  <c r="P447" i="19"/>
  <c r="P444" i="19"/>
  <c r="P443" i="19"/>
  <c r="P442" i="19"/>
  <c r="P441" i="19"/>
  <c r="P440" i="19"/>
  <c r="P439" i="19"/>
  <c r="P438" i="19"/>
  <c r="P436" i="19"/>
  <c r="P435" i="19"/>
  <c r="P434" i="19"/>
  <c r="P433" i="19"/>
  <c r="P432" i="19"/>
  <c r="P431" i="19"/>
  <c r="P428" i="19"/>
  <c r="P427" i="19"/>
  <c r="P426" i="19"/>
  <c r="P425" i="19"/>
  <c r="P424" i="19"/>
  <c r="P422" i="19"/>
  <c r="P421" i="19"/>
  <c r="P420" i="19"/>
  <c r="P419" i="19"/>
  <c r="P418" i="19"/>
  <c r="P417" i="19"/>
  <c r="P416" i="19"/>
  <c r="P415" i="19"/>
  <c r="P414" i="19"/>
  <c r="P413" i="19"/>
  <c r="P412" i="19"/>
  <c r="P411" i="19"/>
  <c r="P409" i="19"/>
  <c r="P408" i="19"/>
  <c r="P407" i="19"/>
  <c r="P406" i="19"/>
  <c r="P405" i="19"/>
  <c r="P404" i="19"/>
  <c r="P403" i="19"/>
  <c r="P402" i="19"/>
  <c r="P401" i="19"/>
  <c r="P400" i="19"/>
  <c r="P399" i="19"/>
  <c r="P398" i="19"/>
  <c r="P397" i="19"/>
  <c r="P396" i="19"/>
  <c r="P395" i="19"/>
  <c r="P394" i="19"/>
  <c r="P391" i="19"/>
  <c r="P390" i="19"/>
  <c r="P389" i="19"/>
  <c r="P388" i="19"/>
  <c r="P387" i="19"/>
  <c r="P386" i="19"/>
  <c r="P385" i="19"/>
  <c r="P384" i="19"/>
  <c r="P383" i="19"/>
  <c r="P382" i="19"/>
  <c r="P379" i="19"/>
  <c r="P378" i="19"/>
  <c r="P377" i="19"/>
  <c r="P376" i="19"/>
  <c r="P375" i="19"/>
  <c r="P374" i="19"/>
  <c r="P373" i="19"/>
  <c r="P372" i="19"/>
  <c r="P371" i="19"/>
  <c r="P370" i="19"/>
  <c r="P366" i="19"/>
  <c r="P365" i="19"/>
  <c r="P364" i="19"/>
  <c r="P363" i="19"/>
  <c r="P362" i="19"/>
  <c r="P361" i="19"/>
  <c r="P360" i="19"/>
  <c r="P359" i="19"/>
  <c r="P358" i="19"/>
  <c r="P357" i="19"/>
  <c r="P356" i="19"/>
  <c r="P355" i="19"/>
  <c r="P354" i="19"/>
  <c r="P353" i="19"/>
  <c r="P352" i="19"/>
  <c r="P351" i="19"/>
  <c r="P349" i="19"/>
  <c r="P348" i="19"/>
  <c r="P347" i="19"/>
  <c r="P346" i="19"/>
  <c r="P345" i="19"/>
  <c r="P344" i="19"/>
  <c r="P343" i="19"/>
  <c r="P342" i="19"/>
  <c r="P341" i="19"/>
  <c r="P339" i="19"/>
  <c r="P338" i="19"/>
  <c r="P337" i="19"/>
  <c r="P336" i="19"/>
  <c r="P335" i="19"/>
  <c r="P333" i="19"/>
  <c r="P331" i="19"/>
  <c r="P330" i="19"/>
  <c r="P329" i="19"/>
  <c r="P328" i="19"/>
  <c r="P327" i="19"/>
  <c r="P325" i="19"/>
  <c r="P324" i="19"/>
  <c r="P323" i="19"/>
  <c r="P322" i="19"/>
  <c r="P321" i="19"/>
  <c r="P316" i="19"/>
  <c r="P315" i="19"/>
  <c r="P314" i="19"/>
  <c r="P311" i="19"/>
  <c r="P310" i="19"/>
  <c r="P308" i="19"/>
  <c r="P307" i="19"/>
  <c r="P306" i="19"/>
  <c r="P305" i="19"/>
  <c r="P303" i="19"/>
  <c r="P302" i="19"/>
  <c r="P301" i="19"/>
  <c r="P300" i="19"/>
  <c r="P299" i="19"/>
  <c r="P298" i="19"/>
  <c r="P296" i="19"/>
  <c r="P295" i="19"/>
  <c r="P294" i="19"/>
  <c r="P292" i="19"/>
  <c r="P291" i="19"/>
  <c r="P290" i="19"/>
  <c r="P289" i="19"/>
  <c r="P288" i="19"/>
  <c r="P287" i="19"/>
  <c r="P286" i="19"/>
  <c r="P284" i="19"/>
  <c r="P283" i="19"/>
  <c r="P282" i="19"/>
  <c r="P281" i="19"/>
  <c r="P280" i="19"/>
  <c r="P279" i="19"/>
  <c r="P278" i="19"/>
  <c r="P277" i="19"/>
  <c r="P276" i="19"/>
  <c r="P275" i="19"/>
  <c r="P274" i="19"/>
  <c r="P273" i="19"/>
  <c r="P272" i="19"/>
  <c r="P271" i="19"/>
  <c r="P270" i="19"/>
  <c r="P269" i="19"/>
  <c r="P268" i="19"/>
  <c r="P267" i="19"/>
  <c r="P266" i="19"/>
  <c r="P265" i="19"/>
  <c r="P264" i="19"/>
  <c r="P263" i="19"/>
  <c r="P262" i="19"/>
  <c r="P261" i="19"/>
  <c r="P260" i="19"/>
  <c r="P259" i="19"/>
  <c r="P258" i="19"/>
  <c r="P257" i="19"/>
  <c r="P256" i="19"/>
  <c r="P255" i="19"/>
  <c r="P254" i="19"/>
  <c r="P253" i="19"/>
  <c r="P252" i="19"/>
  <c r="P251" i="19"/>
  <c r="P250" i="19"/>
  <c r="P248" i="19"/>
  <c r="P247" i="19"/>
  <c r="P246" i="19"/>
  <c r="P245" i="19"/>
  <c r="P244" i="19"/>
  <c r="P243" i="19"/>
  <c r="P242" i="19"/>
  <c r="P239" i="19"/>
  <c r="P238" i="19"/>
  <c r="P237" i="19"/>
  <c r="P236" i="19"/>
  <c r="P235" i="19"/>
  <c r="P234" i="19"/>
  <c r="P233" i="19"/>
  <c r="P232" i="19"/>
  <c r="P231" i="19"/>
  <c r="P230" i="19"/>
  <c r="P229" i="19"/>
  <c r="P228" i="19"/>
  <c r="P226" i="19"/>
  <c r="P225" i="19"/>
  <c r="P224" i="19"/>
  <c r="P222" i="19"/>
  <c r="P221" i="19"/>
  <c r="P220" i="19"/>
  <c r="P219" i="19"/>
  <c r="P218" i="19"/>
  <c r="P217" i="19"/>
  <c r="P216" i="19"/>
  <c r="P215" i="19"/>
  <c r="P214" i="19"/>
  <c r="P213" i="19"/>
  <c r="P212" i="19"/>
  <c r="P211" i="19"/>
  <c r="P210" i="19"/>
  <c r="P209" i="19"/>
  <c r="P208" i="19"/>
  <c r="P207" i="19"/>
  <c r="P206" i="19"/>
  <c r="P205" i="19"/>
  <c r="P204" i="19"/>
  <c r="P203" i="19"/>
  <c r="P202" i="19"/>
  <c r="P201" i="19"/>
  <c r="P200" i="19"/>
  <c r="P199" i="19"/>
  <c r="P198" i="19"/>
  <c r="P197" i="19"/>
  <c r="P196" i="19"/>
  <c r="P195" i="19"/>
  <c r="P194" i="19"/>
  <c r="P192" i="19"/>
  <c r="P191" i="19"/>
  <c r="P190" i="19"/>
  <c r="P188" i="19"/>
  <c r="P187" i="19"/>
  <c r="P186" i="19"/>
  <c r="P185" i="19"/>
  <c r="P184" i="19"/>
  <c r="P183" i="19"/>
  <c r="P181" i="19"/>
  <c r="P180" i="19"/>
  <c r="P179" i="19"/>
  <c r="P178" i="19"/>
  <c r="P177" i="19"/>
  <c r="P176" i="19"/>
  <c r="P174" i="19"/>
  <c r="P173" i="19"/>
  <c r="P172" i="19"/>
  <c r="P171" i="19"/>
  <c r="P169" i="19"/>
  <c r="P168" i="19"/>
  <c r="P167" i="19"/>
  <c r="P166" i="19"/>
  <c r="P165" i="19"/>
  <c r="P163" i="19"/>
  <c r="P162" i="19"/>
  <c r="P161" i="19"/>
  <c r="P160" i="19"/>
  <c r="P159" i="19"/>
  <c r="P158" i="19"/>
  <c r="P157" i="19"/>
  <c r="P156" i="19"/>
  <c r="P155" i="19"/>
  <c r="P153" i="19"/>
  <c r="P143" i="19"/>
  <c r="P142" i="19"/>
  <c r="P141" i="19"/>
  <c r="P140" i="19"/>
  <c r="P138" i="19"/>
  <c r="P137" i="19"/>
  <c r="P136" i="19"/>
  <c r="P135" i="19"/>
  <c r="P134" i="19"/>
  <c r="P132" i="19"/>
  <c r="P131" i="19"/>
  <c r="P130" i="19"/>
  <c r="P129" i="19"/>
  <c r="P126" i="19"/>
  <c r="P125" i="19"/>
  <c r="P124" i="19"/>
  <c r="P122" i="19"/>
  <c r="P121" i="19"/>
  <c r="P120" i="19"/>
  <c r="P118" i="19"/>
  <c r="P117" i="19"/>
  <c r="P116" i="19"/>
  <c r="P115" i="19"/>
  <c r="P114" i="19"/>
  <c r="P113" i="19"/>
  <c r="P112" i="19"/>
  <c r="P111" i="19"/>
  <c r="P110" i="19"/>
  <c r="P109" i="19"/>
  <c r="P108" i="19"/>
  <c r="P105" i="19"/>
  <c r="P104" i="19"/>
  <c r="P102" i="19"/>
  <c r="P101" i="19"/>
  <c r="P100" i="19"/>
  <c r="P99" i="19"/>
  <c r="P98" i="19"/>
  <c r="P97" i="19"/>
  <c r="P96" i="19"/>
  <c r="P95" i="19"/>
  <c r="P94" i="19"/>
  <c r="P93" i="19"/>
  <c r="P92" i="19"/>
  <c r="P90" i="19"/>
  <c r="P89" i="19"/>
  <c r="P88" i="19"/>
  <c r="P87" i="19"/>
  <c r="P86" i="19"/>
  <c r="P85" i="19"/>
  <c r="P84" i="19"/>
  <c r="P83" i="19"/>
  <c r="P82" i="19"/>
  <c r="P81" i="19"/>
  <c r="P80" i="19"/>
  <c r="P79" i="19"/>
  <c r="P78" i="19"/>
  <c r="P77" i="19"/>
  <c r="P76" i="19"/>
  <c r="P75" i="19"/>
  <c r="P74" i="19"/>
  <c r="P71" i="19"/>
  <c r="P70" i="19"/>
  <c r="P69" i="19"/>
  <c r="P68" i="19"/>
  <c r="P67" i="19"/>
  <c r="P63" i="19"/>
  <c r="P62" i="19"/>
  <c r="P61" i="19"/>
  <c r="P60" i="19"/>
  <c r="P59" i="19"/>
  <c r="P58" i="19"/>
  <c r="P57" i="19"/>
  <c r="P55" i="19"/>
  <c r="P54" i="19"/>
  <c r="P53" i="19"/>
  <c r="P52" i="19"/>
  <c r="P51" i="19"/>
  <c r="P50" i="19"/>
  <c r="P49" i="19"/>
  <c r="P48" i="19"/>
  <c r="P47" i="19"/>
  <c r="P46" i="19"/>
  <c r="P45" i="19"/>
  <c r="P44" i="19"/>
  <c r="P43" i="19"/>
  <c r="P41" i="19"/>
  <c r="P40" i="19"/>
  <c r="P39" i="19"/>
  <c r="P38" i="19"/>
  <c r="P37" i="19"/>
  <c r="P36" i="19"/>
  <c r="P35" i="19"/>
  <c r="P34" i="19"/>
  <c r="P33" i="19"/>
  <c r="P32" i="19"/>
  <c r="P31" i="19"/>
  <c r="P30" i="19"/>
  <c r="P28" i="19"/>
  <c r="P27" i="19"/>
  <c r="P25" i="19"/>
  <c r="P24" i="19"/>
  <c r="P23" i="19"/>
  <c r="P22" i="19"/>
  <c r="P21" i="19"/>
  <c r="P20" i="19"/>
  <c r="P19" i="19"/>
  <c r="P18" i="19"/>
  <c r="P17" i="19"/>
  <c r="P16" i="19"/>
  <c r="P14" i="19"/>
  <c r="P13" i="19"/>
  <c r="P12" i="19"/>
  <c r="P11" i="19"/>
  <c r="P10" i="19"/>
  <c r="P9" i="19"/>
  <c r="P8" i="19"/>
  <c r="P7" i="19"/>
  <c r="P6" i="19"/>
  <c r="N658" i="19"/>
  <c r="N582" i="19"/>
  <c r="N557" i="19"/>
  <c r="A530" i="19"/>
  <c r="B530" i="19"/>
  <c r="O530" i="19"/>
  <c r="E530" i="19"/>
  <c r="A531" i="19"/>
  <c r="B531" i="19"/>
  <c r="O531" i="19"/>
  <c r="E531" i="19"/>
  <c r="N517" i="19"/>
  <c r="N429" i="19"/>
  <c r="N393" i="19"/>
  <c r="B244" i="19"/>
  <c r="N249" i="19"/>
  <c r="N133" i="19"/>
  <c r="N128" i="19"/>
  <c r="N91" i="19"/>
  <c r="N56" i="19"/>
  <c r="N127" i="19"/>
  <c r="N5" i="19"/>
  <c r="N392" i="19"/>
  <c r="N368" i="19"/>
  <c r="N319" i="19"/>
  <c r="P587" i="19"/>
  <c r="P123" i="19"/>
  <c r="L540" i="19"/>
  <c r="P430" i="19"/>
  <c r="L430" i="19"/>
  <c r="P454" i="19"/>
  <c r="R454" i="19"/>
  <c r="P446" i="19"/>
  <c r="L446" i="19"/>
  <c r="R145" i="19"/>
  <c r="L145" i="19"/>
  <c r="P662" i="19"/>
  <c r="L662" i="19"/>
  <c r="P437" i="19"/>
  <c r="P517" i="19"/>
  <c r="P526" i="19"/>
  <c r="L526" i="19"/>
  <c r="P582" i="19"/>
  <c r="P464" i="19"/>
  <c r="P380" i="19"/>
  <c r="L380" i="19"/>
  <c r="L664" i="19"/>
  <c r="P532" i="19"/>
  <c r="L532" i="19"/>
  <c r="P507" i="19"/>
  <c r="P393" i="19"/>
  <c r="P410" i="19"/>
  <c r="P557" i="19"/>
  <c r="P491" i="19"/>
  <c r="P340" i="19"/>
  <c r="P550" i="19"/>
  <c r="P350" i="19"/>
  <c r="P369" i="19"/>
  <c r="P423" i="19"/>
  <c r="L423" i="19"/>
  <c r="P658" i="19"/>
  <c r="L658" i="19"/>
  <c r="P571" i="19"/>
  <c r="P170" i="19"/>
  <c r="P189" i="19"/>
  <c r="P223" i="19"/>
  <c r="P293" i="19"/>
  <c r="P164" i="19"/>
  <c r="P152" i="19"/>
  <c r="P285" i="19"/>
  <c r="L285" i="19"/>
  <c r="P304" i="19"/>
  <c r="P182" i="19"/>
  <c r="P320" i="19"/>
  <c r="R320" i="19"/>
  <c r="P193" i="19"/>
  <c r="P227" i="19"/>
  <c r="P297" i="19"/>
  <c r="P175" i="19"/>
  <c r="P309" i="19"/>
  <c r="P249" i="19"/>
  <c r="P15" i="19"/>
  <c r="P241" i="19"/>
  <c r="P326" i="19"/>
  <c r="P128" i="19"/>
  <c r="P119" i="19"/>
  <c r="L119" i="19"/>
  <c r="P139" i="19"/>
  <c r="P73" i="19"/>
  <c r="P91" i="19"/>
  <c r="P66" i="19"/>
  <c r="P107" i="19"/>
  <c r="R107" i="19"/>
  <c r="P103" i="19"/>
  <c r="R103" i="19"/>
  <c r="P133" i="19"/>
  <c r="P29" i="19"/>
  <c r="P56" i="19"/>
  <c r="P42" i="19"/>
  <c r="P5" i="19"/>
  <c r="L5" i="19"/>
  <c r="L66" i="19"/>
  <c r="R66" i="19"/>
  <c r="R430" i="19"/>
  <c r="R380" i="19"/>
  <c r="R526" i="19"/>
  <c r="R662" i="19"/>
  <c r="L454" i="19"/>
  <c r="R532" i="19"/>
  <c r="R446" i="19"/>
  <c r="R664" i="19"/>
  <c r="R557" i="19"/>
  <c r="L557" i="19"/>
  <c r="R464" i="19"/>
  <c r="L464" i="19"/>
  <c r="R491" i="19"/>
  <c r="L491" i="19"/>
  <c r="R582" i="19"/>
  <c r="L582" i="19"/>
  <c r="R540" i="19"/>
  <c r="R571" i="19"/>
  <c r="L571" i="19"/>
  <c r="R550" i="19"/>
  <c r="L550" i="19"/>
  <c r="R507" i="19"/>
  <c r="L507" i="19"/>
  <c r="R517" i="19"/>
  <c r="L517" i="19"/>
  <c r="R658" i="19"/>
  <c r="R91" i="19"/>
  <c r="L91" i="19"/>
  <c r="R249" i="19"/>
  <c r="L249" i="19"/>
  <c r="R304" i="19"/>
  <c r="L304" i="19"/>
  <c r="R309" i="19"/>
  <c r="L309" i="19"/>
  <c r="R340" i="19"/>
  <c r="L340" i="19"/>
  <c r="R437" i="19"/>
  <c r="L437" i="19"/>
  <c r="R56" i="19"/>
  <c r="L56" i="19"/>
  <c r="R175" i="19"/>
  <c r="L175" i="19"/>
  <c r="R139" i="19"/>
  <c r="L139" i="19"/>
  <c r="R164" i="19"/>
  <c r="L164" i="19"/>
  <c r="L103" i="19"/>
  <c r="R326" i="19"/>
  <c r="L326" i="19"/>
  <c r="R193" i="19"/>
  <c r="L193" i="19"/>
  <c r="R223" i="19"/>
  <c r="L223" i="19"/>
  <c r="R152" i="19"/>
  <c r="L152" i="19"/>
  <c r="R297" i="19"/>
  <c r="L297" i="19"/>
  <c r="R369" i="19"/>
  <c r="L369" i="19"/>
  <c r="R119" i="19"/>
  <c r="L107" i="19"/>
  <c r="R241" i="19"/>
  <c r="L241" i="19"/>
  <c r="L320" i="19"/>
  <c r="R189" i="19"/>
  <c r="L189" i="19"/>
  <c r="R410" i="19"/>
  <c r="L410" i="19"/>
  <c r="R73" i="19"/>
  <c r="L73" i="19"/>
  <c r="R133" i="19"/>
  <c r="L133" i="19"/>
  <c r="R227" i="19"/>
  <c r="L227" i="19"/>
  <c r="R293" i="19"/>
  <c r="L293" i="19"/>
  <c r="R350" i="19"/>
  <c r="L350" i="19"/>
  <c r="R128" i="19"/>
  <c r="L128" i="19"/>
  <c r="R423" i="19"/>
  <c r="R182" i="19"/>
  <c r="L182" i="19"/>
  <c r="R170" i="19"/>
  <c r="L170" i="19"/>
  <c r="R393" i="19"/>
  <c r="L393" i="19"/>
  <c r="R5" i="19"/>
  <c r="N4" i="19"/>
  <c r="B321" i="19"/>
  <c r="E425" i="19"/>
  <c r="E426" i="19"/>
  <c r="E427" i="19"/>
  <c r="E428" i="19"/>
  <c r="E424" i="19"/>
  <c r="E410" i="19"/>
  <c r="E423" i="19"/>
  <c r="E404" i="19"/>
  <c r="E405" i="19"/>
  <c r="E406" i="19"/>
  <c r="E407" i="19"/>
  <c r="E408" i="19"/>
  <c r="E409" i="19"/>
  <c r="E395" i="19"/>
  <c r="E396" i="19"/>
  <c r="E397" i="19"/>
  <c r="E398" i="19"/>
  <c r="E399" i="19"/>
  <c r="E400" i="19"/>
  <c r="E401" i="19"/>
  <c r="E402" i="19"/>
  <c r="E403" i="19"/>
  <c r="E394" i="19"/>
  <c r="E371" i="19"/>
  <c r="E372" i="19"/>
  <c r="E373" i="19"/>
  <c r="E374" i="19"/>
  <c r="E375" i="19"/>
  <c r="E376" i="19"/>
  <c r="E377" i="19"/>
  <c r="E378" i="19"/>
  <c r="E379" i="19"/>
  <c r="E380" i="19"/>
  <c r="E381" i="19"/>
  <c r="E382" i="19"/>
  <c r="E383" i="19"/>
  <c r="E384" i="19"/>
  <c r="E385" i="19"/>
  <c r="E386" i="19"/>
  <c r="E387" i="19"/>
  <c r="E388" i="19"/>
  <c r="E389" i="19"/>
  <c r="E390" i="19"/>
  <c r="E391" i="19"/>
  <c r="E370" i="19"/>
  <c r="E359" i="19"/>
  <c r="E360" i="19"/>
  <c r="E361" i="19"/>
  <c r="E362" i="19"/>
  <c r="E363" i="19"/>
  <c r="E364" i="19"/>
  <c r="E365" i="19"/>
  <c r="E366" i="19"/>
  <c r="E367" i="19"/>
  <c r="E352" i="19"/>
  <c r="E353" i="19"/>
  <c r="E354" i="19"/>
  <c r="E355" i="19"/>
  <c r="E356" i="19"/>
  <c r="E357" i="19"/>
  <c r="E358" i="19"/>
  <c r="E351" i="19"/>
  <c r="E347" i="19"/>
  <c r="E348" i="19"/>
  <c r="E349" i="19"/>
  <c r="E342" i="19"/>
  <c r="E343" i="19"/>
  <c r="E344" i="19"/>
  <c r="E345" i="19"/>
  <c r="E346" i="19"/>
  <c r="E341" i="19"/>
  <c r="E340" i="19"/>
  <c r="E350" i="19"/>
  <c r="E327" i="19"/>
  <c r="E328" i="19"/>
  <c r="E329" i="19"/>
  <c r="E330" i="19"/>
  <c r="E331" i="19"/>
  <c r="E333" i="19"/>
  <c r="E335" i="19"/>
  <c r="E336" i="19"/>
  <c r="E316" i="19"/>
  <c r="E337" i="19"/>
  <c r="E338" i="19"/>
  <c r="E339" i="19"/>
  <c r="E322" i="19"/>
  <c r="E323" i="19"/>
  <c r="E324" i="19"/>
  <c r="E325" i="19"/>
  <c r="E311" i="19"/>
  <c r="E314" i="19"/>
  <c r="E315" i="19"/>
  <c r="E310" i="19"/>
  <c r="E306" i="19"/>
  <c r="E307" i="19"/>
  <c r="E308" i="19"/>
  <c r="E305" i="19"/>
  <c r="E299" i="19"/>
  <c r="E300" i="19"/>
  <c r="E301" i="19"/>
  <c r="E302" i="19"/>
  <c r="E303" i="19"/>
  <c r="E298" i="19"/>
  <c r="E295" i="19"/>
  <c r="E296" i="19"/>
  <c r="E294" i="19"/>
  <c r="E287" i="19"/>
  <c r="E288" i="19"/>
  <c r="E289" i="19"/>
  <c r="E290" i="19"/>
  <c r="E291" i="19"/>
  <c r="E292" i="19"/>
  <c r="E286" i="19"/>
  <c r="E267" i="19"/>
  <c r="E268" i="19"/>
  <c r="E269" i="19"/>
  <c r="E270" i="19"/>
  <c r="E271" i="19"/>
  <c r="E272" i="19"/>
  <c r="E273" i="19"/>
  <c r="E274" i="19"/>
  <c r="E275" i="19"/>
  <c r="E276" i="19"/>
  <c r="E277" i="19"/>
  <c r="E278" i="19"/>
  <c r="E279" i="19"/>
  <c r="E280" i="19"/>
  <c r="E281" i="19"/>
  <c r="E282" i="19"/>
  <c r="E283" i="19"/>
  <c r="E284" i="19"/>
  <c r="E251" i="19"/>
  <c r="E252" i="19"/>
  <c r="E253" i="19"/>
  <c r="E254" i="19"/>
  <c r="E255" i="19"/>
  <c r="E256" i="19"/>
  <c r="E257" i="19"/>
  <c r="E258" i="19"/>
  <c r="E259" i="19"/>
  <c r="E260" i="19"/>
  <c r="E261" i="19"/>
  <c r="E262" i="19"/>
  <c r="E263" i="19"/>
  <c r="E264" i="19"/>
  <c r="E265" i="19"/>
  <c r="E266" i="19"/>
  <c r="E250" i="19"/>
  <c r="E243" i="19"/>
  <c r="E244" i="19"/>
  <c r="E245" i="19"/>
  <c r="E246" i="19"/>
  <c r="E247" i="19"/>
  <c r="E248" i="19"/>
  <c r="E242" i="19"/>
  <c r="E229" i="19"/>
  <c r="E230" i="19"/>
  <c r="E231" i="19"/>
  <c r="E232" i="19"/>
  <c r="E233" i="19"/>
  <c r="E234" i="19"/>
  <c r="E235" i="19"/>
  <c r="E236" i="19"/>
  <c r="E237" i="19"/>
  <c r="E238" i="19"/>
  <c r="E239" i="19"/>
  <c r="E228" i="19"/>
  <c r="E225" i="19"/>
  <c r="E226" i="19"/>
  <c r="E224" i="19"/>
  <c r="E222" i="19"/>
  <c r="E203" i="19"/>
  <c r="E204" i="19"/>
  <c r="E205" i="19"/>
  <c r="E206" i="19"/>
  <c r="E207" i="19"/>
  <c r="E208" i="19"/>
  <c r="E209" i="19"/>
  <c r="E210" i="19"/>
  <c r="E211" i="19"/>
  <c r="E212" i="19"/>
  <c r="E213" i="19"/>
  <c r="E214" i="19"/>
  <c r="E215" i="19"/>
  <c r="E216" i="19"/>
  <c r="E217" i="19"/>
  <c r="E218" i="19"/>
  <c r="E219" i="19"/>
  <c r="E220" i="19"/>
  <c r="E221" i="19"/>
  <c r="E195" i="19"/>
  <c r="E196" i="19"/>
  <c r="E197" i="19"/>
  <c r="E198" i="19"/>
  <c r="E199" i="19"/>
  <c r="E200" i="19"/>
  <c r="E201" i="19"/>
  <c r="E202" i="19"/>
  <c r="E194" i="19"/>
  <c r="E191" i="19"/>
  <c r="E192" i="19"/>
  <c r="E190" i="19"/>
  <c r="E184" i="19"/>
  <c r="E185" i="19"/>
  <c r="E186" i="19"/>
  <c r="E187" i="19"/>
  <c r="E188" i="19"/>
  <c r="E183" i="19"/>
  <c r="E177" i="19"/>
  <c r="E178" i="19"/>
  <c r="E179" i="19"/>
  <c r="E180" i="19"/>
  <c r="E181" i="19"/>
  <c r="E176" i="19"/>
  <c r="E172" i="19"/>
  <c r="E173" i="19"/>
  <c r="E174" i="19"/>
  <c r="E171" i="19"/>
  <c r="E166" i="19"/>
  <c r="E167" i="19"/>
  <c r="E168" i="19"/>
  <c r="E169" i="19"/>
  <c r="E165" i="19"/>
  <c r="E163" i="19"/>
  <c r="E154" i="19"/>
  <c r="E155" i="19"/>
  <c r="E156" i="19"/>
  <c r="E157" i="19"/>
  <c r="E158" i="19"/>
  <c r="E159" i="19"/>
  <c r="E160" i="19"/>
  <c r="E161" i="19"/>
  <c r="E162" i="19"/>
  <c r="E153" i="19"/>
  <c r="E147" i="19"/>
  <c r="E148" i="19"/>
  <c r="E149" i="19"/>
  <c r="E150" i="19"/>
  <c r="E151" i="19"/>
  <c r="E146" i="19"/>
  <c r="E141" i="19"/>
  <c r="E142" i="19"/>
  <c r="E143" i="19"/>
  <c r="E140" i="19"/>
  <c r="E135" i="19"/>
  <c r="E136" i="19"/>
  <c r="E137" i="19"/>
  <c r="E138" i="19"/>
  <c r="E130" i="19"/>
  <c r="E131" i="19"/>
  <c r="E132" i="19"/>
  <c r="E129" i="19"/>
  <c r="E125" i="19"/>
  <c r="E126" i="19"/>
  <c r="E124" i="19"/>
  <c r="E120" i="19"/>
  <c r="E109" i="19"/>
  <c r="E110" i="19"/>
  <c r="E111" i="19"/>
  <c r="E112" i="19"/>
  <c r="E113" i="19"/>
  <c r="E114" i="19"/>
  <c r="E115" i="19"/>
  <c r="E116" i="19"/>
  <c r="E117" i="19"/>
  <c r="E118" i="19"/>
  <c r="E105" i="19"/>
  <c r="E93" i="19"/>
  <c r="E94" i="19"/>
  <c r="E95" i="19"/>
  <c r="E96" i="19"/>
  <c r="E97" i="19"/>
  <c r="E98" i="19"/>
  <c r="E99" i="19"/>
  <c r="E100" i="19"/>
  <c r="E101" i="19"/>
  <c r="E102" i="19"/>
  <c r="E92" i="19"/>
  <c r="E84" i="19"/>
  <c r="E85" i="19"/>
  <c r="E86" i="19"/>
  <c r="E87" i="19"/>
  <c r="E88" i="19"/>
  <c r="E89" i="19"/>
  <c r="E90" i="19"/>
  <c r="E75" i="19"/>
  <c r="E76" i="19"/>
  <c r="E77" i="19"/>
  <c r="E78" i="19"/>
  <c r="E79" i="19"/>
  <c r="E80" i="19"/>
  <c r="E81" i="19"/>
  <c r="E82" i="19"/>
  <c r="E83" i="19"/>
  <c r="E74" i="19"/>
  <c r="E68" i="19"/>
  <c r="E69" i="19"/>
  <c r="E70" i="19"/>
  <c r="E71" i="19"/>
  <c r="E72" i="19"/>
  <c r="E58" i="19"/>
  <c r="E59" i="19"/>
  <c r="E60" i="19"/>
  <c r="E61" i="19"/>
  <c r="E62" i="19"/>
  <c r="E63" i="19"/>
  <c r="E57" i="19"/>
  <c r="E44" i="19"/>
  <c r="E45" i="19"/>
  <c r="E46" i="19"/>
  <c r="E47" i="19"/>
  <c r="E48" i="19"/>
  <c r="E49" i="19"/>
  <c r="E50" i="19"/>
  <c r="E51" i="19"/>
  <c r="E52" i="19"/>
  <c r="E53" i="19"/>
  <c r="E54" i="19"/>
  <c r="E55" i="19"/>
  <c r="E31" i="19"/>
  <c r="E32" i="19"/>
  <c r="E33" i="19"/>
  <c r="E34" i="19"/>
  <c r="E35" i="19"/>
  <c r="E36" i="19"/>
  <c r="E37" i="19"/>
  <c r="E38" i="19"/>
  <c r="E39" i="19"/>
  <c r="E40" i="19"/>
  <c r="E41" i="19"/>
  <c r="E30" i="19"/>
  <c r="E17" i="19"/>
  <c r="E18" i="19"/>
  <c r="E19" i="19"/>
  <c r="E20" i="19"/>
  <c r="E21" i="19"/>
  <c r="E22" i="19"/>
  <c r="E23" i="19"/>
  <c r="E24" i="19"/>
  <c r="E25" i="19"/>
  <c r="E26" i="19"/>
  <c r="E27" i="19"/>
  <c r="E28" i="19"/>
  <c r="E16" i="19"/>
  <c r="E7" i="19"/>
  <c r="E8" i="19"/>
  <c r="E9" i="19"/>
  <c r="E10" i="19"/>
  <c r="E11" i="19"/>
  <c r="E12" i="19"/>
  <c r="E13" i="19"/>
  <c r="E14" i="19"/>
  <c r="P657" i="19"/>
  <c r="P144" i="19"/>
  <c r="L144" i="19"/>
  <c r="D7" i="9"/>
  <c r="E7" i="9"/>
  <c r="P127" i="19"/>
  <c r="R127" i="19"/>
  <c r="P65" i="19"/>
  <c r="R65" i="19"/>
  <c r="L657" i="19"/>
  <c r="D18" i="9"/>
  <c r="E18" i="9"/>
  <c r="P429" i="19"/>
  <c r="L429" i="19"/>
  <c r="D12" i="9"/>
  <c r="E12" i="9"/>
  <c r="L629" i="19"/>
  <c r="D17" i="9"/>
  <c r="E17" i="9"/>
  <c r="L607" i="19"/>
  <c r="D16" i="9"/>
  <c r="E16" i="9"/>
  <c r="P368" i="19"/>
  <c r="L368" i="19"/>
  <c r="D10" i="9"/>
  <c r="E10" i="9"/>
  <c r="P556" i="19"/>
  <c r="L556" i="19"/>
  <c r="D14" i="9"/>
  <c r="E14" i="9"/>
  <c r="L587" i="19"/>
  <c r="D15" i="9"/>
  <c r="E15" i="9"/>
  <c r="P319" i="19"/>
  <c r="L319" i="19"/>
  <c r="D9" i="9"/>
  <c r="E9" i="9"/>
  <c r="P445" i="19"/>
  <c r="P392" i="19"/>
  <c r="L392" i="19"/>
  <c r="D11" i="9"/>
  <c r="E11" i="9"/>
  <c r="O460" i="19"/>
  <c r="O519" i="19"/>
  <c r="O520" i="19"/>
  <c r="O521" i="19"/>
  <c r="O522" i="19"/>
  <c r="O523" i="19"/>
  <c r="O524" i="19"/>
  <c r="O525" i="19"/>
  <c r="O518" i="19"/>
  <c r="O509" i="19"/>
  <c r="O510" i="19"/>
  <c r="O511" i="19"/>
  <c r="O512" i="19"/>
  <c r="O513" i="19"/>
  <c r="O514" i="19"/>
  <c r="O515" i="19"/>
  <c r="O516" i="19"/>
  <c r="O508" i="19"/>
  <c r="O493" i="19"/>
  <c r="O494" i="19"/>
  <c r="O495" i="19"/>
  <c r="O496" i="19"/>
  <c r="O497" i="19"/>
  <c r="O498" i="19"/>
  <c r="O499" i="19"/>
  <c r="O500" i="19"/>
  <c r="O501" i="19"/>
  <c r="O502" i="19"/>
  <c r="O503" i="19"/>
  <c r="O504" i="19"/>
  <c r="O505" i="19"/>
  <c r="O506" i="19"/>
  <c r="O492" i="19"/>
  <c r="O490" i="19"/>
  <c r="O481" i="19"/>
  <c r="O482" i="19"/>
  <c r="O483" i="19"/>
  <c r="O484" i="19"/>
  <c r="O485" i="19"/>
  <c r="O486" i="19"/>
  <c r="O487" i="19"/>
  <c r="O488" i="19"/>
  <c r="O489" i="19"/>
  <c r="O466" i="19"/>
  <c r="O467" i="19"/>
  <c r="O468" i="19"/>
  <c r="O469" i="19"/>
  <c r="O470" i="19"/>
  <c r="O471" i="19"/>
  <c r="O472" i="19"/>
  <c r="O473" i="19"/>
  <c r="O474" i="19"/>
  <c r="O475" i="19"/>
  <c r="O476" i="19"/>
  <c r="O477" i="19"/>
  <c r="O478" i="19"/>
  <c r="O479" i="19"/>
  <c r="O480" i="19"/>
  <c r="O465" i="19"/>
  <c r="O456" i="19"/>
  <c r="O457" i="19"/>
  <c r="O458" i="19"/>
  <c r="O459" i="19"/>
  <c r="O461" i="19"/>
  <c r="O462" i="19"/>
  <c r="O463" i="19"/>
  <c r="O455" i="19"/>
  <c r="O448" i="19"/>
  <c r="O449" i="19"/>
  <c r="O450" i="19"/>
  <c r="O451" i="19"/>
  <c r="O452" i="19"/>
  <c r="O453" i="19"/>
  <c r="O447" i="19"/>
  <c r="L65" i="19"/>
  <c r="L127" i="19"/>
  <c r="L445" i="19"/>
  <c r="D13" i="9"/>
  <c r="E13" i="9"/>
  <c r="O454" i="19"/>
  <c r="O464" i="19"/>
  <c r="O446" i="19"/>
  <c r="O507" i="19"/>
  <c r="C507" i="19"/>
  <c r="O491" i="19"/>
  <c r="O517" i="19"/>
  <c r="O367" i="19"/>
  <c r="O104" i="19"/>
  <c r="O105" i="19"/>
  <c r="C454" i="19"/>
  <c r="Q454" i="19"/>
  <c r="Q446" i="19"/>
  <c r="C446" i="19"/>
  <c r="Q517" i="19"/>
  <c r="C517" i="19"/>
  <c r="Q491" i="19"/>
  <c r="C491" i="19"/>
  <c r="Q507" i="19"/>
  <c r="Q464" i="19"/>
  <c r="C464" i="19"/>
  <c r="O103" i="19"/>
  <c r="Q103" i="19"/>
  <c r="O111" i="19"/>
  <c r="O114" i="19"/>
  <c r="O109" i="19"/>
  <c r="C103" i="19"/>
  <c r="B430" i="19"/>
  <c r="B309" i="19"/>
  <c r="B308" i="19"/>
  <c r="A309" i="19"/>
  <c r="B304" i="19"/>
  <c r="A304" i="19"/>
  <c r="B297" i="19"/>
  <c r="B296" i="19"/>
  <c r="A297" i="19"/>
  <c r="B293" i="19"/>
  <c r="A293" i="19"/>
  <c r="A285" i="19"/>
  <c r="B285" i="19"/>
  <c r="E588" i="19"/>
  <c r="E571" i="19"/>
  <c r="E572" i="19"/>
  <c r="E573" i="19"/>
  <c r="E574" i="19"/>
  <c r="E575" i="19"/>
  <c r="E576" i="19"/>
  <c r="E577" i="19"/>
  <c r="E578" i="19"/>
  <c r="E579" i="19"/>
  <c r="E580" i="19"/>
  <c r="E581" i="19"/>
  <c r="E582" i="19"/>
  <c r="E583" i="19"/>
  <c r="E584" i="19"/>
  <c r="E585" i="19"/>
  <c r="E586" i="19"/>
  <c r="E570" i="19"/>
  <c r="E559" i="19"/>
  <c r="E560" i="19"/>
  <c r="E561" i="19"/>
  <c r="E562" i="19"/>
  <c r="E563" i="19"/>
  <c r="E564" i="19"/>
  <c r="E565" i="19"/>
  <c r="E566" i="19"/>
  <c r="E567" i="19"/>
  <c r="E568" i="19"/>
  <c r="E569" i="19"/>
  <c r="E558" i="19"/>
  <c r="E555" i="19"/>
  <c r="E448" i="19"/>
  <c r="E449" i="19"/>
  <c r="E450" i="19"/>
  <c r="E451" i="19"/>
  <c r="E452" i="19"/>
  <c r="E453" i="19"/>
  <c r="E454" i="19"/>
  <c r="E455" i="19"/>
  <c r="E456" i="19"/>
  <c r="E457" i="19"/>
  <c r="E458" i="19"/>
  <c r="E459" i="19"/>
  <c r="E460" i="19"/>
  <c r="E461" i="19"/>
  <c r="E462" i="19"/>
  <c r="E463" i="19"/>
  <c r="E464" i="19"/>
  <c r="E465" i="19"/>
  <c r="E466" i="19"/>
  <c r="E467" i="19"/>
  <c r="E468" i="19"/>
  <c r="E469" i="19"/>
  <c r="E470" i="19"/>
  <c r="E471" i="19"/>
  <c r="E472" i="19"/>
  <c r="E473" i="19"/>
  <c r="E474" i="19"/>
  <c r="E475" i="19"/>
  <c r="E476" i="19"/>
  <c r="E477" i="19"/>
  <c r="E478" i="19"/>
  <c r="E479" i="19"/>
  <c r="E480" i="19"/>
  <c r="E481" i="19"/>
  <c r="E482" i="19"/>
  <c r="E483" i="19"/>
  <c r="E484" i="19"/>
  <c r="E485" i="19"/>
  <c r="E486" i="19"/>
  <c r="E487" i="19"/>
  <c r="E488" i="19"/>
  <c r="E489" i="19"/>
  <c r="E490" i="19"/>
  <c r="E491" i="19"/>
  <c r="E492" i="19"/>
  <c r="E493" i="19"/>
  <c r="E494" i="19"/>
  <c r="E495" i="19"/>
  <c r="E496" i="19"/>
  <c r="E497" i="19"/>
  <c r="E498" i="19"/>
  <c r="E499" i="19"/>
  <c r="E500" i="19"/>
  <c r="E501" i="19"/>
  <c r="E502" i="19"/>
  <c r="E503" i="19"/>
  <c r="E504" i="19"/>
  <c r="E505" i="19"/>
  <c r="E506" i="19"/>
  <c r="E507" i="19"/>
  <c r="E508" i="19"/>
  <c r="E509" i="19"/>
  <c r="E510" i="19"/>
  <c r="E511" i="19"/>
  <c r="E512" i="19"/>
  <c r="E513" i="19"/>
  <c r="E514" i="19"/>
  <c r="E515" i="19"/>
  <c r="E516" i="19"/>
  <c r="E517" i="19"/>
  <c r="E518" i="19"/>
  <c r="E519" i="19"/>
  <c r="E520" i="19"/>
  <c r="E521" i="19"/>
  <c r="E522" i="19"/>
  <c r="E523" i="19"/>
  <c r="E524" i="19"/>
  <c r="E525" i="19"/>
  <c r="E526" i="19"/>
  <c r="E527" i="19"/>
  <c r="E528" i="19"/>
  <c r="E529" i="19"/>
  <c r="E532" i="19"/>
  <c r="E533" i="19"/>
  <c r="E534" i="19"/>
  <c r="E535" i="19"/>
  <c r="E536" i="19"/>
  <c r="E537" i="19"/>
  <c r="E538" i="19"/>
  <c r="E539" i="19"/>
  <c r="E540" i="19"/>
  <c r="E541" i="19"/>
  <c r="E542" i="19"/>
  <c r="E543" i="19"/>
  <c r="E544" i="19"/>
  <c r="E545" i="19"/>
  <c r="E546" i="19"/>
  <c r="E547" i="19"/>
  <c r="E550" i="19"/>
  <c r="E551" i="19"/>
  <c r="E552" i="19"/>
  <c r="E553" i="19"/>
  <c r="E554" i="19"/>
  <c r="E447" i="19"/>
  <c r="E432" i="19"/>
  <c r="E433" i="19"/>
  <c r="E434" i="19"/>
  <c r="E435" i="19"/>
  <c r="E436" i="19"/>
  <c r="E437" i="19"/>
  <c r="E438" i="19"/>
  <c r="E439" i="19"/>
  <c r="E440" i="19"/>
  <c r="E441" i="19"/>
  <c r="E442" i="19"/>
  <c r="E443" i="19"/>
  <c r="E444" i="19"/>
  <c r="E431" i="19"/>
  <c r="E326" i="19"/>
  <c r="E321" i="19"/>
  <c r="E285" i="19"/>
  <c r="A286" i="19"/>
  <c r="B286" i="19"/>
  <c r="O286" i="19"/>
  <c r="A287" i="19"/>
  <c r="B287" i="19"/>
  <c r="O287" i="19"/>
  <c r="A288" i="19"/>
  <c r="B288" i="19"/>
  <c r="O288" i="19"/>
  <c r="A289" i="19"/>
  <c r="B289" i="19"/>
  <c r="O289" i="19"/>
  <c r="A290" i="19"/>
  <c r="B290" i="19"/>
  <c r="O290" i="19"/>
  <c r="A291" i="19"/>
  <c r="B291" i="19"/>
  <c r="O291" i="19"/>
  <c r="A292" i="19"/>
  <c r="B292" i="19"/>
  <c r="O292" i="19"/>
  <c r="E293" i="19"/>
  <c r="A294" i="19"/>
  <c r="B294" i="19"/>
  <c r="O294" i="19"/>
  <c r="A295" i="19"/>
  <c r="B295" i="19"/>
  <c r="O295" i="19"/>
  <c r="A296" i="19"/>
  <c r="O296" i="19"/>
  <c r="E297" i="19"/>
  <c r="A298" i="19"/>
  <c r="B298" i="19"/>
  <c r="O298" i="19"/>
  <c r="A299" i="19"/>
  <c r="B299" i="19"/>
  <c r="O299" i="19"/>
  <c r="A300" i="19"/>
  <c r="B300" i="19"/>
  <c r="O300" i="19"/>
  <c r="A301" i="19"/>
  <c r="B301" i="19"/>
  <c r="O301" i="19"/>
  <c r="A302" i="19"/>
  <c r="B302" i="19"/>
  <c r="O302" i="19"/>
  <c r="A303" i="19"/>
  <c r="B303" i="19"/>
  <c r="O303" i="19"/>
  <c r="E304" i="19"/>
  <c r="A305" i="19"/>
  <c r="B305" i="19"/>
  <c r="O305" i="19"/>
  <c r="A306" i="19"/>
  <c r="B306" i="19"/>
  <c r="O306" i="19"/>
  <c r="A307" i="19"/>
  <c r="B307" i="19"/>
  <c r="O307" i="19"/>
  <c r="A308" i="19"/>
  <c r="O308" i="19"/>
  <c r="E309" i="19"/>
  <c r="A310" i="19"/>
  <c r="B310" i="19"/>
  <c r="O310" i="19"/>
  <c r="A311" i="19"/>
  <c r="B311" i="19"/>
  <c r="O311" i="19"/>
  <c r="B314" i="19"/>
  <c r="O314" i="19"/>
  <c r="A315" i="19"/>
  <c r="B315" i="19"/>
  <c r="O315" i="19"/>
  <c r="A316" i="19"/>
  <c r="B316" i="19"/>
  <c r="O316" i="19"/>
  <c r="A284" i="19"/>
  <c r="B284" i="19"/>
  <c r="O284" i="19"/>
  <c r="B258" i="19"/>
  <c r="E249" i="19"/>
  <c r="E152" i="19"/>
  <c r="E164" i="19"/>
  <c r="E170" i="19"/>
  <c r="E175" i="19"/>
  <c r="E182" i="19"/>
  <c r="E189" i="19"/>
  <c r="E193" i="19"/>
  <c r="E223" i="19"/>
  <c r="E227" i="19"/>
  <c r="E73" i="19"/>
  <c r="E91" i="19"/>
  <c r="E103" i="19"/>
  <c r="E104" i="19"/>
  <c r="E106" i="19"/>
  <c r="E107" i="19"/>
  <c r="E108" i="19"/>
  <c r="E119" i="19"/>
  <c r="E121" i="19"/>
  <c r="E122" i="19"/>
  <c r="E123" i="19"/>
  <c r="E127" i="19"/>
  <c r="E128" i="19"/>
  <c r="E133" i="19"/>
  <c r="E134" i="19"/>
  <c r="E139" i="19"/>
  <c r="E67" i="19"/>
  <c r="E43" i="19"/>
  <c r="O6" i="19"/>
  <c r="O293" i="19"/>
  <c r="O297" i="19"/>
  <c r="O304" i="19"/>
  <c r="O309" i="19"/>
  <c r="O285" i="19"/>
  <c r="C285" i="19"/>
  <c r="Q309" i="19"/>
  <c r="C309" i="19"/>
  <c r="Q297" i="19"/>
  <c r="C297" i="19"/>
  <c r="Q304" i="19"/>
  <c r="C304" i="19"/>
  <c r="Q293" i="19"/>
  <c r="C293" i="19"/>
  <c r="O228" i="19"/>
  <c r="B224" i="19"/>
  <c r="B223" i="19"/>
  <c r="A199" i="19"/>
  <c r="B199" i="19"/>
  <c r="O199" i="19"/>
  <c r="A200" i="19"/>
  <c r="A208" i="19"/>
  <c r="B208" i="19"/>
  <c r="O208" i="19"/>
  <c r="A206" i="19"/>
  <c r="B206" i="19"/>
  <c r="O206" i="19"/>
  <c r="A204" i="19"/>
  <c r="B204" i="19"/>
  <c r="O204" i="19"/>
  <c r="A202" i="19"/>
  <c r="B202" i="19"/>
  <c r="O202" i="19"/>
  <c r="B200" i="19"/>
  <c r="O200" i="19"/>
  <c r="A213" i="19"/>
  <c r="B213" i="19"/>
  <c r="O213" i="19"/>
  <c r="A211" i="19"/>
  <c r="B211" i="19"/>
  <c r="O211" i="19"/>
  <c r="A209" i="19"/>
  <c r="B209" i="19"/>
  <c r="O209" i="19"/>
  <c r="A205" i="19"/>
  <c r="B205" i="19"/>
  <c r="O205" i="19"/>
  <c r="A201" i="19"/>
  <c r="B201" i="19"/>
  <c r="O201" i="19"/>
  <c r="A233" i="13"/>
  <c r="A234" i="13"/>
  <c r="A235" i="13"/>
  <c r="A236" i="13"/>
  <c r="A238" i="13"/>
  <c r="A239" i="13"/>
  <c r="A240" i="13"/>
  <c r="A241" i="13"/>
  <c r="A242" i="13"/>
  <c r="A243" i="13"/>
  <c r="L15" i="19"/>
  <c r="O10" i="19"/>
  <c r="R15" i="19"/>
  <c r="N42" i="19"/>
  <c r="N29" i="19"/>
  <c r="R42" i="19"/>
  <c r="L42" i="19"/>
  <c r="R29" i="19"/>
  <c r="L29" i="19"/>
  <c r="O663" i="19"/>
  <c r="O659" i="19"/>
  <c r="O589" i="19"/>
  <c r="O590" i="19"/>
  <c r="O591" i="19"/>
  <c r="O593" i="19"/>
  <c r="O594" i="19"/>
  <c r="O595" i="19"/>
  <c r="O596" i="19"/>
  <c r="O588" i="19"/>
  <c r="O584" i="19"/>
  <c r="O585" i="19"/>
  <c r="O586" i="19"/>
  <c r="O583" i="19"/>
  <c r="O581" i="19"/>
  <c r="O573" i="19"/>
  <c r="O574" i="19"/>
  <c r="O575" i="19"/>
  <c r="O576" i="19"/>
  <c r="O577" i="19"/>
  <c r="O578" i="19"/>
  <c r="O579" i="19"/>
  <c r="O580" i="19"/>
  <c r="O572" i="19"/>
  <c r="O559" i="19"/>
  <c r="O560" i="19"/>
  <c r="O561" i="19"/>
  <c r="O562" i="19"/>
  <c r="O563" i="19"/>
  <c r="O564" i="19"/>
  <c r="O565" i="19"/>
  <c r="O566" i="19"/>
  <c r="O567" i="19"/>
  <c r="O568" i="19"/>
  <c r="O569" i="19"/>
  <c r="O570" i="19"/>
  <c r="O558" i="19"/>
  <c r="O555" i="19"/>
  <c r="O552" i="19"/>
  <c r="O553" i="19"/>
  <c r="O554" i="19"/>
  <c r="O551" i="19"/>
  <c r="B550" i="19"/>
  <c r="O542" i="19"/>
  <c r="O543" i="19"/>
  <c r="O544" i="19"/>
  <c r="O545" i="19"/>
  <c r="O546" i="19"/>
  <c r="O547" i="19"/>
  <c r="O541" i="19"/>
  <c r="B540" i="19"/>
  <c r="O534" i="19"/>
  <c r="O535" i="19"/>
  <c r="O536" i="19"/>
  <c r="O537" i="19"/>
  <c r="O538" i="19"/>
  <c r="O539" i="19"/>
  <c r="O533" i="19"/>
  <c r="B532" i="19"/>
  <c r="O528" i="19"/>
  <c r="O529" i="19"/>
  <c r="O527" i="19"/>
  <c r="B526" i="19"/>
  <c r="B517" i="19"/>
  <c r="B507" i="19"/>
  <c r="B491" i="19"/>
  <c r="B464" i="19"/>
  <c r="B454" i="19"/>
  <c r="O439" i="19"/>
  <c r="O440" i="19"/>
  <c r="O441" i="19"/>
  <c r="O442" i="19"/>
  <c r="O443" i="19"/>
  <c r="O444" i="19"/>
  <c r="O438" i="19"/>
  <c r="O435" i="19"/>
  <c r="O436" i="19"/>
  <c r="O432" i="19"/>
  <c r="O433" i="19"/>
  <c r="O434" i="19"/>
  <c r="O431" i="19"/>
  <c r="O425" i="19"/>
  <c r="O426" i="19"/>
  <c r="O427" i="19"/>
  <c r="O428" i="19"/>
  <c r="O424" i="19"/>
  <c r="B423" i="19"/>
  <c r="O412" i="19"/>
  <c r="O413" i="19"/>
  <c r="O414" i="19"/>
  <c r="O415" i="19"/>
  <c r="O416" i="19"/>
  <c r="O417" i="19"/>
  <c r="O418" i="19"/>
  <c r="O419" i="19"/>
  <c r="O420" i="19"/>
  <c r="O421" i="19"/>
  <c r="O422" i="19"/>
  <c r="O411" i="19"/>
  <c r="B410" i="19"/>
  <c r="O395" i="19"/>
  <c r="O396" i="19"/>
  <c r="O397" i="19"/>
  <c r="O398" i="19"/>
  <c r="O399" i="19"/>
  <c r="O400" i="19"/>
  <c r="O401" i="19"/>
  <c r="O402" i="19"/>
  <c r="O403" i="19"/>
  <c r="O404" i="19"/>
  <c r="O405" i="19"/>
  <c r="O406" i="19"/>
  <c r="O407" i="19"/>
  <c r="O408" i="19"/>
  <c r="O409" i="19"/>
  <c r="O394" i="19"/>
  <c r="O391" i="19"/>
  <c r="O382" i="19"/>
  <c r="O383" i="19"/>
  <c r="O384" i="19"/>
  <c r="O385" i="19"/>
  <c r="O386" i="19"/>
  <c r="O387" i="19"/>
  <c r="O388" i="19"/>
  <c r="O389" i="19"/>
  <c r="O390" i="19"/>
  <c r="O381" i="19"/>
  <c r="O371" i="19"/>
  <c r="O372" i="19"/>
  <c r="O373" i="19"/>
  <c r="O374" i="19"/>
  <c r="O375" i="19"/>
  <c r="O376" i="19"/>
  <c r="O377" i="19"/>
  <c r="O378" i="19"/>
  <c r="O379" i="19"/>
  <c r="O370" i="19"/>
  <c r="O352" i="19"/>
  <c r="O353" i="19"/>
  <c r="O354" i="19"/>
  <c r="O355" i="19"/>
  <c r="O356" i="19"/>
  <c r="O357" i="19"/>
  <c r="O358" i="19"/>
  <c r="O359" i="19"/>
  <c r="O360" i="19"/>
  <c r="O361" i="19"/>
  <c r="O362" i="19"/>
  <c r="O363" i="19"/>
  <c r="O364" i="19"/>
  <c r="O365" i="19"/>
  <c r="O366" i="19"/>
  <c r="O351" i="19"/>
  <c r="O342" i="19"/>
  <c r="O343" i="19"/>
  <c r="O344" i="19"/>
  <c r="O345" i="19"/>
  <c r="O346" i="19"/>
  <c r="O347" i="19"/>
  <c r="O348" i="19"/>
  <c r="O349" i="19"/>
  <c r="O341" i="19"/>
  <c r="O328" i="19"/>
  <c r="O329" i="19"/>
  <c r="O330" i="19"/>
  <c r="O331" i="19"/>
  <c r="O333" i="19"/>
  <c r="O335" i="19"/>
  <c r="O336" i="19"/>
  <c r="O337" i="19"/>
  <c r="O338" i="19"/>
  <c r="O339" i="19"/>
  <c r="O327" i="19"/>
  <c r="O322" i="19"/>
  <c r="O323" i="19"/>
  <c r="O324" i="19"/>
  <c r="O325" i="19"/>
  <c r="O321" i="19"/>
  <c r="O279" i="19"/>
  <c r="O280" i="19"/>
  <c r="O281" i="19"/>
  <c r="O282" i="19"/>
  <c r="O283" i="19"/>
  <c r="O273" i="19"/>
  <c r="O274" i="19"/>
  <c r="O275" i="19"/>
  <c r="O276" i="19"/>
  <c r="O277" i="19"/>
  <c r="O278" i="19"/>
  <c r="O263" i="19"/>
  <c r="O264" i="19"/>
  <c r="O265" i="19"/>
  <c r="O266" i="19"/>
  <c r="O267" i="19"/>
  <c r="O268" i="19"/>
  <c r="O269" i="19"/>
  <c r="O270" i="19"/>
  <c r="O271" i="19"/>
  <c r="O272" i="19"/>
  <c r="O251" i="19"/>
  <c r="O252" i="19"/>
  <c r="O253" i="19"/>
  <c r="O254" i="19"/>
  <c r="O255" i="19"/>
  <c r="O256" i="19"/>
  <c r="O257" i="19"/>
  <c r="O258" i="19"/>
  <c r="O259" i="19"/>
  <c r="O260" i="19"/>
  <c r="O261" i="19"/>
  <c r="O262" i="19"/>
  <c r="O250" i="19"/>
  <c r="O243" i="19"/>
  <c r="O244" i="19"/>
  <c r="O245" i="19"/>
  <c r="O246" i="19"/>
  <c r="O247" i="19"/>
  <c r="O248" i="19"/>
  <c r="O242" i="19"/>
  <c r="O229" i="19"/>
  <c r="O230" i="19"/>
  <c r="O231" i="19"/>
  <c r="O232" i="19"/>
  <c r="O233" i="19"/>
  <c r="O234" i="19"/>
  <c r="O235" i="19"/>
  <c r="O236" i="19"/>
  <c r="O237" i="19"/>
  <c r="O238" i="19"/>
  <c r="O239" i="19"/>
  <c r="O225" i="19"/>
  <c r="O226" i="19"/>
  <c r="O224" i="19"/>
  <c r="O194" i="19"/>
  <c r="O195" i="19"/>
  <c r="O196" i="19"/>
  <c r="O197" i="19"/>
  <c r="O198" i="19"/>
  <c r="O203" i="19"/>
  <c r="O207" i="19"/>
  <c r="O210" i="19"/>
  <c r="O212" i="19"/>
  <c r="O214" i="19"/>
  <c r="O215" i="19"/>
  <c r="O216" i="19"/>
  <c r="O217" i="19"/>
  <c r="O218" i="19"/>
  <c r="O219" i="19"/>
  <c r="O220" i="19"/>
  <c r="O221" i="19"/>
  <c r="O222" i="19"/>
  <c r="O191" i="19"/>
  <c r="O192" i="19"/>
  <c r="O190" i="19"/>
  <c r="O184" i="19"/>
  <c r="O185" i="19"/>
  <c r="O186" i="19"/>
  <c r="O187" i="19"/>
  <c r="O188" i="19"/>
  <c r="O183" i="19"/>
  <c r="O177" i="19"/>
  <c r="O178" i="19"/>
  <c r="O179" i="19"/>
  <c r="O180" i="19"/>
  <c r="O181" i="19"/>
  <c r="O176" i="19"/>
  <c r="O174" i="19"/>
  <c r="O172" i="19"/>
  <c r="O173" i="19"/>
  <c r="O171" i="19"/>
  <c r="O169" i="19"/>
  <c r="O166" i="19"/>
  <c r="O167" i="19"/>
  <c r="O168" i="19"/>
  <c r="O165" i="19"/>
  <c r="O154" i="19"/>
  <c r="O155" i="19"/>
  <c r="O156" i="19"/>
  <c r="O157" i="19"/>
  <c r="O158" i="19"/>
  <c r="O159" i="19"/>
  <c r="O160" i="19"/>
  <c r="O161" i="19"/>
  <c r="O162" i="19"/>
  <c r="O163" i="19"/>
  <c r="O153" i="19"/>
  <c r="O147" i="19"/>
  <c r="O148" i="19"/>
  <c r="O149" i="19"/>
  <c r="O150" i="19"/>
  <c r="O151" i="19"/>
  <c r="O146" i="19"/>
  <c r="O141" i="19"/>
  <c r="O142" i="19"/>
  <c r="O143" i="19"/>
  <c r="O140" i="19"/>
  <c r="O135" i="19"/>
  <c r="O136" i="19"/>
  <c r="O137" i="19"/>
  <c r="O138" i="19"/>
  <c r="O134" i="19"/>
  <c r="O132" i="19"/>
  <c r="O130" i="19"/>
  <c r="O131" i="19"/>
  <c r="O129" i="19"/>
  <c r="O121" i="19"/>
  <c r="O122" i="19"/>
  <c r="O124" i="19"/>
  <c r="O125" i="19"/>
  <c r="O126" i="19"/>
  <c r="O120" i="19"/>
  <c r="O108" i="19"/>
  <c r="O110" i="19"/>
  <c r="O112" i="19"/>
  <c r="O113" i="19"/>
  <c r="O115" i="19"/>
  <c r="O116" i="19"/>
  <c r="O117" i="19"/>
  <c r="O118" i="19"/>
  <c r="O96" i="19"/>
  <c r="O97" i="19"/>
  <c r="O98" i="19"/>
  <c r="O99" i="19"/>
  <c r="O100" i="19"/>
  <c r="O101" i="19"/>
  <c r="O102" i="19"/>
  <c r="O92" i="19"/>
  <c r="O93" i="19"/>
  <c r="O94" i="19"/>
  <c r="O95" i="19"/>
  <c r="O81" i="19"/>
  <c r="O82" i="19"/>
  <c r="O83" i="19"/>
  <c r="O84" i="19"/>
  <c r="O85" i="19"/>
  <c r="O86" i="19"/>
  <c r="O87" i="19"/>
  <c r="O88" i="19"/>
  <c r="O89" i="19"/>
  <c r="O90" i="19"/>
  <c r="O75" i="19"/>
  <c r="O76" i="19"/>
  <c r="O77" i="19"/>
  <c r="O78" i="19"/>
  <c r="O79" i="19"/>
  <c r="O80" i="19"/>
  <c r="O74" i="19"/>
  <c r="O68" i="19"/>
  <c r="O69" i="19"/>
  <c r="O70" i="19"/>
  <c r="O71" i="19"/>
  <c r="O72" i="19"/>
  <c r="O67" i="19"/>
  <c r="O63" i="19"/>
  <c r="O58" i="19"/>
  <c r="O59" i="19"/>
  <c r="O60" i="19"/>
  <c r="O61" i="19"/>
  <c r="O62" i="19"/>
  <c r="O57" i="19"/>
  <c r="O55" i="19"/>
  <c r="O44" i="19"/>
  <c r="O45" i="19"/>
  <c r="O46" i="19"/>
  <c r="O47" i="19"/>
  <c r="O48" i="19"/>
  <c r="O49" i="19"/>
  <c r="O50" i="19"/>
  <c r="O51" i="19"/>
  <c r="O52" i="19"/>
  <c r="O53" i="19"/>
  <c r="O54" i="19"/>
  <c r="O43" i="19"/>
  <c r="O35" i="19"/>
  <c r="O36" i="19"/>
  <c r="O37" i="19"/>
  <c r="O38" i="19"/>
  <c r="O39" i="19"/>
  <c r="O40" i="19"/>
  <c r="O41" i="19"/>
  <c r="O33" i="19"/>
  <c r="O34" i="19"/>
  <c r="O31" i="19"/>
  <c r="O32" i="19"/>
  <c r="O30" i="19"/>
  <c r="C18" i="19"/>
  <c r="O18" i="19"/>
  <c r="C19" i="19"/>
  <c r="O19" i="19"/>
  <c r="C20" i="19"/>
  <c r="O20" i="19"/>
  <c r="C21" i="19"/>
  <c r="O21" i="19"/>
  <c r="C22" i="19"/>
  <c r="O22" i="19"/>
  <c r="C23" i="19"/>
  <c r="O23" i="19"/>
  <c r="C24" i="19"/>
  <c r="O24" i="19"/>
  <c r="C25" i="19"/>
  <c r="O25" i="19"/>
  <c r="C26" i="19"/>
  <c r="O26" i="19"/>
  <c r="C27" i="19"/>
  <c r="O27" i="19"/>
  <c r="C28" i="19"/>
  <c r="O28" i="19"/>
  <c r="C17" i="19"/>
  <c r="O17" i="19"/>
  <c r="C16" i="19"/>
  <c r="O16" i="19"/>
  <c r="O7" i="19"/>
  <c r="O8" i="19"/>
  <c r="O9" i="19"/>
  <c r="O11" i="19"/>
  <c r="O12" i="19"/>
  <c r="O13" i="19"/>
  <c r="O14" i="19"/>
  <c r="B13" i="19"/>
  <c r="B587" i="19"/>
  <c r="B582" i="19"/>
  <c r="B571" i="19"/>
  <c r="A558" i="19"/>
  <c r="B557" i="19"/>
  <c r="B556" i="19"/>
  <c r="B393" i="19"/>
  <c r="B369" i="19"/>
  <c r="B320" i="19"/>
  <c r="B241" i="19"/>
  <c r="B445" i="19"/>
  <c r="B446" i="19"/>
  <c r="B437" i="19"/>
  <c r="B429" i="19"/>
  <c r="B392" i="19"/>
  <c r="B380" i="19"/>
  <c r="B368" i="19"/>
  <c r="B350" i="19"/>
  <c r="B340" i="19"/>
  <c r="B326" i="19"/>
  <c r="B319" i="19"/>
  <c r="B249" i="19"/>
  <c r="B240" i="19"/>
  <c r="A8" i="9"/>
  <c r="B227" i="19"/>
  <c r="B193" i="19"/>
  <c r="B189" i="19"/>
  <c r="B182" i="19"/>
  <c r="B175" i="19"/>
  <c r="B170" i="19"/>
  <c r="B164" i="19"/>
  <c r="B152" i="19"/>
  <c r="B144" i="19"/>
  <c r="B127" i="19"/>
  <c r="B106" i="19"/>
  <c r="B65" i="19"/>
  <c r="B64" i="19"/>
  <c r="A64" i="19"/>
  <c r="A65" i="19"/>
  <c r="B66" i="19"/>
  <c r="B56" i="19"/>
  <c r="A56" i="19"/>
  <c r="B42" i="19"/>
  <c r="A42" i="19"/>
  <c r="B29" i="19"/>
  <c r="A29" i="19"/>
  <c r="A152" i="19"/>
  <c r="B43" i="19"/>
  <c r="B44" i="19"/>
  <c r="B45" i="19"/>
  <c r="B46" i="19"/>
  <c r="B47" i="19"/>
  <c r="B48" i="19"/>
  <c r="B49" i="19"/>
  <c r="B50" i="19"/>
  <c r="B51" i="19"/>
  <c r="B52" i="19"/>
  <c r="B53" i="19"/>
  <c r="B54" i="19"/>
  <c r="B55" i="19"/>
  <c r="B57" i="19"/>
  <c r="B58" i="19"/>
  <c r="B59" i="19"/>
  <c r="B60" i="19"/>
  <c r="B61" i="19"/>
  <c r="B62" i="19"/>
  <c r="B63"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B101" i="19"/>
  <c r="B102" i="19"/>
  <c r="B103" i="19"/>
  <c r="B104" i="19"/>
  <c r="B105" i="19"/>
  <c r="B107" i="19"/>
  <c r="B108" i="19"/>
  <c r="B109" i="19"/>
  <c r="B110" i="19"/>
  <c r="B111" i="19"/>
  <c r="B112" i="19"/>
  <c r="B113" i="19"/>
  <c r="B114" i="19"/>
  <c r="B115" i="19"/>
  <c r="B116" i="19"/>
  <c r="B117" i="19"/>
  <c r="B118" i="19"/>
  <c r="B119" i="19"/>
  <c r="B120" i="19"/>
  <c r="B121" i="19"/>
  <c r="B122" i="19"/>
  <c r="B123" i="19"/>
  <c r="B124" i="19"/>
  <c r="B125" i="19"/>
  <c r="B126" i="19"/>
  <c r="B128" i="19"/>
  <c r="B129" i="19"/>
  <c r="B130" i="19"/>
  <c r="B131" i="19"/>
  <c r="B132" i="19"/>
  <c r="B133" i="19"/>
  <c r="B134" i="19"/>
  <c r="B135" i="19"/>
  <c r="B136" i="19"/>
  <c r="B137" i="19"/>
  <c r="B138" i="19"/>
  <c r="B139" i="19"/>
  <c r="B140" i="19"/>
  <c r="B141" i="19"/>
  <c r="B142" i="19"/>
  <c r="B143" i="19"/>
  <c r="B146" i="19"/>
  <c r="B147" i="19"/>
  <c r="B148" i="19"/>
  <c r="B149" i="19"/>
  <c r="B150" i="19"/>
  <c r="B151" i="19"/>
  <c r="B153" i="19"/>
  <c r="B154" i="19"/>
  <c r="B155" i="19"/>
  <c r="B156" i="19"/>
  <c r="B157" i="19"/>
  <c r="B158" i="19"/>
  <c r="B159" i="19"/>
  <c r="B160" i="19"/>
  <c r="B161" i="19"/>
  <c r="B162" i="19"/>
  <c r="B163" i="19"/>
  <c r="B165" i="19"/>
  <c r="B166" i="19"/>
  <c r="B167" i="19"/>
  <c r="B168" i="19"/>
  <c r="B169" i="19"/>
  <c r="B171" i="19"/>
  <c r="B172" i="19"/>
  <c r="B173" i="19"/>
  <c r="B174" i="19"/>
  <c r="B176" i="19"/>
  <c r="B177" i="19"/>
  <c r="B178" i="19"/>
  <c r="B179" i="19"/>
  <c r="B180" i="19"/>
  <c r="B181" i="19"/>
  <c r="B183" i="19"/>
  <c r="B184" i="19"/>
  <c r="B185" i="19"/>
  <c r="B186" i="19"/>
  <c r="B187" i="19"/>
  <c r="B188" i="19"/>
  <c r="B190" i="19"/>
  <c r="B191" i="19"/>
  <c r="B192" i="19"/>
  <c r="B194" i="19"/>
  <c r="B195" i="19"/>
  <c r="B196" i="19"/>
  <c r="B197" i="19"/>
  <c r="B198" i="19"/>
  <c r="B203" i="19"/>
  <c r="B207" i="19"/>
  <c r="B210" i="19"/>
  <c r="B212" i="19"/>
  <c r="B214" i="19"/>
  <c r="B215" i="19"/>
  <c r="B216" i="19"/>
  <c r="B217" i="19"/>
  <c r="B218" i="19"/>
  <c r="B219" i="19"/>
  <c r="B220" i="19"/>
  <c r="B221" i="19"/>
  <c r="B222" i="19"/>
  <c r="B225" i="19"/>
  <c r="B226" i="19"/>
  <c r="B228" i="19"/>
  <c r="B229" i="19"/>
  <c r="B230" i="19"/>
  <c r="B231" i="19"/>
  <c r="B232" i="19"/>
  <c r="B233" i="19"/>
  <c r="B234" i="19"/>
  <c r="B235" i="19"/>
  <c r="B236" i="19"/>
  <c r="B237" i="19"/>
  <c r="B238" i="19"/>
  <c r="B239" i="19"/>
  <c r="B242" i="19"/>
  <c r="B243" i="19"/>
  <c r="B245" i="19"/>
  <c r="B246" i="19"/>
  <c r="B247" i="19"/>
  <c r="B248" i="19"/>
  <c r="B250" i="19"/>
  <c r="B251" i="19"/>
  <c r="B252" i="19"/>
  <c r="B253" i="19"/>
  <c r="B254" i="19"/>
  <c r="B255" i="19"/>
  <c r="B256" i="19"/>
  <c r="B257" i="19"/>
  <c r="B259" i="19"/>
  <c r="B260" i="19"/>
  <c r="B261" i="19"/>
  <c r="B262" i="19"/>
  <c r="B263" i="19"/>
  <c r="B264" i="19"/>
  <c r="B265" i="19"/>
  <c r="B266" i="19"/>
  <c r="B267" i="19"/>
  <c r="B268" i="19"/>
  <c r="B269" i="19"/>
  <c r="B270" i="19"/>
  <c r="B271" i="19"/>
  <c r="B272" i="19"/>
  <c r="B273" i="19"/>
  <c r="B274" i="19"/>
  <c r="B275" i="19"/>
  <c r="B276" i="19"/>
  <c r="B277" i="19"/>
  <c r="B278" i="19"/>
  <c r="B279" i="19"/>
  <c r="B280" i="19"/>
  <c r="B281" i="19"/>
  <c r="B282" i="19"/>
  <c r="B283" i="19"/>
  <c r="B322" i="19"/>
  <c r="B323" i="19"/>
  <c r="B324" i="19"/>
  <c r="B325" i="19"/>
  <c r="B327" i="19"/>
  <c r="B328" i="19"/>
  <c r="B329" i="19"/>
  <c r="B330" i="19"/>
  <c r="B331" i="19"/>
  <c r="B333" i="19"/>
  <c r="B335" i="19"/>
  <c r="B336" i="19"/>
  <c r="B337" i="19"/>
  <c r="B338" i="19"/>
  <c r="B339" i="19"/>
  <c r="B341" i="19"/>
  <c r="B342" i="19"/>
  <c r="B343" i="19"/>
  <c r="B344" i="19"/>
  <c r="B345" i="19"/>
  <c r="B346" i="19"/>
  <c r="B347" i="19"/>
  <c r="B348" i="19"/>
  <c r="B349" i="19"/>
  <c r="B351" i="19"/>
  <c r="B352" i="19"/>
  <c r="B353" i="19"/>
  <c r="B354" i="19"/>
  <c r="B355" i="19"/>
  <c r="B356" i="19"/>
  <c r="B357" i="19"/>
  <c r="B358" i="19"/>
  <c r="B359" i="19"/>
  <c r="B360" i="19"/>
  <c r="B361" i="19"/>
  <c r="B362" i="19"/>
  <c r="B363" i="19"/>
  <c r="B364" i="19"/>
  <c r="B365" i="19"/>
  <c r="B366" i="19"/>
  <c r="B367" i="19"/>
  <c r="B370" i="19"/>
  <c r="B371" i="19"/>
  <c r="B372" i="19"/>
  <c r="B373" i="19"/>
  <c r="B374" i="19"/>
  <c r="B375" i="19"/>
  <c r="B376" i="19"/>
  <c r="B377" i="19"/>
  <c r="B378" i="19"/>
  <c r="B379" i="19"/>
  <c r="B381" i="19"/>
  <c r="B382" i="19"/>
  <c r="B383" i="19"/>
  <c r="B384" i="19"/>
  <c r="B385" i="19"/>
  <c r="B386" i="19"/>
  <c r="B387" i="19"/>
  <c r="B388" i="19"/>
  <c r="B389" i="19"/>
  <c r="B390" i="19"/>
  <c r="B391" i="19"/>
  <c r="B394" i="19"/>
  <c r="B395" i="19"/>
  <c r="B396" i="19"/>
  <c r="B397" i="19"/>
  <c r="B398" i="19"/>
  <c r="B399" i="19"/>
  <c r="B400" i="19"/>
  <c r="B401" i="19"/>
  <c r="B402" i="19"/>
  <c r="B403" i="19"/>
  <c r="B404" i="19"/>
  <c r="B405" i="19"/>
  <c r="B406" i="19"/>
  <c r="B407" i="19"/>
  <c r="B408" i="19"/>
  <c r="B409" i="19"/>
  <c r="B411" i="19"/>
  <c r="B412" i="19"/>
  <c r="B413" i="19"/>
  <c r="B414" i="19"/>
  <c r="B415" i="19"/>
  <c r="B416" i="19"/>
  <c r="B417" i="19"/>
  <c r="B418" i="19"/>
  <c r="B419" i="19"/>
  <c r="B420" i="19"/>
  <c r="B421" i="19"/>
  <c r="B422" i="19"/>
  <c r="B424" i="19"/>
  <c r="B425" i="19"/>
  <c r="B426" i="19"/>
  <c r="B427" i="19"/>
  <c r="B428" i="19"/>
  <c r="B431" i="19"/>
  <c r="B432" i="19"/>
  <c r="B433" i="19"/>
  <c r="B434" i="19"/>
  <c r="B435" i="19"/>
  <c r="B436" i="19"/>
  <c r="B438" i="19"/>
  <c r="B439" i="19"/>
  <c r="B440" i="19"/>
  <c r="B441" i="19"/>
  <c r="B442" i="19"/>
  <c r="B443" i="19"/>
  <c r="B444" i="19"/>
  <c r="B447" i="19"/>
  <c r="B448" i="19"/>
  <c r="B449" i="19"/>
  <c r="B450" i="19"/>
  <c r="B451" i="19"/>
  <c r="B452" i="19"/>
  <c r="B453" i="19"/>
  <c r="B455" i="19"/>
  <c r="B456" i="19"/>
  <c r="B457" i="19"/>
  <c r="B458" i="19"/>
  <c r="B459" i="19"/>
  <c r="B460" i="19"/>
  <c r="B461" i="19"/>
  <c r="B462" i="19"/>
  <c r="B463" i="19"/>
  <c r="B465" i="19"/>
  <c r="B466" i="19"/>
  <c r="B467" i="19"/>
  <c r="B468" i="19"/>
  <c r="B469" i="19"/>
  <c r="B470" i="19"/>
  <c r="B471" i="19"/>
  <c r="B472" i="19"/>
  <c r="B473" i="19"/>
  <c r="B474" i="19"/>
  <c r="B475" i="19"/>
  <c r="B476" i="19"/>
  <c r="B477" i="19"/>
  <c r="B478" i="19"/>
  <c r="B479" i="19"/>
  <c r="B480" i="19"/>
  <c r="B481" i="19"/>
  <c r="B482" i="19"/>
  <c r="B483" i="19"/>
  <c r="B484" i="19"/>
  <c r="B485" i="19"/>
  <c r="B486" i="19"/>
  <c r="B487" i="19"/>
  <c r="B488" i="19"/>
  <c r="B489" i="19"/>
  <c r="B490" i="19"/>
  <c r="B492" i="19"/>
  <c r="B493" i="19"/>
  <c r="B494" i="19"/>
  <c r="B495" i="19"/>
  <c r="B496" i="19"/>
  <c r="B497" i="19"/>
  <c r="B498" i="19"/>
  <c r="B499" i="19"/>
  <c r="B500" i="19"/>
  <c r="B501" i="19"/>
  <c r="B502" i="19"/>
  <c r="B503" i="19"/>
  <c r="B504" i="19"/>
  <c r="B505" i="19"/>
  <c r="B506" i="19"/>
  <c r="B508" i="19"/>
  <c r="B509" i="19"/>
  <c r="B510" i="19"/>
  <c r="B511" i="19"/>
  <c r="B512" i="19"/>
  <c r="B513" i="19"/>
  <c r="B514" i="19"/>
  <c r="B515" i="19"/>
  <c r="B516" i="19"/>
  <c r="B518" i="19"/>
  <c r="B519" i="19"/>
  <c r="B520" i="19"/>
  <c r="B521" i="19"/>
  <c r="B522" i="19"/>
  <c r="B523" i="19"/>
  <c r="B524" i="19"/>
  <c r="B525" i="19"/>
  <c r="B527" i="19"/>
  <c r="B528" i="19"/>
  <c r="B529" i="19"/>
  <c r="B533" i="19"/>
  <c r="B534" i="19"/>
  <c r="B535" i="19"/>
  <c r="B536" i="19"/>
  <c r="B537" i="19"/>
  <c r="B538" i="19"/>
  <c r="B539" i="19"/>
  <c r="B541" i="19"/>
  <c r="B542" i="19"/>
  <c r="B543" i="19"/>
  <c r="B544" i="19"/>
  <c r="B545" i="19"/>
  <c r="B546" i="19"/>
  <c r="B547" i="19"/>
  <c r="B551" i="19"/>
  <c r="B552" i="19"/>
  <c r="B553" i="19"/>
  <c r="B554" i="19"/>
  <c r="B555" i="19"/>
  <c r="B558" i="19"/>
  <c r="B559" i="19"/>
  <c r="B560" i="19"/>
  <c r="B561" i="19"/>
  <c r="B562" i="19"/>
  <c r="B563" i="19"/>
  <c r="B564" i="19"/>
  <c r="B565" i="19"/>
  <c r="B566" i="19"/>
  <c r="B567" i="19"/>
  <c r="B568" i="19"/>
  <c r="B569" i="19"/>
  <c r="B570" i="19"/>
  <c r="B572" i="19"/>
  <c r="B573" i="19"/>
  <c r="B574" i="19"/>
  <c r="B575" i="19"/>
  <c r="B576" i="19"/>
  <c r="B577" i="19"/>
  <c r="B578" i="19"/>
  <c r="B579" i="19"/>
  <c r="B580" i="19"/>
  <c r="B581" i="19"/>
  <c r="B583" i="19"/>
  <c r="B584" i="19"/>
  <c r="B585" i="19"/>
  <c r="B586" i="19"/>
  <c r="B588" i="19"/>
  <c r="B19" i="19"/>
  <c r="B20" i="19"/>
  <c r="B21" i="19"/>
  <c r="B22" i="19"/>
  <c r="B23" i="19"/>
  <c r="B24" i="19"/>
  <c r="B25" i="19"/>
  <c r="B26" i="19"/>
  <c r="B27" i="19"/>
  <c r="B28" i="19"/>
  <c r="B30" i="19"/>
  <c r="B31" i="19"/>
  <c r="B32" i="19"/>
  <c r="B33" i="19"/>
  <c r="B34" i="19"/>
  <c r="B35" i="19"/>
  <c r="B36" i="19"/>
  <c r="B37" i="19"/>
  <c r="B38" i="19"/>
  <c r="B39" i="19"/>
  <c r="B40" i="19"/>
  <c r="B41" i="19"/>
  <c r="B18" i="19"/>
  <c r="B17" i="19"/>
  <c r="B16" i="19"/>
  <c r="B15" i="19"/>
  <c r="B14" i="19"/>
  <c r="B7" i="19"/>
  <c r="B8" i="19"/>
  <c r="B9" i="19"/>
  <c r="B10" i="19"/>
  <c r="B11" i="19"/>
  <c r="B12" i="19"/>
  <c r="B6" i="19"/>
  <c r="O550" i="19"/>
  <c r="O587" i="19"/>
  <c r="O119" i="19"/>
  <c r="P4" i="19"/>
  <c r="L4" i="19"/>
  <c r="D5" i="9"/>
  <c r="E5" i="9"/>
  <c r="O123" i="19"/>
  <c r="O5" i="19"/>
  <c r="C5" i="19"/>
  <c r="A6" i="9"/>
  <c r="O145" i="19"/>
  <c r="C540" i="19"/>
  <c r="O340" i="19"/>
  <c r="C340" i="19"/>
  <c r="O532" i="19"/>
  <c r="C532" i="19"/>
  <c r="O350" i="19"/>
  <c r="O430" i="19"/>
  <c r="Q430" i="19"/>
  <c r="O658" i="19"/>
  <c r="C658" i="19"/>
  <c r="O410" i="19"/>
  <c r="O437" i="19"/>
  <c r="O369" i="19"/>
  <c r="O571" i="19"/>
  <c r="O662" i="19"/>
  <c r="O380" i="19"/>
  <c r="O423" i="19"/>
  <c r="O526" i="19"/>
  <c r="O582" i="19"/>
  <c r="O557" i="19"/>
  <c r="O393" i="19"/>
  <c r="O128" i="19"/>
  <c r="O182" i="19"/>
  <c r="O227" i="19"/>
  <c r="C227" i="19"/>
  <c r="O249" i="19"/>
  <c r="O164" i="19"/>
  <c r="O241" i="19"/>
  <c r="O66" i="19"/>
  <c r="O175" i="19"/>
  <c r="O193" i="19"/>
  <c r="O320" i="19"/>
  <c r="Q320" i="19"/>
  <c r="O223" i="19"/>
  <c r="O152" i="19"/>
  <c r="O170" i="19"/>
  <c r="O189" i="19"/>
  <c r="O326" i="19"/>
  <c r="O139" i="19"/>
  <c r="O107" i="19"/>
  <c r="Q107" i="19"/>
  <c r="O91" i="19"/>
  <c r="O73" i="19"/>
  <c r="O133" i="19"/>
  <c r="O29" i="19"/>
  <c r="O15" i="19"/>
  <c r="O42" i="19"/>
  <c r="O56" i="19"/>
  <c r="A588" i="19"/>
  <c r="A587" i="19"/>
  <c r="A15" i="9"/>
  <c r="A581" i="19"/>
  <c r="A582" i="19"/>
  <c r="A583" i="19"/>
  <c r="A571" i="19"/>
  <c r="A572" i="19"/>
  <c r="A579" i="19"/>
  <c r="A223" i="19"/>
  <c r="A224" i="19"/>
  <c r="A225" i="19"/>
  <c r="A226" i="19"/>
  <c r="A227" i="19"/>
  <c r="A228" i="19"/>
  <c r="A229" i="19"/>
  <c r="A230" i="19"/>
  <c r="A231" i="19"/>
  <c r="A232" i="19"/>
  <c r="A233" i="19"/>
  <c r="A234" i="19"/>
  <c r="A235" i="19"/>
  <c r="A236" i="19"/>
  <c r="A237" i="19"/>
  <c r="A238" i="19"/>
  <c r="A239" i="19"/>
  <c r="A241" i="19"/>
  <c r="A242" i="19"/>
  <c r="A249" i="19"/>
  <c r="A250" i="19"/>
  <c r="A276" i="19"/>
  <c r="A319" i="19"/>
  <c r="A9" i="9"/>
  <c r="A320" i="19"/>
  <c r="A321" i="19"/>
  <c r="A322" i="19"/>
  <c r="A323" i="19"/>
  <c r="A324" i="19"/>
  <c r="A325" i="19"/>
  <c r="A326" i="19"/>
  <c r="A327" i="19"/>
  <c r="A328" i="19"/>
  <c r="A329" i="19"/>
  <c r="A330" i="19"/>
  <c r="A331" i="19"/>
  <c r="A333" i="19"/>
  <c r="A335" i="19"/>
  <c r="A336" i="19"/>
  <c r="A337" i="19"/>
  <c r="A338" i="19"/>
  <c r="A339" i="19"/>
  <c r="A340" i="19"/>
  <c r="A341" i="19"/>
  <c r="A342" i="19"/>
  <c r="A343" i="19"/>
  <c r="A344" i="19"/>
  <c r="A345" i="19"/>
  <c r="A346" i="19"/>
  <c r="A347" i="19"/>
  <c r="A348" i="19"/>
  <c r="A349" i="19"/>
  <c r="A350" i="19"/>
  <c r="A351" i="19"/>
  <c r="A358" i="19"/>
  <c r="A359" i="19"/>
  <c r="A360" i="19"/>
  <c r="A367" i="19"/>
  <c r="A368" i="19"/>
  <c r="A10" i="9"/>
  <c r="A369" i="19"/>
  <c r="A370" i="19"/>
  <c r="A371" i="19"/>
  <c r="A372" i="19"/>
  <c r="A377" i="19"/>
  <c r="A378" i="19"/>
  <c r="A379" i="19"/>
  <c r="A380" i="19"/>
  <c r="A381" i="19"/>
  <c r="A382" i="19"/>
  <c r="A383" i="19"/>
  <c r="A384" i="19"/>
  <c r="A392" i="19"/>
  <c r="A11" i="9"/>
  <c r="A393" i="19"/>
  <c r="A394" i="19"/>
  <c r="A395" i="19"/>
  <c r="A396" i="19"/>
  <c r="A397" i="19"/>
  <c r="A398" i="19"/>
  <c r="A399" i="19"/>
  <c r="A400" i="19"/>
  <c r="A401" i="19"/>
  <c r="A402" i="19"/>
  <c r="A403" i="19"/>
  <c r="A408" i="19"/>
  <c r="A409" i="19"/>
  <c r="A410" i="19"/>
  <c r="A411" i="19"/>
  <c r="A412" i="19"/>
  <c r="A413" i="19"/>
  <c r="A416" i="19"/>
  <c r="A417" i="19"/>
  <c r="A418" i="19"/>
  <c r="A419" i="19"/>
  <c r="A423" i="19"/>
  <c r="A424" i="19"/>
  <c r="A429" i="19"/>
  <c r="A12" i="9"/>
  <c r="A430" i="19"/>
  <c r="A431" i="19"/>
  <c r="A432" i="19"/>
  <c r="A433" i="19"/>
  <c r="A434" i="19"/>
  <c r="A437" i="19"/>
  <c r="A438" i="19"/>
  <c r="A440" i="19"/>
  <c r="A441" i="19"/>
  <c r="A445" i="19"/>
  <c r="A13" i="9"/>
  <c r="A446" i="19"/>
  <c r="A447" i="19"/>
  <c r="A454" i="19"/>
  <c r="A455" i="19"/>
  <c r="A459" i="19"/>
  <c r="A464" i="19"/>
  <c r="A465" i="19"/>
  <c r="A491" i="19"/>
  <c r="A492" i="19"/>
  <c r="A507" i="19"/>
  <c r="A508" i="19"/>
  <c r="A517" i="19"/>
  <c r="A518" i="19"/>
  <c r="A519" i="19"/>
  <c r="A523" i="19"/>
  <c r="A524" i="19"/>
  <c r="A525" i="19"/>
  <c r="A526" i="19"/>
  <c r="A527" i="19"/>
  <c r="A532" i="19"/>
  <c r="A533" i="19"/>
  <c r="A540" i="19"/>
  <c r="A541" i="19"/>
  <c r="A550" i="19"/>
  <c r="A551" i="19"/>
  <c r="A556" i="19"/>
  <c r="A14" i="9"/>
  <c r="A557" i="19"/>
  <c r="A560" i="19"/>
  <c r="A565" i="19"/>
  <c r="A30" i="19"/>
  <c r="A33" i="19"/>
  <c r="A41" i="19"/>
  <c r="A43" i="19"/>
  <c r="A49" i="19"/>
  <c r="A53" i="19"/>
  <c r="A55" i="19"/>
  <c r="A57" i="19"/>
  <c r="A60" i="19"/>
  <c r="A62" i="19"/>
  <c r="A66" i="19"/>
  <c r="A67" i="19"/>
  <c r="A68" i="19"/>
  <c r="A69" i="19"/>
  <c r="A70" i="19"/>
  <c r="A71" i="19"/>
  <c r="A72" i="19"/>
  <c r="A73" i="19"/>
  <c r="A74" i="19"/>
  <c r="A75" i="19"/>
  <c r="A76" i="19"/>
  <c r="A77" i="19"/>
  <c r="A78" i="19"/>
  <c r="A79" i="19"/>
  <c r="A80" i="19"/>
  <c r="A81" i="19"/>
  <c r="A82" i="19"/>
  <c r="A83" i="19"/>
  <c r="A84" i="19"/>
  <c r="A85" i="19"/>
  <c r="A86" i="19"/>
  <c r="A87" i="19"/>
  <c r="A88" i="19"/>
  <c r="A89" i="19"/>
  <c r="A90" i="19"/>
  <c r="A91" i="19"/>
  <c r="A92" i="19"/>
  <c r="A93" i="19"/>
  <c r="A94" i="19"/>
  <c r="A95" i="19"/>
  <c r="A96" i="19"/>
  <c r="A97" i="19"/>
  <c r="A98" i="19"/>
  <c r="A99" i="19"/>
  <c r="A100" i="19"/>
  <c r="A101" i="19"/>
  <c r="A102" i="19"/>
  <c r="A103" i="19"/>
  <c r="A104" i="19"/>
  <c r="A105" i="19"/>
  <c r="A106" i="19"/>
  <c r="A107" i="19"/>
  <c r="A108" i="19"/>
  <c r="A109" i="19"/>
  <c r="A110" i="19"/>
  <c r="A111" i="19"/>
  <c r="A112" i="19"/>
  <c r="A113" i="19"/>
  <c r="A114" i="19"/>
  <c r="A115" i="19"/>
  <c r="A116" i="19"/>
  <c r="A117" i="19"/>
  <c r="A118" i="19"/>
  <c r="A119" i="19"/>
  <c r="A120" i="19"/>
  <c r="A121" i="19"/>
  <c r="A122" i="19"/>
  <c r="A123" i="19"/>
  <c r="A124" i="19"/>
  <c r="A125" i="19"/>
  <c r="A126" i="19"/>
  <c r="A127" i="19"/>
  <c r="A128" i="19"/>
  <c r="A129" i="19"/>
  <c r="A130" i="19"/>
  <c r="A131" i="19"/>
  <c r="A132" i="19"/>
  <c r="A133" i="19"/>
  <c r="A134" i="19"/>
  <c r="A135" i="19"/>
  <c r="A136" i="19"/>
  <c r="A137" i="19"/>
  <c r="A138" i="19"/>
  <c r="A139" i="19"/>
  <c r="A140" i="19"/>
  <c r="A141" i="19"/>
  <c r="A142" i="19"/>
  <c r="A143" i="19"/>
  <c r="A144" i="19"/>
  <c r="A7" i="9"/>
  <c r="A145" i="19"/>
  <c r="A146" i="19"/>
  <c r="A147" i="19"/>
  <c r="A148" i="19"/>
  <c r="A149" i="19"/>
  <c r="A150" i="19"/>
  <c r="A151" i="19"/>
  <c r="A153" i="19"/>
  <c r="A154" i="19"/>
  <c r="A155" i="19"/>
  <c r="A156" i="19"/>
  <c r="A157" i="19"/>
  <c r="A158" i="19"/>
  <c r="A159" i="19"/>
  <c r="A160" i="19"/>
  <c r="A161" i="19"/>
  <c r="A162" i="19"/>
  <c r="A163" i="19"/>
  <c r="A164" i="19"/>
  <c r="A165" i="19"/>
  <c r="A166" i="19"/>
  <c r="A167" i="19"/>
  <c r="A168" i="19"/>
  <c r="A169" i="19"/>
  <c r="A170" i="19"/>
  <c r="A171" i="19"/>
  <c r="A172" i="19"/>
  <c r="A173" i="19"/>
  <c r="A174" i="19"/>
  <c r="A175" i="19"/>
  <c r="A176" i="19"/>
  <c r="A177" i="19"/>
  <c r="A178" i="19"/>
  <c r="A179" i="19"/>
  <c r="A180" i="19"/>
  <c r="A181" i="19"/>
  <c r="A182" i="19"/>
  <c r="A183" i="19"/>
  <c r="A184" i="19"/>
  <c r="A185" i="19"/>
  <c r="A186" i="19"/>
  <c r="A187" i="19"/>
  <c r="A188" i="19"/>
  <c r="A189" i="19"/>
  <c r="A190" i="19"/>
  <c r="A191" i="19"/>
  <c r="A192" i="19"/>
  <c r="A193" i="19"/>
  <c r="A194" i="19"/>
  <c r="A15" i="19"/>
  <c r="A16" i="19"/>
  <c r="A6" i="19"/>
  <c r="B5" i="19"/>
  <c r="B4" i="19"/>
  <c r="A5" i="9"/>
  <c r="A31" i="19"/>
  <c r="A13" i="19"/>
  <c r="A63" i="19"/>
  <c r="A61" i="19"/>
  <c r="A59" i="19"/>
  <c r="A54" i="19"/>
  <c r="A52" i="19"/>
  <c r="A48" i="19"/>
  <c r="A27" i="19"/>
  <c r="C550" i="19"/>
  <c r="Q550" i="19"/>
  <c r="C66" i="19"/>
  <c r="Q66" i="19"/>
  <c r="Q664" i="19"/>
  <c r="C664" i="19"/>
  <c r="Q662" i="19"/>
  <c r="C662" i="19"/>
  <c r="Q5" i="19"/>
  <c r="Q340" i="19"/>
  <c r="Q540" i="19"/>
  <c r="C145" i="19"/>
  <c r="Q145" i="19"/>
  <c r="Q227" i="19"/>
  <c r="Q658" i="19"/>
  <c r="Q532" i="19"/>
  <c r="C430" i="19"/>
  <c r="Q73" i="19"/>
  <c r="C73" i="19"/>
  <c r="Q189" i="19"/>
  <c r="C189" i="19"/>
  <c r="Q241" i="19"/>
  <c r="C241" i="19"/>
  <c r="Q582" i="19"/>
  <c r="C582" i="19"/>
  <c r="Q350" i="19"/>
  <c r="C350" i="19"/>
  <c r="Q119" i="19"/>
  <c r="C119" i="19"/>
  <c r="Q170" i="19"/>
  <c r="C170" i="19"/>
  <c r="Q164" i="19"/>
  <c r="C164" i="19"/>
  <c r="Q526" i="19"/>
  <c r="C526" i="19"/>
  <c r="Q91" i="19"/>
  <c r="C91" i="19"/>
  <c r="Q152" i="19"/>
  <c r="C152" i="19"/>
  <c r="Q249" i="19"/>
  <c r="C249" i="19"/>
  <c r="Q423" i="19"/>
  <c r="C423" i="19"/>
  <c r="Q437" i="19"/>
  <c r="O429" i="19"/>
  <c r="C429" i="19"/>
  <c r="B12" i="9"/>
  <c r="C12" i="9"/>
  <c r="C437" i="19"/>
  <c r="Q223" i="19"/>
  <c r="C223" i="19"/>
  <c r="Q380" i="19"/>
  <c r="C380" i="19"/>
  <c r="Q410" i="19"/>
  <c r="C410" i="19"/>
  <c r="C107" i="19"/>
  <c r="C320" i="19"/>
  <c r="Q182" i="19"/>
  <c r="C182" i="19"/>
  <c r="Q139" i="19"/>
  <c r="C139" i="19"/>
  <c r="Q193" i="19"/>
  <c r="C193" i="19"/>
  <c r="Q128" i="19"/>
  <c r="C128" i="19"/>
  <c r="Q571" i="19"/>
  <c r="C571" i="19"/>
  <c r="Q326" i="19"/>
  <c r="C326" i="19"/>
  <c r="Q175" i="19"/>
  <c r="C175" i="19"/>
  <c r="Q393" i="19"/>
  <c r="C393" i="19"/>
  <c r="Q133" i="19"/>
  <c r="C133" i="19"/>
  <c r="Q123" i="19"/>
  <c r="C123" i="19"/>
  <c r="Q557" i="19"/>
  <c r="C557" i="19"/>
  <c r="Q369" i="19"/>
  <c r="C369" i="19"/>
  <c r="Q56" i="19"/>
  <c r="C56" i="19"/>
  <c r="Q42" i="19"/>
  <c r="C42" i="19"/>
  <c r="Q15" i="19"/>
  <c r="C15" i="19"/>
  <c r="Q29" i="19"/>
  <c r="C29" i="19"/>
  <c r="A44" i="19"/>
  <c r="A47" i="19"/>
  <c r="A46" i="19"/>
  <c r="A35" i="19"/>
  <c r="A8" i="19"/>
  <c r="A18" i="19"/>
  <c r="A21" i="19"/>
  <c r="A7" i="19"/>
  <c r="A20" i="19"/>
  <c r="A45" i="19"/>
  <c r="A12" i="19"/>
  <c r="A17" i="19"/>
  <c r="A51" i="19"/>
  <c r="A34" i="19"/>
  <c r="A25" i="19"/>
  <c r="A32" i="19"/>
  <c r="A11" i="19"/>
  <c r="A50" i="19"/>
  <c r="A24" i="19"/>
  <c r="A10" i="19"/>
  <c r="A58" i="19"/>
  <c r="A23" i="19"/>
  <c r="A26" i="19"/>
  <c r="A9" i="19"/>
  <c r="A19" i="19"/>
  <c r="A22" i="19"/>
  <c r="O657" i="19"/>
  <c r="C657" i="19"/>
  <c r="B18" i="9"/>
  <c r="C18" i="9"/>
  <c r="G18" i="9"/>
  <c r="O144" i="19"/>
  <c r="C144" i="19"/>
  <c r="B7" i="9"/>
  <c r="C7" i="9"/>
  <c r="O106" i="19"/>
  <c r="O127" i="19"/>
  <c r="C127" i="19"/>
  <c r="O65" i="19"/>
  <c r="Q65" i="19"/>
  <c r="C629" i="19"/>
  <c r="B17" i="9"/>
  <c r="C17" i="9"/>
  <c r="G17" i="9"/>
  <c r="C607" i="19"/>
  <c r="B16" i="9"/>
  <c r="C16" i="9"/>
  <c r="G16" i="9"/>
  <c r="C587" i="19"/>
  <c r="B15" i="9"/>
  <c r="C15" i="9"/>
  <c r="O445" i="19"/>
  <c r="C445" i="19"/>
  <c r="B13" i="9"/>
  <c r="C13" i="9"/>
  <c r="O556" i="19"/>
  <c r="C556" i="19"/>
  <c r="B14" i="9"/>
  <c r="C14" i="9"/>
  <c r="O319" i="19"/>
  <c r="O4" i="19"/>
  <c r="C4" i="19"/>
  <c r="B5" i="9"/>
  <c r="C5" i="9"/>
  <c r="O392" i="19"/>
  <c r="C392" i="19"/>
  <c r="B11" i="9"/>
  <c r="C11" i="9"/>
  <c r="O368" i="19"/>
  <c r="C368" i="19"/>
  <c r="B10" i="9"/>
  <c r="C10" i="9"/>
  <c r="A14" i="19"/>
  <c r="A36" i="19"/>
  <c r="Q127" i="19"/>
  <c r="C319" i="19"/>
  <c r="B9" i="9"/>
  <c r="C9" i="9"/>
  <c r="C65" i="19"/>
  <c r="A37" i="19"/>
  <c r="Q317" i="19"/>
  <c r="C317" i="19"/>
  <c r="A509" i="19"/>
  <c r="A277" i="19"/>
  <c r="A38" i="19"/>
  <c r="A40" i="19"/>
  <c r="A39" i="19"/>
  <c r="A278" i="19"/>
  <c r="A511" i="19"/>
  <c r="A510" i="19"/>
  <c r="A243" i="19"/>
  <c r="A435" i="19"/>
  <c r="A279" i="19"/>
  <c r="A244" i="19"/>
  <c r="A584" i="19"/>
  <c r="A573" i="19"/>
  <c r="A566" i="19"/>
  <c r="A561" i="19"/>
  <c r="A552" i="19"/>
  <c r="A542" i="19"/>
  <c r="A534" i="19"/>
  <c r="A528" i="19"/>
  <c r="A520" i="19"/>
  <c r="A493" i="19"/>
  <c r="A280" i="19"/>
  <c r="A559" i="19"/>
  <c r="A580" i="19"/>
  <c r="A535" i="19"/>
  <c r="A553" i="19"/>
  <c r="A585" i="19"/>
  <c r="A543" i="19"/>
  <c r="A562" i="19"/>
  <c r="A494" i="19"/>
  <c r="A567" i="19"/>
  <c r="A521" i="19"/>
  <c r="A574" i="19"/>
  <c r="A529" i="19"/>
  <c r="A245" i="19"/>
  <c r="A466" i="19"/>
  <c r="A281" i="19"/>
  <c r="A456" i="19"/>
  <c r="A449" i="19"/>
  <c r="A448" i="19"/>
  <c r="A460" i="19"/>
  <c r="A563" i="19"/>
  <c r="A554" i="19"/>
  <c r="A495" i="19"/>
  <c r="A575" i="19"/>
  <c r="A544" i="19"/>
  <c r="A467" i="19"/>
  <c r="A568" i="19"/>
  <c r="A536" i="19"/>
  <c r="A246" i="19"/>
  <c r="A439" i="19"/>
  <c r="A420" i="19"/>
  <c r="A251" i="19"/>
  <c r="E233" i="13"/>
  <c r="E234" i="13"/>
  <c r="A450" i="19"/>
  <c r="A361" i="19"/>
  <c r="A461" i="19"/>
  <c r="A385" i="19"/>
  <c r="A404" i="19"/>
  <c r="A586" i="19"/>
  <c r="A414" i="19"/>
  <c r="A374" i="19"/>
  <c r="A373" i="19"/>
  <c r="A457" i="19"/>
  <c r="A451" i="19"/>
  <c r="A425" i="19"/>
  <c r="A195" i="19"/>
  <c r="A352" i="19"/>
  <c r="A436" i="19"/>
  <c r="A522" i="19"/>
  <c r="A283" i="19"/>
  <c r="A282" i="19"/>
  <c r="A545" i="19"/>
  <c r="A569" i="19"/>
  <c r="A576" i="19"/>
  <c r="A468" i="19"/>
  <c r="A496" i="19"/>
  <c r="A537" i="19"/>
  <c r="A512" i="19"/>
  <c r="A247" i="19"/>
  <c r="A405" i="19"/>
  <c r="A362" i="19"/>
  <c r="A386" i="19"/>
  <c r="E235" i="13"/>
  <c r="A452" i="19"/>
  <c r="A462" i="19"/>
  <c r="A253" i="19"/>
  <c r="A252" i="19"/>
  <c r="A555" i="19"/>
  <c r="A426" i="19"/>
  <c r="A458" i="19"/>
  <c r="A415" i="19"/>
  <c r="A353" i="19"/>
  <c r="A421" i="19"/>
  <c r="A564" i="19"/>
  <c r="A442" i="19"/>
  <c r="A375" i="19"/>
  <c r="A196" i="19"/>
  <c r="A469" i="19"/>
  <c r="A497" i="19"/>
  <c r="A577" i="19"/>
  <c r="A538" i="19"/>
  <c r="A546" i="19"/>
  <c r="A513" i="19"/>
  <c r="A406" i="19"/>
  <c r="A387" i="19"/>
  <c r="E236" i="13"/>
  <c r="A248" i="19"/>
  <c r="A570" i="19"/>
  <c r="A443" i="19"/>
  <c r="A363" i="19"/>
  <c r="A453" i="19"/>
  <c r="A376" i="19"/>
  <c r="A422" i="19"/>
  <c r="A197" i="19"/>
  <c r="A463" i="19"/>
  <c r="A354" i="19"/>
  <c r="A254" i="19"/>
  <c r="A427" i="19"/>
  <c r="A498" i="19"/>
  <c r="A470" i="19"/>
  <c r="A514" i="19"/>
  <c r="A364" i="19"/>
  <c r="A255" i="19"/>
  <c r="A388" i="19"/>
  <c r="A355" i="19"/>
  <c r="A428" i="19"/>
  <c r="A444" i="19"/>
  <c r="A578" i="19"/>
  <c r="A407" i="19"/>
  <c r="A198" i="19"/>
  <c r="A539" i="19"/>
  <c r="A547" i="19"/>
  <c r="A471" i="19"/>
  <c r="A499" i="19"/>
  <c r="A515" i="19"/>
  <c r="A365" i="19"/>
  <c r="A256" i="19"/>
  <c r="A389" i="19"/>
  <c r="A356" i="19"/>
  <c r="A500" i="19"/>
  <c r="A472" i="19"/>
  <c r="A257" i="19"/>
  <c r="A390" i="19"/>
  <c r="A357" i="19"/>
  <c r="A516" i="19"/>
  <c r="A366" i="19"/>
  <c r="A473" i="19"/>
  <c r="A501" i="19"/>
  <c r="A258" i="19"/>
  <c r="A391" i="19"/>
  <c r="A502" i="19"/>
  <c r="A474" i="19"/>
  <c r="A259" i="19"/>
  <c r="A203" i="19"/>
  <c r="A475" i="19"/>
  <c r="A503" i="19"/>
  <c r="A260" i="19"/>
  <c r="A504" i="19"/>
  <c r="A476" i="19"/>
  <c r="A261" i="19"/>
  <c r="A477" i="19"/>
  <c r="A505" i="19"/>
  <c r="A262" i="19"/>
  <c r="A478" i="19"/>
  <c r="A263" i="19"/>
  <c r="A207" i="19"/>
  <c r="A506" i="19"/>
  <c r="A479" i="19"/>
  <c r="A264" i="19"/>
  <c r="G12" i="9"/>
  <c r="A480" i="19"/>
  <c r="A265" i="19"/>
  <c r="G5" i="9"/>
  <c r="G9" i="9"/>
  <c r="G10" i="9"/>
  <c r="G15" i="9"/>
  <c r="G14" i="9"/>
  <c r="A481" i="19"/>
  <c r="A266" i="19"/>
  <c r="G11" i="9"/>
  <c r="G13" i="9"/>
  <c r="G7" i="9"/>
  <c r="A210" i="19"/>
  <c r="A482" i="19"/>
  <c r="A267" i="19"/>
  <c r="A483" i="19"/>
  <c r="A212" i="19"/>
  <c r="A269" i="19"/>
  <c r="A268" i="19"/>
  <c r="A484" i="19"/>
  <c r="A485" i="19"/>
  <c r="A270" i="19"/>
  <c r="A214" i="19"/>
  <c r="A486" i="19"/>
  <c r="A271" i="19"/>
  <c r="A215" i="19"/>
  <c r="A487" i="19"/>
  <c r="A216" i="19"/>
  <c r="A272" i="19"/>
  <c r="A488" i="19"/>
  <c r="A273" i="19"/>
  <c r="A217" i="19"/>
  <c r="A489" i="19"/>
  <c r="A218" i="19"/>
  <c r="A275" i="19"/>
  <c r="A274" i="19"/>
  <c r="A219" i="19"/>
  <c r="A490" i="19"/>
  <c r="A220" i="19"/>
  <c r="A221" i="19"/>
  <c r="A222" i="19"/>
  <c r="Q106" i="19"/>
  <c r="C106" i="19"/>
  <c r="Q285" i="19"/>
  <c r="R285" i="19"/>
  <c r="P240" i="19"/>
  <c r="L240" i="19"/>
  <c r="D8" i="9"/>
  <c r="E8" i="9"/>
  <c r="O240" i="19"/>
  <c r="C240" i="19"/>
  <c r="B8" i="9"/>
  <c r="C8" i="9"/>
  <c r="O64" i="19"/>
  <c r="C64" i="19"/>
  <c r="B6" i="9"/>
  <c r="C6" i="9"/>
  <c r="L123" i="19"/>
  <c r="R123" i="19"/>
  <c r="P106" i="19"/>
  <c r="R106" i="19"/>
  <c r="G8" i="9"/>
  <c r="P64" i="19"/>
  <c r="L64" i="19"/>
  <c r="D6" i="9"/>
  <c r="E6" i="9"/>
  <c r="G6" i="9"/>
  <c r="L106"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Gloor René (GRV)</author>
  </authors>
  <commentList>
    <comment ref="G6" authorId="0" shapeId="0" xr:uid="{00000000-0006-0000-0300-000001000000}">
      <text>
        <r>
          <rPr>
            <b/>
            <sz val="9"/>
            <color indexed="81"/>
            <rFont val="Segoe UI"/>
            <family val="2"/>
          </rPr>
          <t>Leitbild und Sicherheitsleitbild des Unternehmens</t>
        </r>
      </text>
    </comment>
    <comment ref="G11" authorId="0" shapeId="0" xr:uid="{00000000-0006-0000-0300-000002000000}">
      <text>
        <r>
          <rPr>
            <b/>
            <sz val="9"/>
            <color indexed="81"/>
            <rFont val="Segoe UI"/>
            <family val="2"/>
          </rPr>
          <t>Führungsgrundsätze des Unternehmens</t>
        </r>
      </text>
    </comment>
    <comment ref="G43" authorId="0" shapeId="0" xr:uid="{00000000-0006-0000-0300-000003000000}">
      <text>
        <r>
          <rPr>
            <b/>
            <sz val="9"/>
            <color indexed="81"/>
            <rFont val="Segoe UI"/>
            <family val="2"/>
          </rPr>
          <t>Schriftliche Definition der Sicherheitsziele des Unternehmens</t>
        </r>
      </text>
    </comment>
    <comment ref="G69" authorId="0" shapeId="0" xr:uid="{00000000-0006-0000-0300-000004000000}">
      <text>
        <r>
          <rPr>
            <b/>
            <sz val="9"/>
            <color indexed="81"/>
            <rFont val="Segoe UI"/>
            <family val="2"/>
          </rPr>
          <t>Organigramme des Unternehmens</t>
        </r>
      </text>
    </comment>
    <comment ref="G77" authorId="0" shapeId="0" xr:uid="{00000000-0006-0000-0300-000005000000}">
      <text>
        <r>
          <rPr>
            <b/>
            <sz val="9"/>
            <color indexed="81"/>
            <rFont val="Segoe UI"/>
            <family val="2"/>
          </rPr>
          <t>Stellenbeschreibung für 
- Führungspositionen
- Position ohne Führungsaufgaben
- Sicherheitsbeauftragte</t>
        </r>
      </text>
    </comment>
    <comment ref="G80" authorId="0" shapeId="0" xr:uid="{00000000-0006-0000-0300-000006000000}">
      <text>
        <r>
          <rPr>
            <b/>
            <sz val="9"/>
            <color indexed="81"/>
            <rFont val="Segoe UI"/>
            <family val="2"/>
          </rPr>
          <t>Mitarbeitendenreglement des Unternehmens</t>
        </r>
      </text>
    </comment>
    <comment ref="G86" authorId="0" shapeId="0" xr:uid="{00000000-0006-0000-0300-000007000000}">
      <text>
        <r>
          <rPr>
            <b/>
            <sz val="9"/>
            <color indexed="81"/>
            <rFont val="Segoe UI"/>
            <family val="2"/>
          </rPr>
          <t>Weitere Organisationsdokumente die Aufgaben, Pflichten und Kompetenzen bezüglich Sicherheit und Gesundheit regeln</t>
        </r>
      </text>
    </comment>
    <comment ref="G104" authorId="0" shapeId="0" xr:uid="{00000000-0006-0000-0300-000008000000}">
      <text>
        <r>
          <rPr>
            <b/>
            <sz val="9"/>
            <color indexed="81"/>
            <rFont val="Segoe UI"/>
            <family val="2"/>
          </rPr>
          <t>Beispiel einer schriftlichen Arbeitsanweisung</t>
        </r>
      </text>
    </comment>
    <comment ref="G106" authorId="0" shapeId="0" xr:uid="{00000000-0006-0000-0300-000009000000}">
      <text>
        <r>
          <rPr>
            <b/>
            <sz val="9"/>
            <color indexed="81"/>
            <rFont val="Segoe UI"/>
            <family val="2"/>
          </rPr>
          <t>Betriebsordnung des Unternehmens</t>
        </r>
      </text>
    </comment>
    <comment ref="G112" authorId="0" shapeId="0" xr:uid="{00000000-0006-0000-0300-00000A000000}">
      <text>
        <r>
          <rPr>
            <b/>
            <sz val="9"/>
            <color indexed="81"/>
            <rFont val="Segoe UI"/>
            <family val="2"/>
          </rPr>
          <t>Organigramm der Sicherheitsorganisation</t>
        </r>
      </text>
    </comment>
    <comment ref="G122" authorId="0" shapeId="0" xr:uid="{00000000-0006-0000-0300-00000B000000}">
      <text>
        <r>
          <rPr>
            <b/>
            <sz val="9"/>
            <color indexed="81"/>
            <rFont val="Segoe UI"/>
            <family val="2"/>
          </rPr>
          <t>Sicherheitskonzept des Unternehmens</t>
        </r>
      </text>
    </comment>
    <comment ref="G126" authorId="0" shapeId="0" xr:uid="{00000000-0006-0000-0300-00000C000000}">
      <text>
        <r>
          <rPr>
            <b/>
            <sz val="9"/>
            <color indexed="81"/>
            <rFont val="Segoe UI"/>
            <family val="2"/>
          </rPr>
          <t>Ausbildungsnachweise für Sicherheitsausbildungen von Mitarbeitenden</t>
        </r>
      </text>
    </comment>
    <comment ref="G143" authorId="0" shapeId="0" xr:uid="{00000000-0006-0000-0300-00000D000000}">
      <text>
        <r>
          <rPr>
            <b/>
            <sz val="9"/>
            <color indexed="81"/>
            <rFont val="Segoe UI"/>
            <family val="2"/>
          </rPr>
          <t>Sicherheitshandbuch / Sicherheitsdokumentationen für Mitarbeitende</t>
        </r>
      </text>
    </comment>
    <comment ref="G160" authorId="0" shapeId="0" xr:uid="{00000000-0006-0000-0300-00000E000000}">
      <text>
        <r>
          <rPr>
            <b/>
            <sz val="9"/>
            <color indexed="81"/>
            <rFont val="Segoe UI"/>
            <family val="2"/>
          </rPr>
          <t>Einführungsprogramm für neue Mitarbeitende</t>
        </r>
      </text>
    </comment>
    <comment ref="G167" authorId="0" shapeId="0" xr:uid="{00000000-0006-0000-0300-00000F000000}">
      <text>
        <r>
          <rPr>
            <b/>
            <sz val="9"/>
            <color indexed="81"/>
            <rFont val="Segoe UI"/>
            <family val="2"/>
          </rPr>
          <t>Formular Probezeitgespräch</t>
        </r>
      </text>
    </comment>
    <comment ref="G172" authorId="0" shapeId="0" xr:uid="{00000000-0006-0000-0300-000010000000}">
      <text>
        <r>
          <rPr>
            <b/>
            <sz val="9"/>
            <color indexed="81"/>
            <rFont val="Segoe UI"/>
            <family val="2"/>
          </rPr>
          <t>Personalförderungskonzept, falls dieses Aspekte von Sicherheit und Gesundheitsschutz berücksichtigt</t>
        </r>
      </text>
    </comment>
    <comment ref="G187" authorId="0" shapeId="0" xr:uid="{00000000-0006-0000-0300-000011000000}">
      <text>
        <r>
          <rPr>
            <b/>
            <sz val="9"/>
            <color indexed="81"/>
            <rFont val="Segoe UI"/>
            <family val="2"/>
          </rPr>
          <t>Dokumentation/Formular für Mitarbeiterbeurteilungen</t>
        </r>
      </text>
    </comment>
    <comment ref="G214" authorId="0" shapeId="0" xr:uid="{00000000-0006-0000-0300-000012000000}">
      <text>
        <r>
          <rPr>
            <b/>
            <sz val="9"/>
            <color indexed="81"/>
            <rFont val="Segoe UI"/>
            <family val="2"/>
          </rPr>
          <t>Firmenzeitschrift des Unternehmens</t>
        </r>
      </text>
    </comment>
    <comment ref="G242" authorId="0" shapeId="0" xr:uid="{00000000-0006-0000-0300-000013000000}">
      <text>
        <r>
          <rPr>
            <b/>
            <sz val="9"/>
            <color indexed="81"/>
            <rFont val="Segoe UI"/>
            <family val="2"/>
          </rPr>
          <t>Dokumentation/Formulare Lieferantenbeurteilung</t>
        </r>
      </text>
    </comment>
    <comment ref="G252" authorId="0" shapeId="0" xr:uid="{00000000-0006-0000-0300-000014000000}">
      <text>
        <r>
          <rPr>
            <b/>
            <sz val="9"/>
            <color indexed="81"/>
            <rFont val="Segoe UI"/>
            <family val="2"/>
          </rPr>
          <t>Beispiele von internen Weisungen bezüglich Arbeitssicherheit und Gesundheitsschutz, den offiziellen Merkblättern und Arbeitsanweisungen ergänzen</t>
        </r>
      </text>
    </comment>
    <comment ref="G301" authorId="0" shapeId="0" xr:uid="{00000000-0006-0000-0300-000015000000}">
      <text>
        <r>
          <rPr>
            <b/>
            <sz val="9"/>
            <color indexed="81"/>
            <rFont val="Segoe UI"/>
            <family val="2"/>
          </rPr>
          <t>Betriebsinterne Weisungen betreffend Normal- und Sonderbetrieb von Anlagen, Maschinen und Geräten</t>
        </r>
      </text>
    </comment>
    <comment ref="G306" authorId="0" shapeId="0" xr:uid="{00000000-0006-0000-0300-000016000000}">
      <text>
        <r>
          <rPr>
            <b/>
            <sz val="9"/>
            <color indexed="81"/>
            <rFont val="Segoe UI"/>
            <family val="2"/>
          </rPr>
          <t>Betriebsinterne Weisungen betreffend der Instandhaltung von Arbeitsmitteln</t>
        </r>
      </text>
    </comment>
    <comment ref="G313" authorId="0" shapeId="0" xr:uid="{00000000-0006-0000-0300-000017000000}">
      <text>
        <r>
          <rPr>
            <b/>
            <sz val="9"/>
            <color indexed="81"/>
            <rFont val="Segoe UI"/>
            <family val="2"/>
          </rPr>
          <t>Sicherheitsbestimmungen und Regelungen betreffend der Instandhaltung von Gebäuden und Anlagen</t>
        </r>
      </text>
    </comment>
    <comment ref="G317" authorId="0" shapeId="0" xr:uid="{00000000-0006-0000-0300-000018000000}">
      <text>
        <r>
          <rPr>
            <b/>
            <sz val="9"/>
            <color indexed="81"/>
            <rFont val="Segoe UI"/>
            <family val="2"/>
          </rPr>
          <t>Checklisten, um bei der Beschaffung von Arbeitsmitteln die Sicherheit zu überprüfen</t>
        </r>
      </text>
    </comment>
    <comment ref="G333" authorId="0" shapeId="0" xr:uid="{00000000-0006-0000-0300-000019000000}">
      <text>
        <r>
          <rPr>
            <b/>
            <sz val="9"/>
            <color indexed="81"/>
            <rFont val="Segoe UI"/>
            <family val="2"/>
          </rPr>
          <t>Dokumentation Prozess Gefährdungsermittlung</t>
        </r>
      </text>
    </comment>
    <comment ref="G347" authorId="0" shapeId="0" xr:uid="{00000000-0006-0000-0300-00001A000000}">
      <text>
        <r>
          <rPr>
            <b/>
            <sz val="9"/>
            <color indexed="81"/>
            <rFont val="Segoe UI"/>
            <family val="2"/>
          </rPr>
          <t>Dokumentation Prozess Risikobeurteilung</t>
        </r>
      </text>
    </comment>
    <comment ref="G354" authorId="0" shapeId="0" xr:uid="{00000000-0006-0000-0300-00001B000000}">
      <text>
        <r>
          <rPr>
            <b/>
            <sz val="9"/>
            <color indexed="81"/>
            <rFont val="Segoe UI"/>
            <family val="2"/>
          </rPr>
          <t>Beispiel für die Dokumentation der Ergebnisse einer Risikobeurteilung</t>
        </r>
      </text>
    </comment>
    <comment ref="G365" authorId="0" shapeId="0" xr:uid="{00000000-0006-0000-0300-00001C000000}">
      <text>
        <r>
          <rPr>
            <b/>
            <sz val="9"/>
            <color indexed="81"/>
            <rFont val="Segoe UI"/>
            <family val="2"/>
          </rPr>
          <t>Dokumentation des Verfahrens zur Untersuchung von unerwünschten Ereignissen</t>
        </r>
      </text>
    </comment>
    <comment ref="G379" authorId="0" shapeId="0" xr:uid="{00000000-0006-0000-0300-00001D000000}">
      <text>
        <r>
          <rPr>
            <b/>
            <sz val="9"/>
            <color indexed="81"/>
            <rFont val="Segoe UI"/>
            <family val="2"/>
          </rPr>
          <t>Strategie zur Umsetzung von Sicherheitsmassnahmen</t>
        </r>
      </text>
    </comment>
    <comment ref="G404" authorId="0" shapeId="0" xr:uid="{00000000-0006-0000-0300-00001E000000}">
      <text>
        <r>
          <rPr>
            <b/>
            <sz val="9"/>
            <color indexed="81"/>
            <rFont val="Segoe UI"/>
            <family val="2"/>
          </rPr>
          <t>Dokumentation des Notfallkonzeptes des Unternehmens</t>
        </r>
      </text>
    </comment>
    <comment ref="G422" authorId="0" shapeId="0" xr:uid="{00000000-0006-0000-0300-00001F000000}">
      <text>
        <r>
          <rPr>
            <b/>
            <sz val="9"/>
            <color indexed="81"/>
            <rFont val="Segoe UI"/>
            <family val="2"/>
          </rPr>
          <t>Notfallausweis für Mitarbeiter</t>
        </r>
      </text>
    </comment>
    <comment ref="G434" authorId="0" shapeId="0" xr:uid="{00000000-0006-0000-0300-000020000000}">
      <text>
        <r>
          <rPr>
            <b/>
            <sz val="9"/>
            <color indexed="81"/>
            <rFont val="Segoe UI"/>
            <family val="2"/>
          </rPr>
          <t>Dokumentation der Brandschutzorganisation</t>
        </r>
      </text>
    </comment>
    <comment ref="G450" authorId="0" shapeId="0" xr:uid="{00000000-0006-0000-0300-000021000000}">
      <text>
        <r>
          <rPr>
            <b/>
            <sz val="9"/>
            <color indexed="81"/>
            <rFont val="Segoe UI"/>
            <family val="2"/>
          </rPr>
          <t>Dokumentation des Vorschlagswesens des Unternehmens</t>
        </r>
      </text>
    </comment>
    <comment ref="G550" authorId="0" shapeId="0" xr:uid="{00000000-0006-0000-0300-000022000000}">
      <text>
        <r>
          <rPr>
            <b/>
            <sz val="9"/>
            <color indexed="81"/>
            <rFont val="Segoe UI"/>
            <family val="2"/>
          </rPr>
          <t>Dokumentation zum Umgang mit Sicherheitsdatenblättern</t>
        </r>
      </text>
    </comment>
    <comment ref="G574" authorId="0" shapeId="0" xr:uid="{00000000-0006-0000-0300-000023000000}">
      <text>
        <r>
          <rPr>
            <b/>
            <sz val="9"/>
            <color indexed="81"/>
            <rFont val="Segoe UI"/>
            <family val="2"/>
          </rPr>
          <t>Kontroll- oder Überwachungskonzept bezüglich Sicherheit und Gesundheit der Beschäftigten</t>
        </r>
      </text>
    </comment>
    <comment ref="G581" authorId="0" shapeId="0" xr:uid="{00000000-0006-0000-0300-000024000000}">
      <text>
        <r>
          <rPr>
            <b/>
            <sz val="9"/>
            <color indexed="81"/>
            <rFont val="Segoe UI"/>
            <family val="2"/>
          </rPr>
          <t>Prozess Sicherheitsaudits</t>
        </r>
      </text>
    </comment>
    <comment ref="G584" authorId="0" shapeId="0" xr:uid="{00000000-0006-0000-0300-000025000000}">
      <text>
        <r>
          <rPr>
            <b/>
            <sz val="9"/>
            <color indexed="81"/>
            <rFont val="Segoe UI"/>
            <family val="2"/>
          </rPr>
          <t>Beispiel für ein Protokoll eines Sicherheitsaudits</t>
        </r>
      </text>
    </comment>
    <comment ref="G612" authorId="0" shapeId="0" xr:uid="{00000000-0006-0000-0300-000026000000}">
      <text>
        <r>
          <rPr>
            <b/>
            <sz val="9"/>
            <color indexed="81"/>
            <rFont val="Segoe UI"/>
            <family val="2"/>
          </rPr>
          <t>Vorgehen bei ungeplanten Absenzen</t>
        </r>
      </text>
    </comment>
    <comment ref="G614" authorId="0" shapeId="0" xr:uid="{00000000-0006-0000-0300-000027000000}">
      <text>
        <r>
          <rPr>
            <b/>
            <sz val="9"/>
            <color indexed="81"/>
            <rFont val="Segoe UI"/>
            <family val="2"/>
          </rPr>
          <t>Ziele, Führungskennzahlen im Absenzenmanagement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Herger Lorenz (H1L)</author>
    <author>Gloor René (GRV)</author>
  </authors>
  <commentList>
    <comment ref="A2" authorId="0" shapeId="0" xr:uid="{00000000-0006-0000-0800-000001000000}">
      <text>
        <r>
          <rPr>
            <b/>
            <sz val="9"/>
            <color indexed="81"/>
            <rFont val="Segoe UI"/>
            <family val="2"/>
          </rPr>
          <t>Farbkonzept: 
Gelb: Automatisch aus SB übernommen
Grün: Durch PM ausfüllbar (0-1)
Grau: Rechenwerk für Spider
Dunkelgrau: Rechenwerk für spider, Punkte werden für "Nein" Vergeben
Braun: Auswertung Kapitel
Orange: Auswertung Unterkapitel
"*" Grau: nicht beantwortet</t>
        </r>
        <r>
          <rPr>
            <sz val="9"/>
            <color indexed="81"/>
            <rFont val="Segoe UI"/>
            <family val="2"/>
          </rPr>
          <t xml:space="preserve">
</t>
        </r>
      </text>
    </comment>
    <comment ref="D3" authorId="1" shapeId="0" xr:uid="{91D3E067-56A3-44BB-862D-435F7A906A2E}">
      <text>
        <r>
          <rPr>
            <b/>
            <sz val="9"/>
            <color indexed="81"/>
            <rFont val="Segoe UI"/>
            <family val="2"/>
          </rPr>
          <t>*: Frage wurde nicht beantwortet. (Ja-Feld und Nein-Feld sind leer)</t>
        </r>
        <r>
          <rPr>
            <sz val="9"/>
            <color indexed="81"/>
            <rFont val="Segoe UI"/>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Herger Lorenz (H1L)</author>
  </authors>
  <commentList>
    <comment ref="A3" authorId="0" shapeId="0" xr:uid="{00000000-0006-0000-0900-000001000000}">
      <text>
        <r>
          <rPr>
            <b/>
            <sz val="9"/>
            <color indexed="81"/>
            <rFont val="Segoe UI"/>
            <family val="2"/>
          </rPr>
          <t xml:space="preserve">Farbkonzept: 
Grün: Durch PM ausfüllbar (0%-100%)
Grau: Rechenwerk für Spider
</t>
        </r>
      </text>
    </comment>
    <comment ref="A9" authorId="0" shapeId="0" xr:uid="{00000000-0006-0000-0900-000002000000}">
      <text>
        <r>
          <rPr>
            <b/>
            <sz val="9"/>
            <color indexed="81"/>
            <rFont val="Segoe UI"/>
            <family val="2"/>
          </rPr>
          <t>Zelle hat Punkte wegen negierter Fragestellung (leer bedeutet nein, bedeutet erfüllt).</t>
        </r>
      </text>
    </comment>
    <comment ref="A13" authorId="0" shapeId="0" xr:uid="{00000000-0006-0000-0900-000003000000}">
      <text>
        <r>
          <rPr>
            <b/>
            <sz val="9"/>
            <color indexed="81"/>
            <rFont val="Segoe UI"/>
            <family val="2"/>
          </rPr>
          <t>Zelle hat Punkte wegen negierter Fragestellung (leer bedeutet nein, bedeutet erfüllt).</t>
        </r>
      </text>
    </comment>
  </commentList>
</comments>
</file>

<file path=xl/sharedStrings.xml><?xml version="1.0" encoding="utf-8"?>
<sst xmlns="http://schemas.openxmlformats.org/spreadsheetml/2006/main" count="1800" uniqueCount="1658">
  <si>
    <t>Verfügt das Unternehmen über ein Unternehmensleitbild?</t>
  </si>
  <si>
    <t>Sind Sicherheit und Gesundheit der Beschäftigten Bestandteil des Unternehmensleitbildes?</t>
  </si>
  <si>
    <t>Ja</t>
  </si>
  <si>
    <t>Nein</t>
  </si>
  <si>
    <t>Leitbild, Sicherheitsziele und Strategien</t>
  </si>
  <si>
    <t>Beschreibung Frage</t>
  </si>
  <si>
    <t>Sind alle Mitarbeiter über den Sinn und die praktischen Konsequenzen des Unternehmensleitbildes informiert, resp. sind die Mitarbeiter „im Bild“?</t>
  </si>
  <si>
    <t>Engagement der Geschäftsleitung</t>
  </si>
  <si>
    <t>Werden Sicherheit und Gesundheit von der obersten Geschäftsleitung vorgelebt und mit Forderungen, Entscheidungen, Regelungen und Anweisungen massgebend gefördert?</t>
  </si>
  <si>
    <t>Spricht die Geschäftsleitung bei Betriebsrundgängen unsichere Zustände und Handlungen an?</t>
  </si>
  <si>
    <t>Unternehmensleitbild, Führungsgrundsätze</t>
  </si>
  <si>
    <t>Kontrolle</t>
  </si>
  <si>
    <t>Nr.SB</t>
  </si>
  <si>
    <t>Sicherheitsorganisation</t>
  </si>
  <si>
    <t>Notfallorganisation</t>
  </si>
  <si>
    <t>Mitwirkung</t>
  </si>
  <si>
    <t>Gesundheitsschutz</t>
  </si>
  <si>
    <t>Sicherheitsziele</t>
  </si>
  <si>
    <t>Sicherheitsbeauftragter</t>
  </si>
  <si>
    <t>Instandhaltung</t>
  </si>
  <si>
    <t>Beschaffung von Arbeitsmitteln</t>
  </si>
  <si>
    <t>Mitwirkung der Mitarbeitenden</t>
  </si>
  <si>
    <t>Risikobeurteilung</t>
  </si>
  <si>
    <t>Gesundheitsgefährdende Stoffe</t>
  </si>
  <si>
    <t>Brandschutz</t>
  </si>
  <si>
    <t>1.</t>
  </si>
  <si>
    <t>1.1.</t>
  </si>
  <si>
    <t>1.2.</t>
  </si>
  <si>
    <t>1.2.1.</t>
  </si>
  <si>
    <t>1.1.1.</t>
  </si>
  <si>
    <t>Nr.</t>
  </si>
  <si>
    <t>Mitarbeiterbeurteilung</t>
  </si>
  <si>
    <t>12.3.</t>
  </si>
  <si>
    <t>12.2.</t>
  </si>
  <si>
    <t>12.1.</t>
  </si>
  <si>
    <t>11.</t>
  </si>
  <si>
    <t>Werden bei bestimmten Austrittsgründen konkrete Konsequenzen abgeleitet und Massnahmen getroffen?</t>
  </si>
  <si>
    <t>Werden die Austrittsgründe ermittelt und ausgewertet?</t>
  </si>
  <si>
    <t>Fluktuation</t>
  </si>
  <si>
    <t>10.3.</t>
  </si>
  <si>
    <t>Wird die Ereignisstatistik als Führungsmittel verwendet?</t>
  </si>
  <si>
    <t>Ereignisstatistik</t>
  </si>
  <si>
    <t>10.2.</t>
  </si>
  <si>
    <t>Werden die Feststellungen in das betriebliche Sicherheitssystem einbezogen?</t>
  </si>
  <si>
    <t>Werden Feststellungen und die eingeleiteten Massnahmen schriftlich dokumentiert?</t>
  </si>
  <si>
    <t>Verwenden Sie bei der Durchführung von Sicherheitsaudits bestimmte Hilfsmittel wie z.B. Stichwortlisten, Checklisten, Formulare?</t>
  </si>
  <si>
    <t>Verwenden Sie Auditverfahren, die speziell an die Risikostruktur und die betrieblichen Verhältnisse Ihres Unternehmens angepasst sind?</t>
  </si>
  <si>
    <t>Sind die Vorgesetzten in der Durchführung und Auswertung von Sicherheitsaudits ausgebildet?</t>
  </si>
  <si>
    <t>Werden Inhalt und Ablauf der Sicherheitsaudits vor der Durchführung vorbereitet und geplant?</t>
  </si>
  <si>
    <t>Werden in Ihrem Unternehmen regelmässig Sicherheitsaudits durchgeführt? Wenn ja, durch wen?</t>
  </si>
  <si>
    <t>Sicherheitsaudits</t>
  </si>
  <si>
    <t>10.1.</t>
  </si>
  <si>
    <t>10.</t>
  </si>
  <si>
    <t>Sind ergonomische Kriterien und Anforderungen fester Bestandteil Ihrer Kaufverträge und Bestellungen?</t>
  </si>
  <si>
    <t>Verfügen Ihre Arbeits- und Betriebsmittelplaner über ergonomische Kenntnisse?</t>
  </si>
  <si>
    <t>Werden die Arbeitsplätze periodisch nach ergonomischen Grundsätzen überprüft?</t>
  </si>
  <si>
    <t>Berücksichtigen Sie ergonomische Grundsätze bei der Planung von neuen Arbeitsmitteln, Arbeitsplätzen und Arbeitsverfahren?</t>
  </si>
  <si>
    <t>Gestaltung von Arbeitsplätzen und Betriebsmitteln</t>
  </si>
  <si>
    <t>9.10.</t>
  </si>
  <si>
    <t>Wissen alle Vorgesetzten, wie sie handeln sollen, wenn sich zeigt, dass ein Mitarbeiter Suchtprobleme hat (Alkohol etc.)?</t>
  </si>
  <si>
    <t>Werden diese Fälle konkret und systematisch behandelt? Wenn ja, welche Stelle oder Person befasst sich mit diesen Fällen?</t>
  </si>
  <si>
    <t>Gibt es in Ihrem Betrieb ein Suchtpräventionsprogramm?</t>
  </si>
  <si>
    <t>Wird in der Kantine oder im Betrieb Alkohol ausgeschenkt?</t>
  </si>
  <si>
    <t>Ist der Umgang mit Suchtmitteln (z.B. Alkohol, Drogen, Nikotin) im Betrieb geregelt?</t>
  </si>
  <si>
    <t>9.9.</t>
  </si>
  <si>
    <t>Sind die erforderlichen Infrastrukturmittel zur Einhaltung der Regeln der Datenblätter vorhanden?</t>
  </si>
  <si>
    <t>Sind die Mitarbeitenden über den Inhalt der Datenblätter geschult?</t>
  </si>
  <si>
    <t>Sind diese Datenblätter an den Arbeitsplätzen verfügbar?</t>
  </si>
  <si>
    <t>Sind in Ihrem Unternehmen zu allen gesundheitsgefährdenden Stoffen die entsprechenden Sicherheitsdatenblätter vorhanden?</t>
  </si>
  <si>
    <t>Werden in Ihrem Unternehmen die Sicherheitsbestimmungen im Zusammenhang mit gesundheitsgefährdenden Stoffen eingehalten?</t>
  </si>
  <si>
    <t>Werden in Ihrem Unternehmen gesundheitsgefährdende Stoffe gelagert?</t>
  </si>
  <si>
    <t>Werden in Ihrem Unternehmen gesundheitsgefährdende Stoffe hergestellt oder verarbeitet?</t>
  </si>
  <si>
    <t>9.8.</t>
  </si>
  <si>
    <t>Entlöhnungsform</t>
  </si>
  <si>
    <t>9.7.</t>
  </si>
  <si>
    <t>Pausengestaltung</t>
  </si>
  <si>
    <t>9.6.</t>
  </si>
  <si>
    <t>Arbeitszeitregelung</t>
  </si>
  <si>
    <t>9.5.</t>
  </si>
  <si>
    <t>Psychische Arbeitsbelastung</t>
  </si>
  <si>
    <t>9.4.</t>
  </si>
  <si>
    <t>Stoffe</t>
  </si>
  <si>
    <t>Physische Arbeitsbelastung</t>
  </si>
  <si>
    <t>9.3.</t>
  </si>
  <si>
    <t>Kommt es vor, dass Sie eine diffuse Unzufriedenheit wahrnehmen, ohne einen einsichtigen Grund für dieses Unbehagen finden zu können (ständiges Nörgeln)?</t>
  </si>
  <si>
    <t>Gibt es Klagen über Termindruck, Hektik oder Überforderung?</t>
  </si>
  <si>
    <t>Gibt es Bereiche in denen häufig über Müdigkeit, Kopfweh, Schlafstörungen oder Magenbeschwerden geklagt wird? Wenn ja, in welchen Bereichen?</t>
  </si>
  <si>
    <t>Arbeitsbelastung, Arbeitszufriedenheit</t>
  </si>
  <si>
    <t>9.2.</t>
  </si>
  <si>
    <t>Gibt es bei Ihnen monotone, reizarme Tätigkeiten mit geringen Anforderungen?</t>
  </si>
  <si>
    <t>Können die Mitarbeitenden den Arbeitsfluss notfalls ohne nachteilige Folgen unterbrechen?</t>
  </si>
  <si>
    <t>Können die Mitarbeitenden Ihre Arbeit selbständig einteilen?</t>
  </si>
  <si>
    <t>Arbeitsgestaltung</t>
  </si>
  <si>
    <t>9.1.</t>
  </si>
  <si>
    <t>9.</t>
  </si>
  <si>
    <t>Kommt in Ihrem Unternehmen ein bestimmtes Anreizsystem zur Förderung der Sicherheit und Gesundheit zur Anwendung? Wenn ja, worin besteht dieses Anreizsystem?</t>
  </si>
  <si>
    <t>Werden Vorschläge bezüglich der Verbesserung der Sicherheit honoriert? Wenn ja, wie?</t>
  </si>
  <si>
    <t>Werden Vorschläge bezüglich Sicherheit und Gesundheitsschutz ausdrücklich gewünscht?</t>
  </si>
  <si>
    <t>Ist in Ihrem Unternehmen ein Vorschlagswesen institutionalisiert?</t>
  </si>
  <si>
    <t>Vorschlagwesen, Anreizsystem</t>
  </si>
  <si>
    <t>8.2.</t>
  </si>
  <si>
    <t>Wird die Arbeitnehmervertretung von Arbeitgeberseite in ihrer Tätigkeit unterstützt?</t>
  </si>
  <si>
    <t>Sind die besonderen Mitwirkungsrechte der Mitarbeitenden bzw. der Arbeitnehmervertretung in Belangen der Arbeitssicherheit und des Gesundheitsschutzes gewährleistet?</t>
  </si>
  <si>
    <t>Ist die rechtzeitige und umfassende Information der Mitarbeitenden bzw. der Arbeitnehmervertretung sichergestellt?</t>
  </si>
  <si>
    <t>8.1.</t>
  </si>
  <si>
    <t>8.</t>
  </si>
  <si>
    <t>Haben an der letzten Übung alle Betriebsangehörige teilgenommen?</t>
  </si>
  <si>
    <t>Sind die Beschäftigten über das Verhalten bei einem Brand instruiert?</t>
  </si>
  <si>
    <t>Verfügen Sie über eine betriebsinterne Brandschutzorganisation?</t>
  </si>
  <si>
    <t>7.3.</t>
  </si>
  <si>
    <t>Verfügen Sie über einen betriebseigenen Sanitätsdienst?</t>
  </si>
  <si>
    <t>Tragen die Beschäftigten einen Notfallausweis mit den wichtigsten Angaben für Notfallmeldungen auf sich?</t>
  </si>
  <si>
    <t>Bestehen schriftliche Anweisungen an das Personal bezüglich des Verhaltens in Notsituationen?</t>
  </si>
  <si>
    <t>Personelle Bedingungen</t>
  </si>
  <si>
    <t>7.2.</t>
  </si>
  <si>
    <t>Ist das richtige Verhalten bei Notfällen den Mitarbeitenden aller Stufen bekannt?</t>
  </si>
  <si>
    <t>Ist der rasche und unbehinderte Zugang zum Notfallmaterial jederzeit gewährleistet?</t>
  </si>
  <si>
    <t>Sind die Notfallnummern bei allen Kommunikationsmittel leicht erkennbar angebracht?</t>
  </si>
  <si>
    <t>Besteht in Ihrem Unternehmen ein Melde- oder Alarmsystem für Notfälle?</t>
  </si>
  <si>
    <t>Feuerwehr</t>
  </si>
  <si>
    <t>Ist eine rasche und sachdienliche Soforthilfe bei Unfällen und akuten Erkrankungen gewährleistet?</t>
  </si>
  <si>
    <t>Notfallkonzept</t>
  </si>
  <si>
    <t>7.1.</t>
  </si>
  <si>
    <t>7.</t>
  </si>
  <si>
    <t>Sicherheitsprogramme</t>
  </si>
  <si>
    <t>6.2.</t>
  </si>
  <si>
    <t>Werden die Auswirkungen der eingeleiteten bzw. umgesetzten Massnahmen bei der Festlegung der Ziele für Sicherheit und Gesundheitsschutz berücksichtigt?</t>
  </si>
  <si>
    <t>Wird die Wirksamkeit der getroffenen Massnahmen kontrolliert?</t>
  </si>
  <si>
    <t>Wird die Ausführung der zu treffenden Massnahmen terminiert und überwacht?</t>
  </si>
  <si>
    <t>Werden Sicherheitsmassnahmen aufgrund bestimmter Strategien (Ziele, Mittel und Verfahren) getroffen?</t>
  </si>
  <si>
    <t>Werden nach dem Erkennen einer Gefährdung in jedem Fall Massnahmen getroffen?</t>
  </si>
  <si>
    <t>Massnahmenfindung</t>
  </si>
  <si>
    <t>6.1.</t>
  </si>
  <si>
    <t>Massnahmen</t>
  </si>
  <si>
    <t>6.</t>
  </si>
  <si>
    <t>Ist für die Untersuchung von unerwünschten Ereignissen ein Verfahren definiert und schriftlich festgelegt?</t>
  </si>
  <si>
    <t>Ist eine Stelle bestimmt, die alle Unfallmeldungen sammelt und auswertet?</t>
  </si>
  <si>
    <t>Ereignisanalyse</t>
  </si>
  <si>
    <t>5.4.</t>
  </si>
  <si>
    <t>Werden die Ergebnisse aus der Risikobeurteilung bei der Festlegung der Ziele für Sicherheit und Gesundheitsschutz berücksichtigt?</t>
  </si>
  <si>
    <t>Sind die Ergebnisse der Risikobeurteilungen dokumentiert? Wenn ja, wie?</t>
  </si>
  <si>
    <t>Werden die Mitarbeitenden in die Risikobeurteilung einbezogen?</t>
  </si>
  <si>
    <t>Werden in Ihrem Unternehmen Risikobeurteilungen durchgeführt? Wenn ja, mit welcher Methode?</t>
  </si>
  <si>
    <t>5.3.1</t>
  </si>
  <si>
    <t>5.3.</t>
  </si>
  <si>
    <t>Werden die Ergebnisse aus der Gefährdungsermittlung bei der Festlegung der Ziele für Sicherheit und Gesundheitsschutz berücksichtigt?</t>
  </si>
  <si>
    <t>Wird die Gefährdungsermittlung regelmässig überprüft und den Veränderungen im Unternehmen angepasst?</t>
  </si>
  <si>
    <t>Sind die Gefahren bezüglich Sicherheit und Gesundheit der Arbeitnehmenden in Ihrem Unternehmen ermittelt und dokumentiert? Wenn ja, mit welchen Methoden?</t>
  </si>
  <si>
    <t>Gefährdungsermittlung</t>
  </si>
  <si>
    <t>5.2.</t>
  </si>
  <si>
    <t>5.1.</t>
  </si>
  <si>
    <t>5.</t>
  </si>
  <si>
    <t>Werden die Konformitätserklärungen auf Vollständigkeit geprüft und archiviert?</t>
  </si>
  <si>
    <t>Verlangen Sie von Lieferanten schon bei der Offerte entsprechende sicherheitstechnische Daten, Prüfberichte, Zertifikate, Testergebnisse, Referenzen?</t>
  </si>
  <si>
    <t>Verwenden Sie bei der Beschaffung von Arbeitsmitteln besondere Checklisten, Stichwortlisten oder betriebsinterne Bestimmungen um sicherheitstechnische Aspekte zu überprüfen?</t>
  </si>
  <si>
    <t>Werden bei der Beschaffung von Arbeitsmitteln sicherheitstechnische Aspekte berücksichtigt?</t>
  </si>
  <si>
    <t>4.7.</t>
  </si>
  <si>
    <t>Werden bestimmte Mitarbeiter Ihres Unternehmens in der Instandhaltung von Gebäuden und Anlagen ausgebildet und instruiert?</t>
  </si>
  <si>
    <t>Bestehen Sicherheitsbestimmungen und Regelungen betreffend der Instandhaltung von Gebäuden und Anlagen? (z.B. über die Begehbarkeit von Gebäudeteilen)</t>
  </si>
  <si>
    <t>Sind Gefährdungen, die beim Unterhalt von Gebäuden und Anlagen auftreten können, ermittelt und dokumentiert?</t>
  </si>
  <si>
    <t>Gebäude und Anlagen</t>
  </si>
  <si>
    <t>4.6.</t>
  </si>
  <si>
    <t>Erfolgt die Freigabe der Arbeitsmittel, im Anschluss an die Instandhaltungsarbeiten, nach bestimmten Sicherheitsregeln?</t>
  </si>
  <si>
    <t>Werden Instandhaltungsarbeiten geplant (Instandhaltungsplan) und mit den betroffenen Mitarbeitern besprochen?</t>
  </si>
  <si>
    <t>Werden Anweisungen der Hersteller und Lieferanten bzw. interne Weisungen betreffend der Instandhaltung von Arbeitsmitteln befolgt?</t>
  </si>
  <si>
    <t>Werden bestimmte Mitarbeiter Ihres Unternehmens von Herstellerfirmen oder Lieferanten von Arbeitsmitteln in der Instandhaltung gründlich geschult?</t>
  </si>
  <si>
    <t>4.5.</t>
  </si>
  <si>
    <t>Kennen Sie bei Ihren Anlagen, Maschinen und Geräten das Verhältnis zwischen der Anzahl Unfälle, Beinaheunfälle und Prozessstörungen im Normalbetrieb und im Sonderbetrieb?</t>
  </si>
  <si>
    <t>4.4.</t>
  </si>
  <si>
    <t>Wird die korrekte Anwendung der persönlichen Schutzausrüstung kontrolliert und durchgesetzt?</t>
  </si>
  <si>
    <t>Werden die Beschäftigten in der korrekten Anwendung und Pflege der persönlichen Schutzmittel angeleitet?</t>
  </si>
  <si>
    <t>Werden die Beschäftigten über die an ihrem Arbeitsplatz auftretenden Gefahren und entsprechenden Sicherheitsmassnahmen aufgeklärt?</t>
  </si>
  <si>
    <t>Wird das Benützen persönlicher Schutzmittel von den Vorgesetzten vorgelebt?</t>
  </si>
  <si>
    <t>Bestehen betriebsinterne schriftliche Weisungen bezüglich der Verwendung persönlicher Schutzmittel?</t>
  </si>
  <si>
    <t>Persönlicher Schutz: Anwendung</t>
  </si>
  <si>
    <t>4.3.</t>
  </si>
  <si>
    <t>Persönlicher Schutz: Bedürfnisse</t>
  </si>
  <si>
    <t>4.2.</t>
  </si>
  <si>
    <t>Werden die Checklisten von Suva und der Branchenlösung eingesetzt?</t>
  </si>
  <si>
    <t>Sind sicherheits- und gesundheitsrelevante Merkblätter und Arbeitsanweisungen im Unternehmen vorhanden?</t>
  </si>
  <si>
    <t>Merkblätter, Weisungen und Checklisten</t>
  </si>
  <si>
    <t>4.1.</t>
  </si>
  <si>
    <t>Sicherheitsstandards</t>
  </si>
  <si>
    <t>4.</t>
  </si>
  <si>
    <t>Sind Sie bereit, Werkverträge mit Fremdfirmen aufzulösen, wenn Sicherheitsbestimmungen nicht eingehalten werden?</t>
  </si>
  <si>
    <t>Wird das Einhalten von Sicherheitsbestimmungen bei Fremdfirmen konsequent durchgesetzt?</t>
  </si>
  <si>
    <t>Ist das Einhalten von Sicherheitsbestimmungen Bestandteil schriftlicher Werkverträge, die Sie mit Fremdfirmen abschliessen?</t>
  </si>
  <si>
    <t>Werden Fremdfirmen auf Gefahren und Sicherheitsanforderungen in Ihrem Unternehmen aufmerksam gemacht?</t>
  </si>
  <si>
    <t>3.10.</t>
  </si>
  <si>
    <t>3.9.</t>
  </si>
  <si>
    <t>Kommunikation, Mittel und Anlässe</t>
  </si>
  <si>
    <t>3.8.</t>
  </si>
  <si>
    <t>Ist in Ihrem Unternehmen eine Stelle oder Person mit Aufgaben der Information und Kommunikation beauftragt? Wenn ja, welche Stelle oder Person?</t>
  </si>
  <si>
    <t>Besteht in Ihrem Unternehmen ein Informations- und Kommunikationskonzept?</t>
  </si>
  <si>
    <t>Informationskonzept</t>
  </si>
  <si>
    <t>3.7.</t>
  </si>
  <si>
    <t>Hat unsicheres Arbeitsverhalten Konsequenzen zur Folge? Wenn ja, welche?</t>
  </si>
  <si>
    <t>Ist sicheres Arbeitsverhalten Bestandteil der Mitarbeiterbeurteilung?</t>
  </si>
  <si>
    <t>Ist sicheres Führungs- und Arbeitsverhalten ein entscheidendes Kriterium bei Beförderungen?</t>
  </si>
  <si>
    <t>Haben ungenügende Führungsleistungen im Bereich Arbeitssicherheit Konsequenzen zur Folge? Wenn ja, welche?</t>
  </si>
  <si>
    <t>Ist sicheres Führungsverhalten Bestandteil der Beurteilung von Vorgesetzten?</t>
  </si>
  <si>
    <t>3.6.</t>
  </si>
  <si>
    <t>Werden Vorgesetzte in der Methodik für die Durchführung von Ausbildungen am Arbeitsplatz geschult?</t>
  </si>
  <si>
    <t>Werden Unfälle, Beinaheunfälle und andere unerwünschte Ereignisse dazu benützt, Lehren zu ziehen, konkrete Massnahmen zu treffen und Ausbildungslücken zu schliessen?</t>
  </si>
  <si>
    <t>Wird das „Lernen am Arbeitsplatz“ in Ihrem Unternehmen bewusst praktiziert und gefördert?</t>
  </si>
  <si>
    <t>Ausbildung am Arbeitsplatz</t>
  </si>
  <si>
    <t>3.5.</t>
  </si>
  <si>
    <t>Macht Ihr Unternehmen von den Schulungsangeboten von Wirtschafts- und Berufsverbänden Gebrauch?</t>
  </si>
  <si>
    <t>Sind Sicherheit und Gesundheitsschutz Bestandteil der Schulungsangebote?</t>
  </si>
  <si>
    <t>Verfügen Sie über bestimmte Schulungsangebote und Schulungsprogramme?</t>
  </si>
  <si>
    <t>Personalschulung</t>
  </si>
  <si>
    <t>3.4.</t>
  </si>
  <si>
    <t>Führen Sie eine namentliche Kontrolle über Ausbildung, Fortbildung, Weiterbildung und andere Personalförderungsmassnahmen?</t>
  </si>
  <si>
    <t>Verfügt Ihr Unternehmen über ein Personalförderungskonzept?</t>
  </si>
  <si>
    <t>Werden Sicherheit und Gesundheitsschutz bei der Ermittlung von Qualifikationslücken und Schulungsbedürfnissen berücksichtigt?</t>
  </si>
  <si>
    <t>Werden Anforderungsprofile und Leistungsprofile der Beschäftigten regelmässig und systematisch überprüft?</t>
  </si>
  <si>
    <t>Schulungsbedürfnisse, Personalförderung</t>
  </si>
  <si>
    <t>3.3.</t>
  </si>
  <si>
    <t>Ist sicheres Führungs- und Arbeitsverhalten Gegenstand der Beurteilungskriterien während der Probezeit?</t>
  </si>
  <si>
    <t>Verwenden Sie für die Dokumentation der Einführung bestimmte Checklisten oder Stichwortlisten?</t>
  </si>
  <si>
    <t>Neueintretende Mitarbeitende</t>
  </si>
  <si>
    <t>3.2.</t>
  </si>
  <si>
    <t>Ist sicheres Arbeitsverhalten Gegenstand von Arbeitsverträgen mit Teilzeitbeschäftigten, saisonal Beschäftigten oder Aushilfskräften?</t>
  </si>
  <si>
    <t>Ist sicheres Führungs- und Arbeitsverhalten Gegenstand von Arbeitsverträgen mit Festangestellten?</t>
  </si>
  <si>
    <t>Werden bei der Personalauswahl Aspekte der Sicherheit und Gesundheit berücksichtigt?</t>
  </si>
  <si>
    <t>Verfügen Sie über Auswahlkriterien für die Personalauswahl?</t>
  </si>
  <si>
    <t>Auswahlkriterien, Arbeitsverträge</t>
  </si>
  <si>
    <t>3.1.</t>
  </si>
  <si>
    <t>Befähigung, Schulung, Kommunikation</t>
  </si>
  <si>
    <t>3.</t>
  </si>
  <si>
    <t>Werden wichtige Dokumentationen als persönliche Exemplare einzelnen Mitarbeitenden zur Verfügung gestellt?</t>
  </si>
  <si>
    <t>Dokumentation über S &amp; G</t>
  </si>
  <si>
    <t>2.3.3.</t>
  </si>
  <si>
    <t>Ist die permanente Aktualisierung und Verfügbarkeit der Richtlinien- und Normendokumente durch ein festgelegtes Vorgehen sichergestellt? Wenn ja, welche Stelle oder Person ist damit beauftragt?</t>
  </si>
  <si>
    <t>Werden die Richtlinien und Normen vom Unternehmen sinngemäss erfüllt?</t>
  </si>
  <si>
    <t>Kennen die betroffenen Personen Ihre Aufgaben, Pflichten und Rechte, die sich aus den Richtlinien und Normen ergeben?</t>
  </si>
  <si>
    <t>Sind die betroffenen Personen im Besitz der sicherheits- und gesundheitsrelevanten Richtlinien und Normen oder haben sie jederzeit Zugang dazu?</t>
  </si>
  <si>
    <t>Richtlinien und Normen</t>
  </si>
  <si>
    <t>2.3.2.</t>
  </si>
  <si>
    <t>Werden die rechtlichen Bestimmungen vom Unternehmen sinngemäss erfüllt?</t>
  </si>
  <si>
    <t>Kennen die Betriebsangehörigen Ihre Aufgaben, Pflichten und Rechte, die sich aus den gesetzlichen Grundlagen ergeben?</t>
  </si>
  <si>
    <t>Sind die gesetzlichen Grundlagen bezüglich Arbeitssicherheit und Gesundheitsschutz im Unternehmen vorhanden?</t>
  </si>
  <si>
    <t>Gesetzliche Grundlagen</t>
  </si>
  <si>
    <t>2.3.1.</t>
  </si>
  <si>
    <t>Relevante Grundlagen</t>
  </si>
  <si>
    <t>2.3.</t>
  </si>
  <si>
    <t>Sicherheitsausbildung</t>
  </si>
  <si>
    <t>2.2.3.</t>
  </si>
  <si>
    <t>Ist die Struktur der Systemdokumente für das Sicherheitskonzept definiert und der Bezug zu den mitgeltenden Unterlagen aufgezeigt?</t>
  </si>
  <si>
    <t>Sicherheitskonzept</t>
  </si>
  <si>
    <t>2.2.2.</t>
  </si>
  <si>
    <t>Wird die Sicherheitsorganisation durch die Linienvorgesetzten aktiv unterstützt?</t>
  </si>
  <si>
    <t>Sind Aufgaben, Pflichten und Rechte der einzelnen Organe der Sicherheitsorganisation schriftlich festgehalten?</t>
  </si>
  <si>
    <t>Ist die Sicherheitsorganisation in einem Organigramm dargestellt?</t>
  </si>
  <si>
    <t>Verfügen Sie in Ihrem Unternehmen über eine Sicherheitsorganisation, die direkt der Unternehmensleitung unterstellt ist?</t>
  </si>
  <si>
    <t>Organisationsgestaltung</t>
  </si>
  <si>
    <t>2.2.1.</t>
  </si>
  <si>
    <t>Verfügt Ihr Unternehmen über eine freiwillige Betriebsordnung? Wenn ja: Wie lautet der Text bezüglich Sicherheit und Gesundheitsförderung der Beschäftigten?</t>
  </si>
  <si>
    <t>Betriebsordnung</t>
  </si>
  <si>
    <t>2.1.4.</t>
  </si>
  <si>
    <t>Enthalten schriftliche Arbeitsanweisungen Hinweise auf Sicherheits- und Gesundheitsschutzmassnahmen?</t>
  </si>
  <si>
    <t>Werden Arbeitsaufträge in schriftlicher Form erteilt und dokumentiert?</t>
  </si>
  <si>
    <t>Sind Sicherheit und Gesundheitsschutz Bestandteil der Arbeitsaufträge?</t>
  </si>
  <si>
    <t>Werden Arbeitsaufträge erläutert und besprochen?</t>
  </si>
  <si>
    <t>Arbeitsplanung und -organisation</t>
  </si>
  <si>
    <t>2.1.3.</t>
  </si>
  <si>
    <t>Ist die Zuständigkeit und Verantwortlichkeit für die Sicherheit und Gesundheit der Mitarbeitenden schriftlich geregelt?</t>
  </si>
  <si>
    <t>Aufgaben, Kompetenzen, Verantwortung</t>
  </si>
  <si>
    <t>2.1.2.</t>
  </si>
  <si>
    <t>Organisationsform</t>
  </si>
  <si>
    <t>2.1.1</t>
  </si>
  <si>
    <t>Betriebsorganisation</t>
  </si>
  <si>
    <t>Organisation</t>
  </si>
  <si>
    <t>Enthalten die Ziele auch die Verpflichtung zur kontinuierlichen Verbesserung des Sicherheitssystems?</t>
  </si>
  <si>
    <t>Gibt es einen definierten Prozess für die Festlegung der Sicherheitsziele?</t>
  </si>
  <si>
    <t>Zielbildung, Controlling und Strategie</t>
  </si>
  <si>
    <t>1.5.</t>
  </si>
  <si>
    <t>Verfügen Sie über Vergleichsmöglichkeiten mit den Zahlen Ihrer Branche oder vergleichbarer Unternehmen? Wenn ja, welche?</t>
  </si>
  <si>
    <t>Kennen die Linienvorgesetzten Pflichten und Rechte, die sich aus gesetzlichen Anforderungen bezüglich Sicherheit und Gesundheit ergeben?</t>
  </si>
  <si>
    <t>Absenzenmanagement</t>
  </si>
  <si>
    <t>1.3.3</t>
  </si>
  <si>
    <t>Engagement der Linienvorgesetzten</t>
  </si>
  <si>
    <t>ja / nein</t>
  </si>
  <si>
    <t>Level 1 Suva</t>
  </si>
  <si>
    <t>Level 1 Selbst</t>
  </si>
  <si>
    <t>Punkte Suva</t>
  </si>
  <si>
    <t>Punkte Selbst</t>
  </si>
  <si>
    <t>max Punktzahl</t>
  </si>
  <si>
    <t>Gewicht</t>
  </si>
  <si>
    <t>Si Org</t>
  </si>
  <si>
    <t>HR</t>
  </si>
  <si>
    <t>Analyse und Bewertung für Selbstbeuteilung und Ist-Aufnahme</t>
  </si>
  <si>
    <t>Datum</t>
  </si>
  <si>
    <t>Firma</t>
  </si>
  <si>
    <t>Delta Suva - Kunde</t>
  </si>
  <si>
    <t>Erfüllungsgrad</t>
  </si>
  <si>
    <t>Legende im Spinnendiagramm:</t>
  </si>
  <si>
    <t xml:space="preserve">Stimmt das betriebliche Geschehen mit dem Unternehmensleitbild überein? </t>
  </si>
  <si>
    <t>Besteht für Arbeitssicherheit und Gesundheitsschutz eine Budgetposition?</t>
  </si>
  <si>
    <t>1.3.</t>
  </si>
  <si>
    <t xml:space="preserve"> Bemerkung Kunde</t>
  </si>
  <si>
    <t>1.4.</t>
  </si>
  <si>
    <t>Betriebsspiegel</t>
  </si>
  <si>
    <t>2. Firmensitz</t>
  </si>
  <si>
    <t>3.Gründung</t>
  </si>
  <si>
    <t>4. Standorte</t>
  </si>
  <si>
    <t>5. Rechtsform</t>
  </si>
  <si>
    <t>6. Eigentümer</t>
  </si>
  <si>
    <t>7. Organe</t>
  </si>
  <si>
    <t>8. Produkte</t>
  </si>
  <si>
    <t>9. Kunden</t>
  </si>
  <si>
    <t>10. Umwelt- und Qualitätszertifikate</t>
  </si>
  <si>
    <t>11. Firmendokumente</t>
  </si>
  <si>
    <t>Mitarbeiter</t>
  </si>
  <si>
    <t xml:space="preserve">Geschäftsleitung </t>
  </si>
  <si>
    <t>Lehrlinge</t>
  </si>
  <si>
    <t>Kader</t>
  </si>
  <si>
    <t>Mitarbeiter Total</t>
  </si>
  <si>
    <t>Hochschulabschluss</t>
  </si>
  <si>
    <t>Höhere Berufsausbildung (FH/TS)</t>
  </si>
  <si>
    <t>Berufsausbildung</t>
  </si>
  <si>
    <t>Anlehre</t>
  </si>
  <si>
    <t>Kaderangehörige</t>
  </si>
  <si>
    <t>Insgesamt</t>
  </si>
  <si>
    <t>1.3.1.a</t>
  </si>
  <si>
    <t>1.3.2.a</t>
  </si>
  <si>
    <t>1.4.1.a</t>
  </si>
  <si>
    <t>1.4.2.a</t>
  </si>
  <si>
    <t>1.4.4.</t>
  </si>
  <si>
    <t>1.5.1.</t>
  </si>
  <si>
    <t>Schlüsselpersonen der Arbeitssicherheit</t>
  </si>
  <si>
    <t>Funktion / Zuständigkeit</t>
  </si>
  <si>
    <t>Name / Vorname</t>
  </si>
  <si>
    <t>Geschäftsleitung</t>
  </si>
  <si>
    <t>Projektleitung / Projektteam IS</t>
  </si>
  <si>
    <t>Sicherheitsingenieur</t>
  </si>
  <si>
    <t>Sicherheitsfachmann</t>
  </si>
  <si>
    <t>Sicherheitsassistent</t>
  </si>
  <si>
    <t>Ergonomiebeauftragter</t>
  </si>
  <si>
    <t>Chemikalien-Ansprechperson</t>
  </si>
  <si>
    <t>Strahlenschutzverantwortlicher</t>
  </si>
  <si>
    <t>Personaldienst</t>
  </si>
  <si>
    <t>Personalchef</t>
  </si>
  <si>
    <t>Absenzenkontrolle</t>
  </si>
  <si>
    <t>Vorschlagswesen</t>
  </si>
  <si>
    <t>Personalförderung</t>
  </si>
  <si>
    <t>Personalausbildung</t>
  </si>
  <si>
    <t>Staplerfahrerausbildung</t>
  </si>
  <si>
    <t>Lehrlingsausbildung</t>
  </si>
  <si>
    <t>Personalvertretung</t>
  </si>
  <si>
    <t>Betriebskommission</t>
  </si>
  <si>
    <t>Personalverband</t>
  </si>
  <si>
    <t>Information / Kommunikation</t>
  </si>
  <si>
    <t>Informationsverantwortlicher</t>
  </si>
  <si>
    <t>Redaktion Firmenzeitschrift</t>
  </si>
  <si>
    <t>Redaktion Personalzeitschrift</t>
  </si>
  <si>
    <t>Fachzeitschriften / Infothek</t>
  </si>
  <si>
    <t>Anschlagbretter / Anschläge</t>
  </si>
  <si>
    <t>Informatik / EDV</t>
  </si>
  <si>
    <t>Leiter Informatik</t>
  </si>
  <si>
    <t>Betriebsmittel</t>
  </si>
  <si>
    <t>Einkauf Arbeitsmittel</t>
  </si>
  <si>
    <t>Einkauf PSA</t>
  </si>
  <si>
    <t>Gefahrengutbeauftragter</t>
  </si>
  <si>
    <t>Kraftstoffe</t>
  </si>
  <si>
    <t>Explosive Stoffe</t>
  </si>
  <si>
    <t>Forschung / Entwicklung</t>
  </si>
  <si>
    <t>Organisationsentwicklung</t>
  </si>
  <si>
    <t>Technikentwicklung</t>
  </si>
  <si>
    <t>Umweltschutz</t>
  </si>
  <si>
    <t>Umweltschutzbeauftragter</t>
  </si>
  <si>
    <t>Abfallbewirtschaftung</t>
  </si>
  <si>
    <t>AVOR</t>
  </si>
  <si>
    <t>Planung, Organisation</t>
  </si>
  <si>
    <t>Betriebsfachmann</t>
  </si>
  <si>
    <t>Qualitätssicherung</t>
  </si>
  <si>
    <t>QM/TQM</t>
  </si>
  <si>
    <t>Labor</t>
  </si>
  <si>
    <t>Logistik</t>
  </si>
  <si>
    <t>Transporte / Chauffeure</t>
  </si>
  <si>
    <t>Transportmittel / Fahrzeuge</t>
  </si>
  <si>
    <t>Lagerchef</t>
  </si>
  <si>
    <t>Technischer Dienst</t>
  </si>
  <si>
    <t>Werkstatt</t>
  </si>
  <si>
    <t>Reparaturdienst</t>
  </si>
  <si>
    <t>Elektrik</t>
  </si>
  <si>
    <t>Werkschutz</t>
  </si>
  <si>
    <t>Sanitätsdienst</t>
  </si>
  <si>
    <t>Werksarzt</t>
  </si>
  <si>
    <t>Betriebssanitäter</t>
  </si>
  <si>
    <t>Sanitätsräume/Sanitätsmaterial</t>
  </si>
  <si>
    <t>Hausdienst</t>
  </si>
  <si>
    <t>Gebäudeverantwortlicher</t>
  </si>
  <si>
    <t>Gebäudeunterhalt</t>
  </si>
  <si>
    <t>Gebäudereinigung</t>
  </si>
  <si>
    <t>Hausabwart</t>
  </si>
  <si>
    <t>Abteilungsleiter ( sofern aus beigelegtem Organigramm nicht ersichtlich)</t>
  </si>
  <si>
    <t>2.</t>
  </si>
  <si>
    <t>2.1.</t>
  </si>
  <si>
    <t>2.1.2.2.a</t>
  </si>
  <si>
    <t>2.1.2.2.b</t>
  </si>
  <si>
    <t>2.1.2.2.c</t>
  </si>
  <si>
    <t>2.1.2.2.d</t>
  </si>
  <si>
    <t>2.1.2.2.e</t>
  </si>
  <si>
    <t>2.1.2.2.f</t>
  </si>
  <si>
    <t>2.1.2.2.g</t>
  </si>
  <si>
    <t>2.1.2.2.h</t>
  </si>
  <si>
    <t>2.1.2.3.a</t>
  </si>
  <si>
    <t>2.1.3.1.a</t>
  </si>
  <si>
    <t>2.1.2.3.b</t>
  </si>
  <si>
    <t>2.1.2.3.c</t>
  </si>
  <si>
    <t>2.1.2.3.d</t>
  </si>
  <si>
    <t>2.1.2.3.e</t>
  </si>
  <si>
    <t>2.1.2.3.f</t>
  </si>
  <si>
    <t>2.1.2.3.g</t>
  </si>
  <si>
    <t>2.1.2.3.h</t>
  </si>
  <si>
    <t>2.1.3.1.b</t>
  </si>
  <si>
    <t>2.1.3.1.c</t>
  </si>
  <si>
    <t>2.1.3.2.</t>
  </si>
  <si>
    <t>Werden in der Phase der Planung, Organisation und Vorbereitung Aspekte der Arbeitssicherheit und des Gesundheitsschutzes berücksichtigt?</t>
  </si>
  <si>
    <t>2.1.3.3.</t>
  </si>
  <si>
    <t>2.2</t>
  </si>
  <si>
    <t>Ist ein Mitglied der Geschäftsleitung für Arbeitssicherheit und Gesundheitsschutz zuständig?</t>
  </si>
  <si>
    <t>2.2.1.4.a</t>
  </si>
  <si>
    <t>2.2.1.4.b</t>
  </si>
  <si>
    <t>2.2.1.4.c</t>
  </si>
  <si>
    <t>2.2.1.4.d</t>
  </si>
  <si>
    <t>2.2.1.4.e</t>
  </si>
  <si>
    <t>2.2.1.7.</t>
  </si>
  <si>
    <t>2.1.3.5.</t>
  </si>
  <si>
    <t>2.1.3.6.</t>
  </si>
  <si>
    <t>2.1.3.7.</t>
  </si>
  <si>
    <t>2.1.3.8.</t>
  </si>
  <si>
    <t>2.1.4.1.</t>
  </si>
  <si>
    <t>2.1.4.2.</t>
  </si>
  <si>
    <t>2.2.1.1.</t>
  </si>
  <si>
    <t>2.2.1.2.</t>
  </si>
  <si>
    <t>2.2.1.3.</t>
  </si>
  <si>
    <t>2.2.1.5.</t>
  </si>
  <si>
    <t>2.2.1.6.</t>
  </si>
  <si>
    <t>2.1.2.1.</t>
  </si>
  <si>
    <t>1.5.5.</t>
  </si>
  <si>
    <t>Haben Mitarbeitende Ihres Unternehmens die Ausbildung zum Sicherheitsassistenten, Sicherheitsfachmann resp. Sicherheitsingenieur absolviert?</t>
  </si>
  <si>
    <t>2.3.1.1.</t>
  </si>
  <si>
    <t>2.2.2.1.</t>
  </si>
  <si>
    <t>2.2.2.2.</t>
  </si>
  <si>
    <t>2.2.2.3.</t>
  </si>
  <si>
    <t>2.2.3.2.</t>
  </si>
  <si>
    <t>2.2.3.1.</t>
  </si>
  <si>
    <t>2.2.3.3.</t>
  </si>
  <si>
    <t>2.3.1.2.</t>
  </si>
  <si>
    <t>2.3.1.3.</t>
  </si>
  <si>
    <t>2.3.1.4.</t>
  </si>
  <si>
    <t>Sind die Sicherheits- und Gesundheitsrelevanten Richtlinien und Normen im Unternehmen vorhanden?</t>
  </si>
  <si>
    <t>2.3.2.1.</t>
  </si>
  <si>
    <t>2.3.2.4.</t>
  </si>
  <si>
    <t>2.3.2.2.</t>
  </si>
  <si>
    <t>2.3.2.3.</t>
  </si>
  <si>
    <t>2.3.2.5.</t>
  </si>
  <si>
    <t>2.3.3.1.</t>
  </si>
  <si>
    <t>2.3.3.2.</t>
  </si>
  <si>
    <t>2.3.3.3.</t>
  </si>
  <si>
    <t>2.3.3.4.</t>
  </si>
  <si>
    <t>Besteht eine strikte Trennung zwischen der Planung, Organisation und Vorbereitung (AVOR) von Arbeiten und der Ausführung von Arbeiten?</t>
  </si>
  <si>
    <t>3.2.2.</t>
  </si>
  <si>
    <t>3.2.5.</t>
  </si>
  <si>
    <t>3.2.1.a</t>
  </si>
  <si>
    <t>3.2.1.b</t>
  </si>
  <si>
    <t>3.2.1.c</t>
  </si>
  <si>
    <t>3.2.3.a</t>
  </si>
  <si>
    <t>3.2.3.b</t>
  </si>
  <si>
    <t>3.2.3.c</t>
  </si>
  <si>
    <t>3.2.4.a</t>
  </si>
  <si>
    <t>3.2.4.b</t>
  </si>
  <si>
    <t>3.2.4.c</t>
  </si>
  <si>
    <t>3.3.1.</t>
  </si>
  <si>
    <t>3.3.2.</t>
  </si>
  <si>
    <t>3.3.3.</t>
  </si>
  <si>
    <t>3.3.4.</t>
  </si>
  <si>
    <t>3.3.5.</t>
  </si>
  <si>
    <t>3.4.1.</t>
  </si>
  <si>
    <t>3.4.2.</t>
  </si>
  <si>
    <t>3.4.3.</t>
  </si>
  <si>
    <t>3.4.4.</t>
  </si>
  <si>
    <t>Werden Vorgesetzte und Mitarbeitende über neue oder veränderte Arbeitsabläufe instruiert?</t>
  </si>
  <si>
    <t>3.5.1.</t>
  </si>
  <si>
    <t>3.5.2.</t>
  </si>
  <si>
    <t>3.5.3.</t>
  </si>
  <si>
    <t>3.5.4.</t>
  </si>
  <si>
    <t>3.5.5.</t>
  </si>
  <si>
    <t>3.5.6.</t>
  </si>
  <si>
    <t>3.6.1.</t>
  </si>
  <si>
    <t>3.6.2.</t>
  </si>
  <si>
    <t>3.6.3.</t>
  </si>
  <si>
    <t>3.6.4.</t>
  </si>
  <si>
    <t>3.6.5.</t>
  </si>
  <si>
    <t>3.6.6.</t>
  </si>
  <si>
    <t>3.7.1.</t>
  </si>
  <si>
    <t>3.7.2.</t>
  </si>
  <si>
    <t>3.7.3.</t>
  </si>
  <si>
    <t>Hat das Unternehmen die Sicherheitscharta der Suva unterzeichnet?</t>
  </si>
  <si>
    <t>3.9.1.a</t>
  </si>
  <si>
    <t>3.9.1.b</t>
  </si>
  <si>
    <t>3.9.2.</t>
  </si>
  <si>
    <t>Anforderugen an Fremdfirmen</t>
  </si>
  <si>
    <t>3.10.1.a</t>
  </si>
  <si>
    <t>3.10.2.</t>
  </si>
  <si>
    <t>Wird das Einhalten von Sicherheitsbestimmungen bei Fremdfirmen überwacht und systematisch kontrolliert?</t>
  </si>
  <si>
    <t>Wird das Sicherheits- und Gesundheitsschutz-Verhalten bei Fremdfirmen in der Lieferantenbeurteilung (Q-System) mitberücksichtigt?</t>
  </si>
  <si>
    <t>Besteht in Ihrem Unternehmen ein Angebot für die Sicherheitsausbildung der beauftragten Fremdfirmen?</t>
  </si>
  <si>
    <t>4.1.1.</t>
  </si>
  <si>
    <t>Sind die Adressaten im Besitz der sicherheits- und gesund-heitsrelevanten Merkblätter und Arbeitsanweisungen oder haben sie jederzeit Zugang dazu?</t>
  </si>
  <si>
    <t>Werden die betroffenen Mitarbeiter beim Erstellen betriebs-interner Weisungen miteinbezogen?</t>
  </si>
  <si>
    <t>4.2.1.a</t>
  </si>
  <si>
    <t>4.2.1.aa</t>
  </si>
  <si>
    <t>4.3.1.</t>
  </si>
  <si>
    <t>4.3.2.</t>
  </si>
  <si>
    <t>4.3.3.</t>
  </si>
  <si>
    <t>4.3.4.</t>
  </si>
  <si>
    <t>4.3.5.</t>
  </si>
  <si>
    <t>4.3.6.</t>
  </si>
  <si>
    <t>Werden die betroffenen Mitarbeiter bei der Auswahl persönlicher Schutzmittel einbezogen?</t>
  </si>
  <si>
    <t>4.3.7.</t>
  </si>
  <si>
    <t>Bestehen betriebsinterne Weisungen betreffend Normal- und Sonderbetrieb von Anlagen, Maschinen und Geräten?</t>
  </si>
  <si>
    <t>4.4.2.</t>
  </si>
  <si>
    <t>4.4.3.</t>
  </si>
  <si>
    <t>4.4.1.</t>
  </si>
  <si>
    <t>4.5.1.</t>
  </si>
  <si>
    <t>4.5.2.</t>
  </si>
  <si>
    <t>4.5.3.</t>
  </si>
  <si>
    <t>4.5.4.</t>
  </si>
  <si>
    <t>4.5.5.</t>
  </si>
  <si>
    <t>4.5.6.</t>
  </si>
  <si>
    <t>4.6.1.</t>
  </si>
  <si>
    <t>Bestehen betriebsinterne Weisungen betreffend der Instandhaltung von Arbeitsmitteln?</t>
  </si>
  <si>
    <t>Instandhaltung von Arbeitsmitteln</t>
  </si>
  <si>
    <t>4.6.2.</t>
  </si>
  <si>
    <t>4.6.3.</t>
  </si>
  <si>
    <t>4.6.4.</t>
  </si>
  <si>
    <t>Normalbetrieb / Sonderbetrieb</t>
  </si>
  <si>
    <t>4.7.1.</t>
  </si>
  <si>
    <t>4.7.2.</t>
  </si>
  <si>
    <t>4.7.3.</t>
  </si>
  <si>
    <t>4.7.4.</t>
  </si>
  <si>
    <t>4.7.5.</t>
  </si>
  <si>
    <t>3.1.1.</t>
  </si>
  <si>
    <t>3.1.2.</t>
  </si>
  <si>
    <t>3.1.3.</t>
  </si>
  <si>
    <t>3.1.4.</t>
  </si>
  <si>
    <t>3.1.5.</t>
  </si>
  <si>
    <t>3.1.6.</t>
  </si>
  <si>
    <t>Gefährdungsermittlung, Risikobeurteilung</t>
  </si>
  <si>
    <t>5.1.1.a</t>
  </si>
  <si>
    <t>Beizug (gemäss EKAS-Richtlinie 6508)</t>
  </si>
  <si>
    <t>5.1.1.b</t>
  </si>
  <si>
    <t>5.1.1.c</t>
  </si>
  <si>
    <t>5.1.1.e</t>
  </si>
  <si>
    <t>5.1.1.d</t>
  </si>
  <si>
    <t>5.2.1.</t>
  </si>
  <si>
    <t>5.2.2.a</t>
  </si>
  <si>
    <t>5.2.2.b</t>
  </si>
  <si>
    <t>5.2.2.c</t>
  </si>
  <si>
    <t>5.2.2.d</t>
  </si>
  <si>
    <t>5.2.2.e</t>
  </si>
  <si>
    <t>5.2.2.f</t>
  </si>
  <si>
    <t>5.2.2.g</t>
  </si>
  <si>
    <t>5.2.3.</t>
  </si>
  <si>
    <t>5.2.4.</t>
  </si>
  <si>
    <t>5.2.5.</t>
  </si>
  <si>
    <t>Werden die Mitarbeitenden in die Gefährdungsermittlung einbezogen?</t>
  </si>
  <si>
    <t>5.2.7.</t>
  </si>
  <si>
    <t>5.3.3.</t>
  </si>
  <si>
    <t>5.3.4.</t>
  </si>
  <si>
    <t>5.3.2.a</t>
  </si>
  <si>
    <t>5.3.2.b</t>
  </si>
  <si>
    <t>5.3.2.c</t>
  </si>
  <si>
    <t>5.3.5.</t>
  </si>
  <si>
    <t>5.3.6.</t>
  </si>
  <si>
    <t>5.3.7.</t>
  </si>
  <si>
    <t>Wird die Risikobeurteilung regelmässig überprüft und den Veränderungen im Unternehmen angepasst?</t>
  </si>
  <si>
    <t>5.4.1.a</t>
  </si>
  <si>
    <t>5.4.3.</t>
  </si>
  <si>
    <t>5.4.4.</t>
  </si>
  <si>
    <t>5.4.5.a</t>
  </si>
  <si>
    <t>5.4.6.</t>
  </si>
  <si>
    <t>Sind Unfallereignisse nach der Meldung des Falls an die Suva für Sie in der Regel abgeschlossen?</t>
  </si>
  <si>
    <t>5.4.5.g</t>
  </si>
  <si>
    <t>6.1.1.</t>
  </si>
  <si>
    <t>6.1.2.</t>
  </si>
  <si>
    <t>6.1.3.a</t>
  </si>
  <si>
    <t>6.1.4.</t>
  </si>
  <si>
    <t>6.1.5.</t>
  </si>
  <si>
    <t>6.1.6.</t>
  </si>
  <si>
    <t>6.2.1.a</t>
  </si>
  <si>
    <t>6.2.1.c</t>
  </si>
  <si>
    <t>6.2.1.b</t>
  </si>
  <si>
    <t>6.2.2.a</t>
  </si>
  <si>
    <t>7.1.1.</t>
  </si>
  <si>
    <t>Verfügen Sie über ein Notfallkonzept, das den betrieblichen Risiken gerecht wird?</t>
  </si>
  <si>
    <t>7.2.2.</t>
  </si>
  <si>
    <t>7.2.4.</t>
  </si>
  <si>
    <t>7.2.3.a</t>
  </si>
  <si>
    <t>7.2.5.</t>
  </si>
  <si>
    <t>7.2.6.</t>
  </si>
  <si>
    <t>7.2.7.a</t>
  </si>
  <si>
    <t>7.1.2.</t>
  </si>
  <si>
    <t>7.1.3.a</t>
  </si>
  <si>
    <t>7.1.3.b</t>
  </si>
  <si>
    <t>7.1.3.c</t>
  </si>
  <si>
    <t>7.1.3.d</t>
  </si>
  <si>
    <t>7.1.4.</t>
  </si>
  <si>
    <t>7.1.5.</t>
  </si>
  <si>
    <t>7.1.6.</t>
  </si>
  <si>
    <t>7.1.7.a</t>
  </si>
  <si>
    <t>7.1.8.</t>
  </si>
  <si>
    <t>7.1.9.</t>
  </si>
  <si>
    <t>7.2.1.</t>
  </si>
  <si>
    <t>Verfügen Sie über einen betriebseigenen Sanitätsraum mit Erste-Hilfe-Einrichtungen, die den auftretenden Risiken entsprechen?</t>
  </si>
  <si>
    <t>7.3.1.</t>
  </si>
  <si>
    <t>8.1.1.</t>
  </si>
  <si>
    <t>8.1.3.</t>
  </si>
  <si>
    <t>8.1.2.a</t>
  </si>
  <si>
    <t>8.1.2.b</t>
  </si>
  <si>
    <t>8.2.1.</t>
  </si>
  <si>
    <t>9.1.1.</t>
  </si>
  <si>
    <t>Bestehen eine zweckmässige Brandmeldeorganisation (Alarmorganisation) und entsprechende Brandmeldeeinrichtungen?</t>
  </si>
  <si>
    <t>9.2.1.</t>
  </si>
  <si>
    <t>Gibt es Klagen über monotone Arbeiten oder einseitige Belastungen?
Wenn ja, in welchen Bereichen?</t>
  </si>
  <si>
    <t>9.2.5.a</t>
  </si>
  <si>
    <t>9.3.1.a</t>
  </si>
  <si>
    <t>9.4.1.a</t>
  </si>
  <si>
    <t>Wird in Ihrem Unternehmen an Samstagen gearbeitet?</t>
  </si>
  <si>
    <t>Wird in Ihrem Unternehmen an Sonn- und Feiertagen gearbeitet?</t>
  </si>
  <si>
    <t>9.6.1.</t>
  </si>
  <si>
    <t>Sind die offiziellen Arbeitspausen in Ihrem Unternehmen geregelt?</t>
  </si>
  <si>
    <t>9.6.2.a</t>
  </si>
  <si>
    <t>9.6.3.</t>
  </si>
  <si>
    <t>9.6.4.</t>
  </si>
  <si>
    <t>9.6.5.</t>
  </si>
  <si>
    <t>Besteht für die Beschäftigten die Möglichkeit, Kurzpausen in einem vernünftigen Rahmen selbständig einzuschalten?</t>
  </si>
  <si>
    <t>Stehen für die Pausenzeiten geeignete Räume zur Verfügung?</t>
  </si>
  <si>
    <t>9.7.1.a</t>
  </si>
  <si>
    <t>9.8.1.</t>
  </si>
  <si>
    <t>9.9.1.</t>
  </si>
  <si>
    <t>Gibt es heimliche Verstärker von riskantem Verhalten? (Hohe Leistung ist gefragt, egal, wie sie zustande kommt; Rambos werden bewundert, sicherheitsgerechtes Arbeiten ausgelacht).</t>
  </si>
  <si>
    <t>9.10.1.</t>
  </si>
  <si>
    <t>Können sich Mitarbeitende so oft wie nötig miteinander verständigen?</t>
  </si>
  <si>
    <t>9.1.4.</t>
  </si>
  <si>
    <t>Tauchen öfter Unklarheiten bezüglich Zuständigkeiten auf, obwohl sie der Meinung waren, alles sei klar geregelt?</t>
  </si>
  <si>
    <t>9.1.7.</t>
  </si>
  <si>
    <t>10.1.1.</t>
  </si>
  <si>
    <t>10.1.3.a</t>
  </si>
  <si>
    <t>10.1.4.</t>
  </si>
  <si>
    <t>10.2.1.a</t>
  </si>
  <si>
    <t>10.2.2.a</t>
  </si>
  <si>
    <t>10.2.3.</t>
  </si>
  <si>
    <t>10.3.1.</t>
  </si>
  <si>
    <t>11.1.</t>
  </si>
  <si>
    <t>2.1.3.4.</t>
  </si>
  <si>
    <t>Wird das Verstehen der betriebsüblichen Sprache geprüft und ist dies ein Kriterium bei der Personalauswahl?</t>
  </si>
  <si>
    <t>9.5.1.a</t>
  </si>
  <si>
    <t>1.A</t>
  </si>
  <si>
    <t>1.B</t>
  </si>
  <si>
    <t>1.C</t>
  </si>
  <si>
    <t>2.A</t>
  </si>
  <si>
    <t>2.B</t>
  </si>
  <si>
    <t>2.C</t>
  </si>
  <si>
    <t>2.D</t>
  </si>
  <si>
    <t>2.E</t>
  </si>
  <si>
    <t>3.A</t>
  </si>
  <si>
    <t>3.B</t>
  </si>
  <si>
    <t>3.C</t>
  </si>
  <si>
    <t>3.D</t>
  </si>
  <si>
    <t>3.E</t>
  </si>
  <si>
    <t>4.A</t>
  </si>
  <si>
    <t>4.B</t>
  </si>
  <si>
    <t>4.C</t>
  </si>
  <si>
    <t>4.D</t>
  </si>
  <si>
    <t>4.E</t>
  </si>
  <si>
    <t>5.A</t>
  </si>
  <si>
    <t>5.B</t>
  </si>
  <si>
    <t>5.C</t>
  </si>
  <si>
    <t>6.A</t>
  </si>
  <si>
    <t>7.A</t>
  </si>
  <si>
    <t>7.B</t>
  </si>
  <si>
    <t>7.C</t>
  </si>
  <si>
    <t>8.A</t>
  </si>
  <si>
    <t>9.A</t>
  </si>
  <si>
    <t>10.A</t>
  </si>
  <si>
    <t>10.B</t>
  </si>
  <si>
    <t>10.C</t>
  </si>
  <si>
    <t>Anhang Nr.</t>
  </si>
  <si>
    <t>Beschreibung</t>
  </si>
  <si>
    <t>Hat in Ihrer Unternehmen Arbeitssicherheit den gleichen Stellenwert wie Qualität und Produktivität?</t>
  </si>
  <si>
    <t>Verfügt Ihre Unternehmen über eine zentrale Sammlung von Dokumentationen über Sicherheit und Gesundheitsschutz?</t>
  </si>
  <si>
    <t>Verfügt Ihre Unternehmen über ein System zur Mitarbeiterbeurteilung?</t>
  </si>
  <si>
    <t>Verfügt Ihre Unternehmen über eine spezielle Organisationseinheit, die mit der Instandhaltung von Gebäuden und Anlagen beauftragt ist?</t>
  </si>
  <si>
    <t>Verfügen Sie über Vergleichsmöglichkeiten mit der Fluktuationsrate Ihrer Branche oder vergleichbarer Unternehmenen der Region?</t>
  </si>
  <si>
    <t>Schriftliche Definition der Sicherheitsziele des Unternehmens</t>
  </si>
  <si>
    <t>Betriebsordnung des Unternehmens</t>
  </si>
  <si>
    <t>Organigramm der Sicherheitsorganisation</t>
  </si>
  <si>
    <t>4.1.5.</t>
  </si>
  <si>
    <t>Betriebsinterne Weisungen betreffend Normal- und Sonderbetrieb von Anlagen, Maschinen und Geräten</t>
  </si>
  <si>
    <t>Sicherheitsbestimmungen und Regelungen betreffend der Instandhaltung von Gebäuden und Anlagen</t>
  </si>
  <si>
    <t>6.2.2.h</t>
  </si>
  <si>
    <t>Strategie zur Umsetzung von Sicherheitsmassnahmen</t>
  </si>
  <si>
    <t>Dokumentation des Vorschlagswesens des Unternehmens</t>
  </si>
  <si>
    <t>10.1.7.</t>
  </si>
  <si>
    <t>Betriebsinterne Weisungen betreffend der Instandhaltung von Arbeitsmitteln</t>
  </si>
  <si>
    <t>2.1.1.1.a</t>
  </si>
  <si>
    <t>Checklisten, um bei der Beschaffung von Arbeitsmitteln die Sicherheit zu überprüfen</t>
  </si>
  <si>
    <t>Dokumentation des Notfallkonzeptes des Unternehmens</t>
  </si>
  <si>
    <t>Dokumentation der Brandschutzorganisation</t>
  </si>
  <si>
    <t>Kontroll- oder Überwachungskonzept bezüglich Sicherheit und Gesundheit der Beschäftigten</t>
  </si>
  <si>
    <t>auf der oberen Führungsebene</t>
  </si>
  <si>
    <t>auf der mittleren Führungsebene</t>
  </si>
  <si>
    <t>auf der unteren Führungsebene</t>
  </si>
  <si>
    <t>Führungsgrundsätze des Unternehmens</t>
  </si>
  <si>
    <t>Stellenbeschreibung für Führungspositionen</t>
  </si>
  <si>
    <t>Stellenbeschreibung für Position ohne Führungsaufgaben</t>
  </si>
  <si>
    <t>2.F</t>
  </si>
  <si>
    <t>2.G</t>
  </si>
  <si>
    <t>2.H</t>
  </si>
  <si>
    <t>Dokumentation/Formular für Mitarbeiterbeurteilungen</t>
  </si>
  <si>
    <t>Dokumentation Prozess Gefährdungsermittlung</t>
  </si>
  <si>
    <t>Dokumentation Prozess Risikobeurteilung</t>
  </si>
  <si>
    <t>5.D</t>
  </si>
  <si>
    <t>Prozess Sicherheitsaudits</t>
  </si>
  <si>
    <t>Beispiel für ein Protokoll eines Sicherheitsaudits</t>
  </si>
  <si>
    <t>Formular Probezeitgespräch</t>
  </si>
  <si>
    <t>2.I</t>
  </si>
  <si>
    <t>Notfallausweis für Mitarbeiter</t>
  </si>
  <si>
    <t>11.A</t>
  </si>
  <si>
    <t>2.K</t>
  </si>
  <si>
    <t>2.J</t>
  </si>
  <si>
    <t>9.8.4.</t>
  </si>
  <si>
    <t>Dokumentation zum Umgang mit Sicherheitsdatenblättern</t>
  </si>
  <si>
    <t>Sicherheitskonzept des Unternehmens</t>
  </si>
  <si>
    <t>Anhang
erforderlich</t>
  </si>
  <si>
    <t>Eintrag Kunde:</t>
  </si>
  <si>
    <t>1.1.6.</t>
  </si>
  <si>
    <t>2.L</t>
  </si>
  <si>
    <t>Organigramme des Unternehmens</t>
  </si>
  <si>
    <t>Sind Sicherheit und Gesundheitsschutz ein ausdrücklicher Bestandteil der Führungsgrundsätze oder Führungsrichtlinien?</t>
  </si>
  <si>
    <t>2.1.1.2.b</t>
  </si>
  <si>
    <t>2.1.1.2.c</t>
  </si>
  <si>
    <t>2.1.1.2.d</t>
  </si>
  <si>
    <t>2.1.1.2.e</t>
  </si>
  <si>
    <t>2.1.1.2.f</t>
  </si>
  <si>
    <t>12</t>
  </si>
  <si>
    <t>1. Firmenname</t>
  </si>
  <si>
    <t>Stellenbeschreibung für Sicherheitsbeauftragte</t>
  </si>
  <si>
    <t>Dokumentation/Formulare Lieferantenbeurteilung</t>
  </si>
  <si>
    <t>2.B, 2.C, 2.D</t>
  </si>
  <si>
    <t>1.1.2.</t>
  </si>
  <si>
    <t>1.1.3.</t>
  </si>
  <si>
    <t>1.1.4.</t>
  </si>
  <si>
    <t>1.1.5.</t>
  </si>
  <si>
    <t>1.1.7.</t>
  </si>
  <si>
    <t>1.1.8.a</t>
  </si>
  <si>
    <t>1.1.8.b</t>
  </si>
  <si>
    <t>1.2.2.</t>
  </si>
  <si>
    <t>1.2.3.</t>
  </si>
  <si>
    <t>1.2.4.</t>
  </si>
  <si>
    <t>1.2.5.a</t>
  </si>
  <si>
    <t>1.2.5.b</t>
  </si>
  <si>
    <t>1.2.5.c</t>
  </si>
  <si>
    <t>1.2.5.d</t>
  </si>
  <si>
    <t>1.2.5.e</t>
  </si>
  <si>
    <t>1.2.5.f</t>
  </si>
  <si>
    <t>1.2.5.g</t>
  </si>
  <si>
    <t>1.2.5.h</t>
  </si>
  <si>
    <t>1.2.5.i</t>
  </si>
  <si>
    <t>1.3.1.b</t>
  </si>
  <si>
    <t>1.3.1.c</t>
  </si>
  <si>
    <t>1.3.2.b</t>
  </si>
  <si>
    <t>1.3.2.c</t>
  </si>
  <si>
    <t>1.3.2.d</t>
  </si>
  <si>
    <t>1.3.2.e</t>
  </si>
  <si>
    <t>1.3.2.f</t>
  </si>
  <si>
    <t>1.3.2.g</t>
  </si>
  <si>
    <t>1.3.2.h</t>
  </si>
  <si>
    <t>1.4.1.b</t>
  </si>
  <si>
    <t>1.4.1.c</t>
  </si>
  <si>
    <t>1.4.1.d</t>
  </si>
  <si>
    <t>1.4.1.e</t>
  </si>
  <si>
    <t>1.4.1.f</t>
  </si>
  <si>
    <t>1.4.2.b</t>
  </si>
  <si>
    <t>1.4.2.c</t>
  </si>
  <si>
    <t>1.4.2.d</t>
  </si>
  <si>
    <t>1.5.2.</t>
  </si>
  <si>
    <t>1.5.3.</t>
  </si>
  <si>
    <t>1.5.6.</t>
  </si>
  <si>
    <t>4.1.2.</t>
  </si>
  <si>
    <t>4.1.3.</t>
  </si>
  <si>
    <t>4.1.4.</t>
  </si>
  <si>
    <t>4.1.6.</t>
  </si>
  <si>
    <t>4.1.7.</t>
  </si>
  <si>
    <t>4.2.1.b</t>
  </si>
  <si>
    <t>4.2.1.c</t>
  </si>
  <si>
    <t>4.2.1.d</t>
  </si>
  <si>
    <t>4.2.1.e</t>
  </si>
  <si>
    <t>4.2.1.f</t>
  </si>
  <si>
    <t>4.2.1.g</t>
  </si>
  <si>
    <t>4.2.1.h</t>
  </si>
  <si>
    <t>4.2.1.i</t>
  </si>
  <si>
    <t>4.2.1.j</t>
  </si>
  <si>
    <t>4.2.1.k</t>
  </si>
  <si>
    <t>4.2.1.l</t>
  </si>
  <si>
    <t>4.2.1.m</t>
  </si>
  <si>
    <t>4.2.1.n</t>
  </si>
  <si>
    <t>4.2.1.o</t>
  </si>
  <si>
    <t>4.2.1.p</t>
  </si>
  <si>
    <t>4.2.1.q</t>
  </si>
  <si>
    <t>4.2.1.r</t>
  </si>
  <si>
    <t>4.2.1.s</t>
  </si>
  <si>
    <t>4.2.1.t</t>
  </si>
  <si>
    <t>4.2.1.u</t>
  </si>
  <si>
    <t>4.2.1.v</t>
  </si>
  <si>
    <t>4.2.1.w</t>
  </si>
  <si>
    <t>4.2.1.x</t>
  </si>
  <si>
    <t>4.2.1.y</t>
  </si>
  <si>
    <t>4.2.1.z</t>
  </si>
  <si>
    <t>4.2.1.bb</t>
  </si>
  <si>
    <t>4.2.1.cc</t>
  </si>
  <si>
    <t>4.2.1.dd</t>
  </si>
  <si>
    <t>4.2.1.ee</t>
  </si>
  <si>
    <t>4.2.1.ff</t>
  </si>
  <si>
    <t>4.2.1.gg</t>
  </si>
  <si>
    <t>4.2.1.hh</t>
  </si>
  <si>
    <t>5.4.1.b</t>
  </si>
  <si>
    <t>5.4.1.c</t>
  </si>
  <si>
    <t>5.4.1.d</t>
  </si>
  <si>
    <t>5.4.1.e</t>
  </si>
  <si>
    <t>5.4.1.f</t>
  </si>
  <si>
    <t>5.4.1.g</t>
  </si>
  <si>
    <t>5.4.5.b</t>
  </si>
  <si>
    <t>5.4.5.c</t>
  </si>
  <si>
    <t>5.4.5.d</t>
  </si>
  <si>
    <t>5.4.5.e</t>
  </si>
  <si>
    <t>5.4.5.f</t>
  </si>
  <si>
    <t>6.1.3.b</t>
  </si>
  <si>
    <t>6.1.3.c</t>
  </si>
  <si>
    <t>6.1.3.d</t>
  </si>
  <si>
    <t>6.1.3.e</t>
  </si>
  <si>
    <t>6.2.2.b</t>
  </si>
  <si>
    <t>6.2.2.c</t>
  </si>
  <si>
    <t>6.2.2.d</t>
  </si>
  <si>
    <t>6.2.2.e</t>
  </si>
  <si>
    <t>6.2.2.f</t>
  </si>
  <si>
    <t>6.2.2.g</t>
  </si>
  <si>
    <t>7.1.7.b</t>
  </si>
  <si>
    <t>7.1.7.c</t>
  </si>
  <si>
    <t>7.1.7.d</t>
  </si>
  <si>
    <t>7.1.7.e</t>
  </si>
  <si>
    <t>7.2.3.b</t>
  </si>
  <si>
    <t>7.2.3.c</t>
  </si>
  <si>
    <t>7.2.7.b</t>
  </si>
  <si>
    <t>7.2.7.c</t>
  </si>
  <si>
    <t>7.2.7.d</t>
  </si>
  <si>
    <t>7.3.2.</t>
  </si>
  <si>
    <t>7.3.3.</t>
  </si>
  <si>
    <t>7.3.4.</t>
  </si>
  <si>
    <t>7.3.5.</t>
  </si>
  <si>
    <t>8.1.4.</t>
  </si>
  <si>
    <t>8.1.5.</t>
  </si>
  <si>
    <t>8.2.2.</t>
  </si>
  <si>
    <t>8.2.4.</t>
  </si>
  <si>
    <t>8.2.5.</t>
  </si>
  <si>
    <t>8.2.6.</t>
  </si>
  <si>
    <t>9.1.2.</t>
  </si>
  <si>
    <t>9.1.3.</t>
  </si>
  <si>
    <t>9.1.5.</t>
  </si>
  <si>
    <t>9.1.6.</t>
  </si>
  <si>
    <t>9.2.2.</t>
  </si>
  <si>
    <t>9.2.3.</t>
  </si>
  <si>
    <t>9.2.4.</t>
  </si>
  <si>
    <t>9.2.5.b</t>
  </si>
  <si>
    <t>9.2.5.c</t>
  </si>
  <si>
    <t>9.2.5.d</t>
  </si>
  <si>
    <t>9.2.6.</t>
  </si>
  <si>
    <t>9.3.1.b</t>
  </si>
  <si>
    <t>9.3.1.c</t>
  </si>
  <si>
    <t>9.3.1.d</t>
  </si>
  <si>
    <t>9.3.1.e</t>
  </si>
  <si>
    <t>9.3.1.f</t>
  </si>
  <si>
    <t>9.3.1.g</t>
  </si>
  <si>
    <t>9.3.1.h</t>
  </si>
  <si>
    <t>9.3.1.i</t>
  </si>
  <si>
    <t>9.3.1.j</t>
  </si>
  <si>
    <t>9.3.1.k</t>
  </si>
  <si>
    <t>9.3.1.l</t>
  </si>
  <si>
    <t>9.3.1.m</t>
  </si>
  <si>
    <t>9.3.1.n</t>
  </si>
  <si>
    <t>9.3.1.o</t>
  </si>
  <si>
    <t>9.3.1.p</t>
  </si>
  <si>
    <t>9.3.1.q</t>
  </si>
  <si>
    <t>9.3.1.r</t>
  </si>
  <si>
    <t>9.3.1.s</t>
  </si>
  <si>
    <t>9.3.1.t</t>
  </si>
  <si>
    <t>9.3.1.u</t>
  </si>
  <si>
    <t>9.3.1.v</t>
  </si>
  <si>
    <t>9.3.1.w</t>
  </si>
  <si>
    <t>9.3.1.x</t>
  </si>
  <si>
    <t>9.3.1.y</t>
  </si>
  <si>
    <t>9.3.1.z</t>
  </si>
  <si>
    <t>9.4.1.b</t>
  </si>
  <si>
    <t>9.4.1.c</t>
  </si>
  <si>
    <t>9.4.1.d</t>
  </si>
  <si>
    <t>9.4.1.e</t>
  </si>
  <si>
    <t>9.4.1.f</t>
  </si>
  <si>
    <t>9.4.1.g</t>
  </si>
  <si>
    <t>9.4.1.h</t>
  </si>
  <si>
    <t>9.4.1.i</t>
  </si>
  <si>
    <t>9.4.1.j</t>
  </si>
  <si>
    <t>9.4.1.k</t>
  </si>
  <si>
    <t>9.4.1.l</t>
  </si>
  <si>
    <t>9.4.1.m</t>
  </si>
  <si>
    <t>9.4.1.n</t>
  </si>
  <si>
    <t>9.4.1.o</t>
  </si>
  <si>
    <t>9.5.1.b</t>
  </si>
  <si>
    <t>9.5.1.c</t>
  </si>
  <si>
    <t>9.5.2.</t>
  </si>
  <si>
    <t>9.5.3.</t>
  </si>
  <si>
    <t>9.5.4.</t>
  </si>
  <si>
    <t>9.5.5.</t>
  </si>
  <si>
    <t>9.5.6.</t>
  </si>
  <si>
    <t>9.5.7.</t>
  </si>
  <si>
    <t>9.6.2.b</t>
  </si>
  <si>
    <t>9.6.2.c</t>
  </si>
  <si>
    <t>9.6.2.d</t>
  </si>
  <si>
    <t>9.7.1.b</t>
  </si>
  <si>
    <t>9.7.1.c</t>
  </si>
  <si>
    <t>9.7.1.e</t>
  </si>
  <si>
    <t>9.8.2.</t>
  </si>
  <si>
    <t>9.8.3.</t>
  </si>
  <si>
    <t>9.8.5.</t>
  </si>
  <si>
    <t>9.8.6.</t>
  </si>
  <si>
    <t>9.8.7.</t>
  </si>
  <si>
    <t>9.9.2.</t>
  </si>
  <si>
    <t>9.9.3.</t>
  </si>
  <si>
    <t>9.9.4.</t>
  </si>
  <si>
    <t>9.9.5.</t>
  </si>
  <si>
    <t>9.9.6.</t>
  </si>
  <si>
    <t>9.9.7.</t>
  </si>
  <si>
    <t>9.10.2.</t>
  </si>
  <si>
    <t>9.10.3.</t>
  </si>
  <si>
    <t>9.10.4.</t>
  </si>
  <si>
    <t>9.10.5.</t>
  </si>
  <si>
    <t>10.1.2.</t>
  </si>
  <si>
    <t>10.1.3.b</t>
  </si>
  <si>
    <t>10.1.3.c</t>
  </si>
  <si>
    <t>10.1.3.d</t>
  </si>
  <si>
    <t>10.1.3.e</t>
  </si>
  <si>
    <t>10.1.5.</t>
  </si>
  <si>
    <t>10.1.6.</t>
  </si>
  <si>
    <t>10.1.8.</t>
  </si>
  <si>
    <t>10.1.9.</t>
  </si>
  <si>
    <t>10.2.1.b</t>
  </si>
  <si>
    <t>10.2.1.c</t>
  </si>
  <si>
    <t>10.2.1.d</t>
  </si>
  <si>
    <t>10.2.1.e</t>
  </si>
  <si>
    <t>10.2.1.f</t>
  </si>
  <si>
    <t>10.2.1.g</t>
  </si>
  <si>
    <t>10.2.2.b</t>
  </si>
  <si>
    <t>10.3.2.</t>
  </si>
  <si>
    <t>10.3.3.</t>
  </si>
  <si>
    <t>10.3.4.</t>
  </si>
  <si>
    <t>Sachschäden?</t>
  </si>
  <si>
    <t>Störungen?</t>
  </si>
  <si>
    <t>Beziehen sich Ihre Sicherheits- und Gesundheitsziele auf das ganze Unternehmen?</t>
  </si>
  <si>
    <t>1.4.3.</t>
  </si>
  <si>
    <t>1.4.5.</t>
  </si>
  <si>
    <t xml:space="preserve">1.5.4. </t>
  </si>
  <si>
    <t>1.5.7.</t>
  </si>
  <si>
    <t>Pflichtenhefte?</t>
  </si>
  <si>
    <t>Werkverträgen?</t>
  </si>
  <si>
    <t>2.1.3.1.d</t>
  </si>
  <si>
    <t xml:space="preserve">Sind im Betrieb andere Managementsysteme/Zertifizierungen eingeführt? Falls ja, welche? </t>
  </si>
  <si>
    <t>Weitere/andere? Falls ja, welche?</t>
  </si>
  <si>
    <t>Nichtberufsunfälle?</t>
  </si>
  <si>
    <t xml:space="preserve">Richtet sich das Führungsverhalten der Vorgesetzten in Ihrem Unternehmen nach bestimmten Führungsgrundsätzen oder Führungsrichtlinien? Wenn ja, nach welchen? </t>
  </si>
  <si>
    <t>Haben Mitarbeitende Ihres Unternehmens Suva-Ausbildungen bez. Sicherheit + Gesundheit besucht?
Wenn ja, welche Suva-Ausbildungen?</t>
  </si>
  <si>
    <t>Haben Mitarbeitende Ihres Unternehmens andere Sicherheitsausbildungen besucht? Wenn ja, welche Ausbildungen?</t>
  </si>
  <si>
    <t>Ausbildungsnachweise für Sicherheitsausbildungen von Mitarbeitenden</t>
  </si>
  <si>
    <t xml:space="preserve">Ist die permanente Aktualisierung und Verfügbarkeit der gesetzlichen Grundlagendokumente durch ein festgelegtes Vorgehen sichergestellt? Wenn ja, welche Stelle bzw. Person ist damit beauftragt? </t>
  </si>
  <si>
    <t>Ist die permanente Aktualisierung und Verfügbarkeit der Dokumentationen über Sicherheit und Gesundheitsschutz durch ein festgelegtes Vorgehen sichergestellt? Wenn ja, welche Stelle oder Person ist damit beauftragt?</t>
  </si>
  <si>
    <t>Werden bei der Personalauswahl bestimmte Eignungstests durchgeführt? Wenn Ja, für welche Tätigkeiten oder Belastungen?</t>
  </si>
  <si>
    <t>temporäre Mitarbeitende?</t>
  </si>
  <si>
    <t>Enthalten die externen Schulungsangebote auch Themen betreffend Sicherheit und Gesundheitsschutz? Wenn ja, welche Themen?</t>
  </si>
  <si>
    <t>Bestehen in Ihrem Unternehmen andere Regelungen oder Gewohnheiten bezüglich Information und Kommunikation? 
Wenn ja, welche?</t>
  </si>
  <si>
    <t>Firmenzeitschrift des Unternehmens</t>
  </si>
  <si>
    <t>3.F</t>
  </si>
  <si>
    <t>Ist die permanente Aktualisierung der Merkblätter, Arbeits-anweisungen, und betriebsinterner Weisungen sichergestellt? Wenn ja, welche Stelle oder Person ist damit beauftragt?</t>
  </si>
  <si>
    <t>Selten?</t>
  </si>
  <si>
    <t>Werden in Ihrem Unternehmen, als Ergänzung zu den offiziellen Merkblätter und Arbeitsanweisungen, interne Weisungen bezüglich Arbeitssicherheit und Gesundheitsschutz abgefasst und verwendet? Wenn ja, welche?</t>
  </si>
  <si>
    <t>4.2.1.ii</t>
  </si>
  <si>
    <t xml:space="preserve">Gibt es Arbeitsplätze oder Tätigkeiten, bei denen sie eine unbefriedigende Akzeptanz von Schutzmitteln feststellen? Falls ja, welche Schutzmittel und Arbeitsplätze/Tätigkeiten sind betroffen? </t>
  </si>
  <si>
    <t>Weitere Schlüsselpersonen (bei Bedarf ausfüllen)</t>
  </si>
  <si>
    <t>Gibt es in Ihrem Unternehmen eine Person/Stelle, die für die systematische Gefährdungsermittlung zuständig ist? Wenn ja, welche Person/Stelle?</t>
  </si>
  <si>
    <t>Gibt es in Ihrem Unternehmen eine Person/Stelle, die für die systematische Risikobeurteilung zuständig ist? Wenn ja, welche Person/Stelle?</t>
  </si>
  <si>
    <t>Die Sicherheitsorganisation?</t>
  </si>
  <si>
    <t>Freizeitsicherheit?</t>
  </si>
  <si>
    <t>Werden Erste-Hilfe-Leistungen dokumentiert? Wenn ja, wie?</t>
  </si>
  <si>
    <t>Stehen speziell geschulte Betriebssanitäter/-innen jederzeit zur Verfügung? Wenn ja, wieviele?</t>
  </si>
  <si>
    <t xml:space="preserve">Werden praktische Übungen bezüglich des Verhaltens bei einem Brand durchgeführt? Wenn ja, wann wurde die letzte Übung durchgeführt? </t>
  </si>
  <si>
    <t>Wurden in den letzten 12 Monaten Vorschläge gemacht? Wenn ja, wie viele?</t>
  </si>
  <si>
    <t>8.2.3.</t>
  </si>
  <si>
    <t>8.2.7.</t>
  </si>
  <si>
    <t>Wurden in den letzten 12 Monaten Vorschläge gemacht, welche im weitesten Sinne die Sicherheit und den Gesundheitsschutz betrafen? Wenn ja, wie viele?</t>
  </si>
  <si>
    <t>Gibt es Bereiche mit häufigen Störungen im Arbeitsablauf (Verwechslungen, Vergessen, Übersehen, Vergreifen)?
Wenn ja, welche?</t>
  </si>
  <si>
    <t>Wird ein dokumentiertes Konfliktlösungsverfahren angewendet?</t>
  </si>
  <si>
    <t>Haben Sie gleitende Arbeitszeiten? Wenn ja, wie sind die Blockzeiten geregelt?</t>
  </si>
  <si>
    <t>Haben Sie andere Arbeitszeitmodelle? Wenn ja, welche?</t>
  </si>
  <si>
    <t>Gibt es in Ihrem Unternehmen andere Arbeitszeitregelungen? Falls ja, welche?</t>
  </si>
  <si>
    <t>Gibt es aktuelle Fälle von erkannten Suchtproblemen? Wenn ja, wieviele Fälle?</t>
  </si>
  <si>
    <t>Werden andere interne oder externe Stellen bei ergonomischen Problemstellungen und Fragen konsultiert? Wenn ja, welche?</t>
  </si>
  <si>
    <t>3.8.1.a</t>
  </si>
  <si>
    <t>3.8.1.aa</t>
  </si>
  <si>
    <t>3.8.1.b</t>
  </si>
  <si>
    <t>3.8.1.c</t>
  </si>
  <si>
    <t>3.8.1.d</t>
  </si>
  <si>
    <t>3.8.1.e</t>
  </si>
  <si>
    <t>3.8.1.f</t>
  </si>
  <si>
    <t>3.8.1.g</t>
  </si>
  <si>
    <t>3.8.1.h</t>
  </si>
  <si>
    <t>3.8.1.i</t>
  </si>
  <si>
    <t>3.8.1.j</t>
  </si>
  <si>
    <t>3.8.1.k</t>
  </si>
  <si>
    <t>3.8.1.l</t>
  </si>
  <si>
    <t>3.8.1.m</t>
  </si>
  <si>
    <t>3.8.1.n</t>
  </si>
  <si>
    <t>3.8.1.o</t>
  </si>
  <si>
    <t>3.8.1.p</t>
  </si>
  <si>
    <t>3.8.1.q</t>
  </si>
  <si>
    <t>3.8.1.r</t>
  </si>
  <si>
    <t>3.8.1.s</t>
  </si>
  <si>
    <t>3.8.1.t</t>
  </si>
  <si>
    <t>3.8.1.u</t>
  </si>
  <si>
    <t>3.8.1.v</t>
  </si>
  <si>
    <t>3.8.1.w</t>
  </si>
  <si>
    <t>3.8.1.x</t>
  </si>
  <si>
    <t>3.8.1.y</t>
  </si>
  <si>
    <t>3.8.1.z</t>
  </si>
  <si>
    <t>3.8.1.bb</t>
  </si>
  <si>
    <t>3.8.1.cc</t>
  </si>
  <si>
    <t>Verfügt Ihr Unternehmen über eine obligatorische Betriebsordnung im Sinne des Arbeitsgesetzes?</t>
  </si>
  <si>
    <t>Ist der Sicherheitsbeauftragte verantwortlich für die Berichterstattung über Sicherheit und Gesundheitsschutz an die Geschäftsleitung?</t>
  </si>
  <si>
    <t>Sind die Dokumentationen über Sicherheit und Gesundheitsschutz allen Beschäftigten leicht zugänglich (Bibliothek oder ähnliche Einrichtungen)?</t>
  </si>
  <si>
    <t>Hat Ihre Unternehmen eine spezielle Organisationseinheit die mit der Instandhaltung von Arbeitsmitteln* beauftragt ist?
*Arbeitsmittel: Maschinen, Anlagen, Apparate und Werkzeuge, die bei der Arbeit benutzt werden; technische Einrichtungen und Geräte (TEG), die  zur Arbeits- umgebung gehören (z.B. Lüftung, Heizung, Beleuchtung) sowie die persönliche Schutzausrüstungen (PSA).</t>
  </si>
  <si>
    <t>Falls Sie 9.1.6. mit "Ja" beantwortet haben:  Wäre es Ihrer Meinung nach möglich, einige dieser Tätigkeiten durch Aufgabenerweiterung oder Aufgabenwechsel zu bereichern?</t>
  </si>
  <si>
    <t>Gibt es in ihrem Unternehmen Schichtarbeit? Falls ja, wann beginnen und Enden die Früh-, Spät- und Nachtschicht?</t>
  </si>
  <si>
    <t>Stehen für Raucher bzw. Nichtraucher getrennte Pausenräume zu Verfügung?</t>
  </si>
  <si>
    <t>Antwort Kunde</t>
  </si>
  <si>
    <t>Bewertung Suva</t>
  </si>
  <si>
    <t>Bemerkungen des Kunden</t>
  </si>
  <si>
    <t>Berechnung 
für Diagramm</t>
  </si>
  <si>
    <t>9.7.2.</t>
  </si>
  <si>
    <t>Anleitung zum Fragebogen "Selbstbeurteilung"</t>
  </si>
  <si>
    <t>Leitbild und Sicherheitsleitbild des Unternehmens</t>
  </si>
  <si>
    <t>Personalförderungskonzept, falls dieses Aspekte von Sicherheit und Gesundheitsschutz berücksichtigt</t>
  </si>
  <si>
    <t>Beispiel für die Dokumentation der Ergebnisse einer Risikobeurteilung</t>
  </si>
  <si>
    <t>Verfügen Sie in Ihrem Unternehmen über ein Sicherheitskonzept?
Wenn ja, seit wann ist dieses in Kraft?</t>
  </si>
  <si>
    <t>Berechnung automatisch</t>
  </si>
  <si>
    <r>
      <t>13. Führungsspanne* in Ihrem Unternehmen
*</t>
    </r>
    <r>
      <rPr>
        <b/>
        <sz val="9"/>
        <color theme="1"/>
        <rFont val="Arial"/>
        <family val="2"/>
      </rPr>
      <t>Führungsspanne: Anzahl der direkt untersellten Mitarbeiter eines Vorgesetzten</t>
    </r>
  </si>
  <si>
    <r>
      <t>Unterstützt die Geschäftsleitung die folgenden Aktivitäten im Betrieb:</t>
    </r>
    <r>
      <rPr>
        <i/>
        <sz val="11"/>
        <color theme="1"/>
        <rFont val="Arial"/>
        <family val="2"/>
      </rPr>
      <t xml:space="preserve">
Risikobeurteilungen</t>
    </r>
    <r>
      <rPr>
        <sz val="11"/>
        <color theme="1"/>
        <rFont val="Arial"/>
        <family val="2"/>
      </rPr>
      <t>?</t>
    </r>
  </si>
  <si>
    <r>
      <t>Audits und Kontrollen</t>
    </r>
    <r>
      <rPr>
        <sz val="11"/>
        <color theme="1"/>
        <rFont val="Arial"/>
        <family val="2"/>
      </rPr>
      <t>?</t>
    </r>
  </si>
  <si>
    <r>
      <t>Unfallabklärungen</t>
    </r>
    <r>
      <rPr>
        <sz val="11"/>
        <color theme="1"/>
        <rFont val="Arial"/>
        <family val="2"/>
      </rPr>
      <t>?</t>
    </r>
  </si>
  <si>
    <r>
      <t>Mitarbeiterschulungen am Arbeitsplatz</t>
    </r>
    <r>
      <rPr>
        <sz val="11"/>
        <color theme="1"/>
        <rFont val="Arial"/>
        <family val="2"/>
      </rPr>
      <t>?</t>
    </r>
  </si>
  <si>
    <r>
      <t>Umsetzung von Massnahmen</t>
    </r>
    <r>
      <rPr>
        <sz val="11"/>
        <color theme="1"/>
        <rFont val="Arial"/>
        <family val="2"/>
      </rPr>
      <t>?</t>
    </r>
  </si>
  <si>
    <r>
      <t>Kampagnen zur Arbeitssicherheit</t>
    </r>
    <r>
      <rPr>
        <sz val="11"/>
        <color theme="1"/>
        <rFont val="Arial"/>
        <family val="2"/>
      </rPr>
      <t>?</t>
    </r>
  </si>
  <si>
    <r>
      <t>Kampagnen zur Freizeitsicherheit</t>
    </r>
    <r>
      <rPr>
        <sz val="11"/>
        <color theme="1"/>
        <rFont val="Arial"/>
        <family val="2"/>
      </rPr>
      <t>?</t>
    </r>
  </si>
  <si>
    <r>
      <t>Absenzenmanagement</t>
    </r>
    <r>
      <rPr>
        <sz val="11"/>
        <color theme="1"/>
        <rFont val="Arial"/>
        <family val="2"/>
      </rPr>
      <t>?</t>
    </r>
  </si>
  <si>
    <r>
      <t xml:space="preserve">Weitere/andere? </t>
    </r>
    <r>
      <rPr>
        <sz val="11"/>
        <color theme="1"/>
        <rFont val="Arial"/>
        <family val="2"/>
      </rPr>
      <t>Falls ja, welche?</t>
    </r>
  </si>
  <si>
    <r>
      <t xml:space="preserve">Wird Sicherheit und Gesundheit von den Linienvorgesetzten gefördert durch:
</t>
    </r>
    <r>
      <rPr>
        <i/>
        <sz val="11"/>
        <color theme="1"/>
        <rFont val="Arial"/>
        <family val="2"/>
      </rPr>
      <t>Vorleben der Sicherheitsvorschriften (z.B. Tragen von persönlicher Schutzausrüstung (PSA))</t>
    </r>
    <r>
      <rPr>
        <sz val="11"/>
        <color theme="1"/>
        <rFont val="Arial"/>
        <family val="2"/>
      </rPr>
      <t>?</t>
    </r>
  </si>
  <si>
    <r>
      <t>Durchsetzen von Sicherheitsvorschriften</t>
    </r>
    <r>
      <rPr>
        <sz val="11"/>
        <color theme="1"/>
        <rFont val="Arial"/>
        <family val="2"/>
      </rPr>
      <t>?</t>
    </r>
  </si>
  <si>
    <r>
      <t>Weitere/andere Verhaltensweisen und Anreize</t>
    </r>
    <r>
      <rPr>
        <sz val="11"/>
        <color theme="1"/>
        <rFont val="Arial"/>
        <family val="2"/>
      </rPr>
      <t>? Falls ja, welche?</t>
    </r>
  </si>
  <si>
    <r>
      <t xml:space="preserve">Engagieren sich die Linienvorgesetzten für Sicherheit und Gesundheit der Beschäftigten, indem sie die folgenden Aktivitäten durchführen:
</t>
    </r>
    <r>
      <rPr>
        <i/>
        <sz val="11"/>
        <color theme="1"/>
        <rFont val="Arial"/>
        <family val="2"/>
      </rPr>
      <t>Risikobeurteilungen</t>
    </r>
    <r>
      <rPr>
        <sz val="11"/>
        <color theme="1"/>
        <rFont val="Arial"/>
        <family val="2"/>
      </rPr>
      <t>?</t>
    </r>
  </si>
  <si>
    <r>
      <rPr>
        <i/>
        <sz val="11"/>
        <color theme="1"/>
        <rFont val="Arial"/>
        <family val="2"/>
      </rPr>
      <t>Audits/Kontrollen</t>
    </r>
    <r>
      <rPr>
        <sz val="11"/>
        <color theme="1"/>
        <rFont val="Arial"/>
        <family val="2"/>
      </rPr>
      <t>?</t>
    </r>
  </si>
  <si>
    <r>
      <rPr>
        <i/>
        <sz val="11"/>
        <color theme="1"/>
        <rFont val="Arial"/>
        <family val="2"/>
      </rPr>
      <t>Unfallabklärungen</t>
    </r>
    <r>
      <rPr>
        <sz val="11"/>
        <color theme="1"/>
        <rFont val="Arial"/>
        <family val="2"/>
      </rPr>
      <t>?</t>
    </r>
  </si>
  <si>
    <r>
      <rPr>
        <i/>
        <sz val="11"/>
        <color theme="1"/>
        <rFont val="Arial"/>
        <family val="2"/>
      </rPr>
      <t>Mitarbeiterschulungen am Arbeitsplatz</t>
    </r>
    <r>
      <rPr>
        <sz val="11"/>
        <color theme="1"/>
        <rFont val="Arial"/>
        <family val="2"/>
      </rPr>
      <t>?</t>
    </r>
  </si>
  <si>
    <r>
      <rPr>
        <i/>
        <sz val="11"/>
        <color theme="1"/>
        <rFont val="Arial"/>
        <family val="2"/>
      </rPr>
      <t>Kampagnen für Arbeitssicherheit</t>
    </r>
    <r>
      <rPr>
        <sz val="11"/>
        <color theme="1"/>
        <rFont val="Arial"/>
        <family val="2"/>
      </rPr>
      <t>?</t>
    </r>
  </si>
  <si>
    <r>
      <rPr>
        <i/>
        <sz val="11"/>
        <color theme="1"/>
        <rFont val="Arial"/>
        <family val="2"/>
      </rPr>
      <t>Kampagnen für Freizeitsicherheit</t>
    </r>
    <r>
      <rPr>
        <sz val="11"/>
        <color theme="1"/>
        <rFont val="Arial"/>
        <family val="2"/>
      </rPr>
      <t>?</t>
    </r>
  </si>
  <si>
    <r>
      <rPr>
        <i/>
        <sz val="11"/>
        <color theme="1"/>
        <rFont val="Arial"/>
        <family val="2"/>
      </rPr>
      <t>Absenzenmanagement</t>
    </r>
    <r>
      <rPr>
        <sz val="11"/>
        <color theme="1"/>
        <rFont val="Arial"/>
        <family val="2"/>
      </rPr>
      <t>?</t>
    </r>
  </si>
  <si>
    <r>
      <t xml:space="preserve">Bestehen messbare Ziele in Bezug auf die Begrenzung der Häufigkeiten* der folgenden Ereignisse:
</t>
    </r>
    <r>
      <rPr>
        <i/>
        <sz val="9"/>
        <color theme="1"/>
        <rFont val="Arial"/>
        <family val="2"/>
      </rPr>
      <t>*</t>
    </r>
    <r>
      <rPr>
        <sz val="9"/>
        <color theme="1"/>
        <rFont val="Arial"/>
        <family val="2"/>
      </rPr>
      <t xml:space="preserve">Häufigkeit: Anzahl Ereignisse im Verhältnis zur produktiven Arbeitszeit oder Anzahl Ereignisse im Verhältnis zur Anzahl der Vollbeschäftigten während einer bestimmten Periode.
</t>
    </r>
    <r>
      <rPr>
        <i/>
        <sz val="11"/>
        <color theme="1"/>
        <rFont val="Arial"/>
        <family val="2"/>
      </rPr>
      <t>Berufsunfälle/Berufskrankheiten?</t>
    </r>
  </si>
  <si>
    <r>
      <rPr>
        <i/>
        <sz val="11"/>
        <color theme="1"/>
        <rFont val="Arial"/>
        <family val="2"/>
      </rPr>
      <t>Krankheiten</t>
    </r>
    <r>
      <rPr>
        <sz val="11"/>
        <color theme="1"/>
        <rFont val="Arial"/>
        <family val="2"/>
      </rPr>
      <t>?</t>
    </r>
  </si>
  <si>
    <r>
      <rPr>
        <i/>
        <sz val="11"/>
        <color theme="1"/>
        <rFont val="Arial"/>
        <family val="2"/>
      </rPr>
      <t xml:space="preserve">Andere Ereignisse? </t>
    </r>
    <r>
      <rPr>
        <sz val="11"/>
        <color theme="1"/>
        <rFont val="Arial"/>
        <family val="2"/>
      </rPr>
      <t xml:space="preserve">Falls ja, welche Ereignisse? </t>
    </r>
  </si>
  <si>
    <r>
      <t xml:space="preserve">Bestehen messbare Ziele in Bezug auf die Begrenzung von Ausfallzeiten die durch die folgenden Ereignisse  verursacht werden:
</t>
    </r>
    <r>
      <rPr>
        <i/>
        <sz val="11"/>
        <color theme="1"/>
        <rFont val="Arial"/>
        <family val="2"/>
      </rPr>
      <t>Berufsunfälle/Berufskrankheiten</t>
    </r>
  </si>
  <si>
    <r>
      <rPr>
        <i/>
        <sz val="11"/>
        <color theme="1"/>
        <rFont val="Arial"/>
        <family val="2"/>
      </rPr>
      <t>Nichtberufsunfälle</t>
    </r>
    <r>
      <rPr>
        <sz val="11"/>
        <color theme="1"/>
        <rFont val="Arial"/>
        <family val="2"/>
      </rPr>
      <t>?</t>
    </r>
  </si>
  <si>
    <r>
      <rPr>
        <i/>
        <sz val="11"/>
        <color theme="1"/>
        <rFont val="Arial"/>
        <family val="2"/>
      </rPr>
      <t xml:space="preserve">Andere Ereignisse? </t>
    </r>
    <r>
      <rPr>
        <sz val="11"/>
        <color theme="1"/>
        <rFont val="Arial"/>
        <family val="2"/>
      </rPr>
      <t>Falls ja, welche Ereignisse?</t>
    </r>
  </si>
  <si>
    <r>
      <t>Beziehen sich Ihre Sicherheits- und Gesundheitsziele auf einzelne Organisationseinheiten</t>
    </r>
    <r>
      <rPr>
        <i/>
        <sz val="11"/>
        <color theme="1"/>
        <rFont val="Arial"/>
        <family val="2"/>
      </rPr>
      <t>?</t>
    </r>
  </si>
  <si>
    <r>
      <t xml:space="preserve">Werden Zielabweichungen </t>
    </r>
    <r>
      <rPr>
        <i/>
        <sz val="11"/>
        <color theme="1"/>
        <rFont val="Arial"/>
        <family val="2"/>
      </rPr>
      <t xml:space="preserve">für das ganze Unternehmen </t>
    </r>
    <r>
      <rPr>
        <sz val="11"/>
        <color theme="1"/>
        <rFont val="Arial"/>
        <family val="2"/>
      </rPr>
      <t>durch eine zweckmässige Ereignisüberwachung bzw. ein Controlling frühzeitig festgestellt?</t>
    </r>
  </si>
  <si>
    <r>
      <t xml:space="preserve">Werden Zielabweichungen </t>
    </r>
    <r>
      <rPr>
        <i/>
        <sz val="11"/>
        <color theme="1"/>
        <rFont val="Arial"/>
        <family val="2"/>
      </rPr>
      <t xml:space="preserve">für einzelne Organisationseinheiten </t>
    </r>
    <r>
      <rPr>
        <sz val="11"/>
        <color theme="1"/>
        <rFont val="Arial"/>
        <family val="2"/>
      </rPr>
      <t>durch eine zweckmässige Ereignisüberwachung bzw. ein Controlling frühzeitig festgestellt?</t>
    </r>
  </si>
  <si>
    <r>
      <t xml:space="preserve">Welche Form der Aufbauorganisation besteht in Ihrem Unternehmen:
</t>
    </r>
    <r>
      <rPr>
        <i/>
        <sz val="11"/>
        <color theme="1"/>
        <rFont val="Arial"/>
        <family val="2"/>
      </rPr>
      <t>Linienorganisation</t>
    </r>
    <r>
      <rPr>
        <sz val="11"/>
        <color theme="1"/>
        <rFont val="Arial"/>
        <family val="2"/>
      </rPr>
      <t>?</t>
    </r>
  </si>
  <si>
    <r>
      <rPr>
        <i/>
        <sz val="11"/>
        <color theme="1"/>
        <rFont val="Arial"/>
        <family val="2"/>
      </rPr>
      <t>Linien-Stab-Organisation</t>
    </r>
    <r>
      <rPr>
        <sz val="11"/>
        <color theme="1"/>
        <rFont val="Arial"/>
        <family val="2"/>
      </rPr>
      <t>?</t>
    </r>
  </si>
  <si>
    <r>
      <rPr>
        <i/>
        <sz val="11"/>
        <color theme="1"/>
        <rFont val="Arial"/>
        <family val="2"/>
      </rPr>
      <t>Funktionale Organisation</t>
    </r>
    <r>
      <rPr>
        <sz val="11"/>
        <color theme="1"/>
        <rFont val="Arial"/>
        <family val="2"/>
      </rPr>
      <t>?</t>
    </r>
  </si>
  <si>
    <r>
      <rPr>
        <i/>
        <sz val="11"/>
        <color theme="1"/>
        <rFont val="Arial"/>
        <family val="2"/>
      </rPr>
      <t>Matrixorganisation</t>
    </r>
    <r>
      <rPr>
        <sz val="11"/>
        <color theme="1"/>
        <rFont val="Arial"/>
        <family val="2"/>
      </rPr>
      <t>?</t>
    </r>
  </si>
  <si>
    <r>
      <rPr>
        <i/>
        <sz val="11"/>
        <color theme="1"/>
        <rFont val="Arial"/>
        <family val="2"/>
      </rPr>
      <t xml:space="preserve">Andere Organisationsform? </t>
    </r>
    <r>
      <rPr>
        <sz val="11"/>
        <color theme="1"/>
        <rFont val="Arial"/>
        <family val="2"/>
      </rPr>
      <t>Wenn ja, welche?</t>
    </r>
  </si>
  <si>
    <r>
      <t xml:space="preserve">Verfügt Ihr Unternehmen über Organisationsdokumente wie:
</t>
    </r>
    <r>
      <rPr>
        <i/>
        <sz val="11"/>
        <color theme="1"/>
        <rFont val="Arial"/>
        <family val="2"/>
      </rPr>
      <t>Stellenbeschreibungen</t>
    </r>
    <r>
      <rPr>
        <sz val="11"/>
        <color theme="1"/>
        <rFont val="Arial"/>
        <family val="2"/>
      </rPr>
      <t>?</t>
    </r>
  </si>
  <si>
    <r>
      <rPr>
        <i/>
        <sz val="11"/>
        <color theme="1"/>
        <rFont val="Arial"/>
        <family val="2"/>
      </rPr>
      <t>Funktionsdiagramme</t>
    </r>
    <r>
      <rPr>
        <sz val="11"/>
        <color theme="1"/>
        <rFont val="Arial"/>
        <family val="2"/>
      </rPr>
      <t>?</t>
    </r>
  </si>
  <si>
    <r>
      <rPr>
        <i/>
        <sz val="11"/>
        <color theme="1"/>
        <rFont val="Arial"/>
        <family val="2"/>
      </rPr>
      <t>Reglemente</t>
    </r>
    <r>
      <rPr>
        <sz val="11"/>
        <color theme="1"/>
        <rFont val="Arial"/>
        <family val="2"/>
      </rPr>
      <t>?</t>
    </r>
  </si>
  <si>
    <r>
      <rPr>
        <i/>
        <sz val="11"/>
        <color theme="1"/>
        <rFont val="Arial"/>
        <family val="2"/>
      </rPr>
      <t>Einzelarbeitsverträge</t>
    </r>
    <r>
      <rPr>
        <sz val="11"/>
        <color theme="1"/>
        <rFont val="Arial"/>
        <family val="2"/>
      </rPr>
      <t>?</t>
    </r>
  </si>
  <si>
    <r>
      <rPr>
        <i/>
        <sz val="11"/>
        <color theme="1"/>
        <rFont val="Arial"/>
        <family val="2"/>
      </rPr>
      <t>Gesamtarbeitsverträge</t>
    </r>
    <r>
      <rPr>
        <sz val="11"/>
        <color theme="1"/>
        <rFont val="Arial"/>
        <family val="2"/>
      </rPr>
      <t>?</t>
    </r>
  </si>
  <si>
    <r>
      <rPr>
        <i/>
        <sz val="11"/>
        <color theme="1"/>
        <rFont val="Arial"/>
        <family val="2"/>
      </rPr>
      <t>Werkverträge</t>
    </r>
    <r>
      <rPr>
        <sz val="11"/>
        <color theme="1"/>
        <rFont val="Arial"/>
        <family val="2"/>
      </rPr>
      <t>?</t>
    </r>
  </si>
  <si>
    <r>
      <rPr>
        <i/>
        <sz val="11"/>
        <color theme="1"/>
        <rFont val="Arial"/>
        <family val="2"/>
      </rPr>
      <t>Andere Organisationsdokumente</t>
    </r>
    <r>
      <rPr>
        <sz val="11"/>
        <color theme="1"/>
        <rFont val="Arial"/>
        <family val="2"/>
      </rPr>
      <t xml:space="preserve">? Wenn ja, welche? </t>
    </r>
  </si>
  <si>
    <r>
      <t xml:space="preserve">Sind Aufgaben, Kompetenzen, Verantwortlichkeit (Pflichten und Rechte) bezüglich Sicherheit und Gesundheit Bestandteil von: 
</t>
    </r>
    <r>
      <rPr>
        <i/>
        <sz val="11"/>
        <color theme="1"/>
        <rFont val="Arial"/>
        <family val="2"/>
      </rPr>
      <t>Stellenbeschreibungen</t>
    </r>
    <r>
      <rPr>
        <sz val="11"/>
        <color theme="1"/>
        <rFont val="Arial"/>
        <family val="2"/>
      </rPr>
      <t>?</t>
    </r>
  </si>
  <si>
    <r>
      <rPr>
        <i/>
        <sz val="11"/>
        <color theme="1"/>
        <rFont val="Arial"/>
        <family val="2"/>
      </rPr>
      <t>Pflichtenheften</t>
    </r>
    <r>
      <rPr>
        <sz val="11"/>
        <color theme="1"/>
        <rFont val="Arial"/>
        <family val="2"/>
      </rPr>
      <t>?</t>
    </r>
  </si>
  <si>
    <r>
      <rPr>
        <i/>
        <sz val="11"/>
        <color theme="1"/>
        <rFont val="Arial"/>
        <family val="2"/>
      </rPr>
      <t>Funktionsdiagrammen</t>
    </r>
    <r>
      <rPr>
        <sz val="11"/>
        <color theme="1"/>
        <rFont val="Arial"/>
        <family val="2"/>
      </rPr>
      <t>?</t>
    </r>
  </si>
  <si>
    <r>
      <rPr>
        <i/>
        <sz val="11"/>
        <color theme="1"/>
        <rFont val="Arial"/>
        <family val="2"/>
      </rPr>
      <t>Reglementen</t>
    </r>
    <r>
      <rPr>
        <sz val="11"/>
        <color theme="1"/>
        <rFont val="Arial"/>
        <family val="2"/>
      </rPr>
      <t>?</t>
    </r>
  </si>
  <si>
    <r>
      <rPr>
        <i/>
        <sz val="11"/>
        <color theme="1"/>
        <rFont val="Arial"/>
        <family val="2"/>
      </rPr>
      <t>Einzelarbeitsverträgen</t>
    </r>
    <r>
      <rPr>
        <sz val="11"/>
        <color theme="1"/>
        <rFont val="Arial"/>
        <family val="2"/>
      </rPr>
      <t>?</t>
    </r>
  </si>
  <si>
    <r>
      <rPr>
        <i/>
        <sz val="11"/>
        <color theme="1"/>
        <rFont val="Arial"/>
        <family val="2"/>
      </rPr>
      <t>Gesamtarbeitsverträgen</t>
    </r>
    <r>
      <rPr>
        <sz val="11"/>
        <color theme="1"/>
        <rFont val="Arial"/>
        <family val="2"/>
      </rPr>
      <t>?</t>
    </r>
  </si>
  <si>
    <r>
      <rPr>
        <i/>
        <sz val="11"/>
        <color theme="1"/>
        <rFont val="Arial"/>
        <family val="2"/>
      </rPr>
      <t>Anderen Organisationsdokumenten</t>
    </r>
    <r>
      <rPr>
        <sz val="11"/>
        <color theme="1"/>
        <rFont val="Arial"/>
        <family val="2"/>
      </rPr>
      <t>?
Wenn ja, von welchen?</t>
    </r>
  </si>
  <si>
    <r>
      <t xml:space="preserve">Wird die Planung, Kalkulation, Organisation und Vorbereitung von Arbeitsaufträgen durchgeführt von: 
</t>
    </r>
    <r>
      <rPr>
        <i/>
        <sz val="11"/>
        <color theme="1"/>
        <rFont val="Arial"/>
        <family val="2"/>
      </rPr>
      <t>Linienvorgesetzten</t>
    </r>
    <r>
      <rPr>
        <sz val="11"/>
        <color theme="1"/>
        <rFont val="Arial"/>
        <family val="2"/>
      </rPr>
      <t>?</t>
    </r>
  </si>
  <si>
    <r>
      <rPr>
        <i/>
        <sz val="11"/>
        <color theme="1"/>
        <rFont val="Arial"/>
        <family val="2"/>
      </rPr>
      <t>Projektteams</t>
    </r>
    <r>
      <rPr>
        <sz val="11"/>
        <color theme="1"/>
        <rFont val="Arial"/>
        <family val="2"/>
      </rPr>
      <t>?</t>
    </r>
  </si>
  <si>
    <r>
      <rPr>
        <i/>
        <sz val="11"/>
        <color theme="1"/>
        <rFont val="Arial"/>
        <family val="2"/>
      </rPr>
      <t>Einer speziellen Organisationseinheit (AVOR)</t>
    </r>
    <r>
      <rPr>
        <sz val="11"/>
        <color theme="1"/>
        <rFont val="Arial"/>
        <family val="2"/>
      </rPr>
      <t>?</t>
    </r>
  </si>
  <si>
    <r>
      <t>A</t>
    </r>
    <r>
      <rPr>
        <i/>
        <sz val="11"/>
        <color theme="1"/>
        <rFont val="Arial"/>
        <family val="2"/>
      </rPr>
      <t>nderen/weiteren Organen/Personen</t>
    </r>
    <r>
      <rPr>
        <sz val="11"/>
        <color theme="1"/>
        <rFont val="Arial"/>
        <family val="2"/>
      </rPr>
      <t>? Wenn ja, von welchen Organen/Personen?</t>
    </r>
  </si>
  <si>
    <r>
      <t xml:space="preserve">Werden in Ihrem Unternehmen ausserbetriebliche Spezialisten beigezogen:
</t>
    </r>
    <r>
      <rPr>
        <i/>
        <sz val="11"/>
        <color theme="1"/>
        <rFont val="Arial"/>
        <family val="2"/>
      </rPr>
      <t>Arbeitsärzte?</t>
    </r>
  </si>
  <si>
    <r>
      <rPr>
        <i/>
        <sz val="11"/>
        <color theme="1"/>
        <rFont val="Arial"/>
        <family val="2"/>
      </rPr>
      <t>Arbeitshygieniker</t>
    </r>
    <r>
      <rPr>
        <sz val="11"/>
        <color theme="1"/>
        <rFont val="Arial"/>
        <family val="2"/>
      </rPr>
      <t>?</t>
    </r>
  </si>
  <si>
    <r>
      <rPr>
        <i/>
        <sz val="11"/>
        <color theme="1"/>
        <rFont val="Arial"/>
        <family val="2"/>
      </rPr>
      <t>Sicherheitsingenieure</t>
    </r>
    <r>
      <rPr>
        <sz val="11"/>
        <color theme="1"/>
        <rFont val="Arial"/>
        <family val="2"/>
      </rPr>
      <t>?</t>
    </r>
  </si>
  <si>
    <r>
      <rPr>
        <i/>
        <sz val="11"/>
        <color theme="1"/>
        <rFont val="Arial"/>
        <family val="2"/>
      </rPr>
      <t>Sicherheitsfachleute</t>
    </r>
    <r>
      <rPr>
        <sz val="11"/>
        <color theme="1"/>
        <rFont val="Arial"/>
        <family val="2"/>
      </rPr>
      <t>?</t>
    </r>
  </si>
  <si>
    <r>
      <rPr>
        <i/>
        <sz val="11"/>
        <color theme="1"/>
        <rFont val="Arial"/>
        <family val="2"/>
      </rPr>
      <t>Andere ausserbetriebliche Spezialisten</t>
    </r>
    <r>
      <rPr>
        <sz val="11"/>
        <color theme="1"/>
        <rFont val="Arial"/>
        <family val="2"/>
      </rPr>
      <t>? Wenn ja, welche?</t>
    </r>
  </si>
  <si>
    <r>
      <t xml:space="preserve">Verfügt das Unternehmen über standardisierte Einführungsprogramme für:
</t>
    </r>
    <r>
      <rPr>
        <i/>
        <sz val="11"/>
        <color theme="1"/>
        <rFont val="Arial"/>
        <family val="2"/>
      </rPr>
      <t>neue</t>
    </r>
    <r>
      <rPr>
        <sz val="11"/>
        <color theme="1"/>
        <rFont val="Arial"/>
        <family val="2"/>
      </rPr>
      <t xml:space="preserve"> </t>
    </r>
    <r>
      <rPr>
        <i/>
        <sz val="11"/>
        <color theme="1"/>
        <rFont val="Arial"/>
        <family val="2"/>
      </rPr>
      <t>Mitarbeitende?</t>
    </r>
  </si>
  <si>
    <r>
      <rPr>
        <i/>
        <sz val="11"/>
        <color theme="1"/>
        <rFont val="Arial"/>
        <family val="2"/>
      </rPr>
      <t>temporäre Mitarbeitende</t>
    </r>
    <r>
      <rPr>
        <sz val="11"/>
        <color theme="1"/>
        <rFont val="Arial"/>
        <family val="2"/>
      </rPr>
      <t>?</t>
    </r>
  </si>
  <si>
    <r>
      <rPr>
        <i/>
        <sz val="11"/>
        <color theme="1"/>
        <rFont val="Arial"/>
        <family val="2"/>
      </rPr>
      <t>versetzte Mitarbeitende</t>
    </r>
    <r>
      <rPr>
        <sz val="11"/>
        <color theme="1"/>
        <rFont val="Arial"/>
        <family val="2"/>
      </rPr>
      <t>?</t>
    </r>
  </si>
  <si>
    <r>
      <t xml:space="preserve">Sind Sicherheit und Gesundheitsschutz Bestandteil der Einführung bei:
</t>
    </r>
    <r>
      <rPr>
        <i/>
        <sz val="11"/>
        <color theme="1"/>
        <rFont val="Arial"/>
        <family val="2"/>
      </rPr>
      <t>neue Mitarbeitenden</t>
    </r>
    <r>
      <rPr>
        <sz val="11"/>
        <color theme="1"/>
        <rFont val="Arial"/>
        <family val="2"/>
      </rPr>
      <t>?</t>
    </r>
  </si>
  <si>
    <r>
      <rPr>
        <i/>
        <sz val="11"/>
        <color theme="1"/>
        <rFont val="Arial"/>
        <family val="2"/>
      </rPr>
      <t>temporären</t>
    </r>
    <r>
      <rPr>
        <sz val="11"/>
        <color theme="1"/>
        <rFont val="Arial"/>
        <family val="2"/>
      </rPr>
      <t xml:space="preserve"> </t>
    </r>
    <r>
      <rPr>
        <i/>
        <sz val="11"/>
        <color theme="1"/>
        <rFont val="Arial"/>
        <family val="2"/>
      </rPr>
      <t>Mitarbeitenden</t>
    </r>
    <r>
      <rPr>
        <sz val="11"/>
        <color theme="1"/>
        <rFont val="Arial"/>
        <family val="2"/>
      </rPr>
      <t>?</t>
    </r>
  </si>
  <si>
    <r>
      <rPr>
        <i/>
        <sz val="11"/>
        <color theme="1"/>
        <rFont val="Arial"/>
        <family val="2"/>
      </rPr>
      <t>versetzten Mitarbeitenden</t>
    </r>
    <r>
      <rPr>
        <sz val="11"/>
        <color theme="1"/>
        <rFont val="Arial"/>
        <family val="2"/>
      </rPr>
      <t>?</t>
    </r>
  </si>
  <si>
    <r>
      <t xml:space="preserve">Werden bestimmte Dokumentationen zum Thema Sicherheit und Gesundheitsschutz abgegeben an:
</t>
    </r>
    <r>
      <rPr>
        <i/>
        <sz val="11"/>
        <color theme="1"/>
        <rFont val="Arial"/>
        <family val="2"/>
      </rPr>
      <t>neue Mitarbeidende</t>
    </r>
    <r>
      <rPr>
        <sz val="11"/>
        <color theme="1"/>
        <rFont val="Arial"/>
        <family val="2"/>
      </rPr>
      <t>?</t>
    </r>
  </si>
  <si>
    <r>
      <t xml:space="preserve">Wenn ja, sind Sicherheit und Gesundheitsförderung* Schwerpunkte?
</t>
    </r>
    <r>
      <rPr>
        <sz val="9"/>
        <color theme="1"/>
        <rFont val="Arial"/>
        <family val="2"/>
      </rPr>
      <t>*Der Begriff „Gesundheitsförderung“ geht über den konventionellen Begriff „Gesundheitsschutz“ hinaus. Gesundheitsförderung umfasst alle individuellen und sozialen Aspekte, die zur Förderung der Gesundheit beitragen.</t>
    </r>
  </si>
  <si>
    <r>
      <t xml:space="preserve">Werden Vorgesetzte und Mitarbeitende über neue oder veränderte Arbeitsmittel* instruiert?
</t>
    </r>
    <r>
      <rPr>
        <sz val="9"/>
        <color theme="1"/>
        <rFont val="Arial"/>
        <family val="2"/>
      </rPr>
      <t>*Arbeitsmittel: Maschinen, Anlagen, Apparate, Werkzeuge, Einrichtungen und Geräte, PSA.</t>
    </r>
  </si>
  <si>
    <r>
      <t xml:space="preserve">Werden Vorgesetzte und Mitarbeitende über neue Arbeitsstoffe** instruiert?
</t>
    </r>
    <r>
      <rPr>
        <sz val="9"/>
        <color theme="1"/>
        <rFont val="Arial"/>
        <family val="2"/>
      </rPr>
      <t>**Arbeitsstoffe: Die bei der Arbeit eingesetzte Materie: fest, flüssig oder gasförmig.</t>
    </r>
  </si>
  <si>
    <r>
      <t xml:space="preserve">Welche Informationsmittel und –anlässe werden im Unternehmen in Zusammenhang mit Sicherheit und Gesundheitsschutz benützt:
</t>
    </r>
    <r>
      <rPr>
        <i/>
        <sz val="11"/>
        <color theme="1"/>
        <rFont val="Arial"/>
        <family val="2"/>
      </rPr>
      <t>Spontane Gespräche</t>
    </r>
    <r>
      <rPr>
        <sz val="11"/>
        <color theme="1"/>
        <rFont val="Arial"/>
        <family val="2"/>
      </rPr>
      <t>?</t>
    </r>
  </si>
  <si>
    <r>
      <rPr>
        <i/>
        <sz val="11"/>
        <color theme="1"/>
        <rFont val="Arial"/>
        <family val="2"/>
      </rPr>
      <t>Mitarbeiterbesprechungen</t>
    </r>
    <r>
      <rPr>
        <sz val="11"/>
        <color theme="1"/>
        <rFont val="Arial"/>
        <family val="2"/>
      </rPr>
      <t>?</t>
    </r>
    <r>
      <rPr>
        <i/>
        <sz val="11"/>
        <color theme="1"/>
        <rFont val="Calibri"/>
        <family val="2"/>
        <scheme val="minor"/>
      </rPr>
      <t/>
    </r>
  </si>
  <si>
    <r>
      <rPr>
        <i/>
        <sz val="11"/>
        <color theme="1"/>
        <rFont val="Arial"/>
        <family val="2"/>
      </rPr>
      <t>Arbeitsbesprechungen</t>
    </r>
    <r>
      <rPr>
        <sz val="11"/>
        <color theme="1"/>
        <rFont val="Arial"/>
        <family val="2"/>
      </rPr>
      <t>?</t>
    </r>
  </si>
  <si>
    <r>
      <rPr>
        <i/>
        <sz val="11"/>
        <color theme="1"/>
        <rFont val="Arial"/>
        <family val="2"/>
      </rPr>
      <t>Auftragserteilungen</t>
    </r>
    <r>
      <rPr>
        <sz val="11"/>
        <color theme="1"/>
        <rFont val="Arial"/>
        <family val="2"/>
      </rPr>
      <t>?</t>
    </r>
  </si>
  <si>
    <r>
      <rPr>
        <i/>
        <sz val="11"/>
        <color theme="1"/>
        <rFont val="Arial"/>
        <family val="2"/>
      </rPr>
      <t>Arbeitsanleitungen</t>
    </r>
    <r>
      <rPr>
        <sz val="11"/>
        <color theme="1"/>
        <rFont val="Arial"/>
        <family val="2"/>
      </rPr>
      <t>?</t>
    </r>
  </si>
  <si>
    <r>
      <rPr>
        <i/>
        <sz val="11"/>
        <color theme="1"/>
        <rFont val="Arial"/>
        <family val="2"/>
      </rPr>
      <t>Arbeitsinstruktionen</t>
    </r>
    <r>
      <rPr>
        <sz val="11"/>
        <color theme="1"/>
        <rFont val="Arial"/>
        <family val="2"/>
      </rPr>
      <t>?</t>
    </r>
  </si>
  <si>
    <r>
      <rPr>
        <i/>
        <sz val="11"/>
        <color theme="1"/>
        <rFont val="Arial"/>
        <family val="2"/>
      </rPr>
      <t>Sicherheitsgespräche</t>
    </r>
    <r>
      <rPr>
        <sz val="11"/>
        <color theme="1"/>
        <rFont val="Arial"/>
        <family val="2"/>
      </rPr>
      <t>?</t>
    </r>
  </si>
  <si>
    <r>
      <rPr>
        <i/>
        <sz val="11"/>
        <color theme="1"/>
        <rFont val="Arial"/>
        <family val="2"/>
      </rPr>
      <t>ERFA-Gespräche</t>
    </r>
    <r>
      <rPr>
        <sz val="11"/>
        <color theme="1"/>
        <rFont val="Arial"/>
        <family val="2"/>
      </rPr>
      <t>?</t>
    </r>
  </si>
  <si>
    <r>
      <rPr>
        <i/>
        <sz val="11"/>
        <color theme="1"/>
        <rFont val="Arial"/>
        <family val="2"/>
      </rPr>
      <t>Schriftliche Arbeitsaufträge</t>
    </r>
    <r>
      <rPr>
        <sz val="11"/>
        <color theme="1"/>
        <rFont val="Arial"/>
        <family val="2"/>
      </rPr>
      <t>?</t>
    </r>
  </si>
  <si>
    <r>
      <rPr>
        <i/>
        <sz val="11"/>
        <color theme="1"/>
        <rFont val="Arial"/>
        <family val="2"/>
      </rPr>
      <t>Schriftliche Weisungen/Bestimmungen</t>
    </r>
    <r>
      <rPr>
        <sz val="11"/>
        <color theme="1"/>
        <rFont val="Arial"/>
        <family val="2"/>
      </rPr>
      <t>?</t>
    </r>
  </si>
  <si>
    <r>
      <rPr>
        <i/>
        <sz val="11"/>
        <color theme="1"/>
        <rFont val="Arial"/>
        <family val="2"/>
      </rPr>
      <t>Vorschriften/Normen</t>
    </r>
    <r>
      <rPr>
        <sz val="11"/>
        <color theme="1"/>
        <rFont val="Arial"/>
        <family val="2"/>
      </rPr>
      <t>?</t>
    </r>
  </si>
  <si>
    <r>
      <rPr>
        <i/>
        <sz val="11"/>
        <color theme="1"/>
        <rFont val="Arial"/>
        <family val="2"/>
      </rPr>
      <t>Schriftliche Anleitungen/Anweisungen</t>
    </r>
    <r>
      <rPr>
        <sz val="11"/>
        <color theme="1"/>
        <rFont val="Arial"/>
        <family val="2"/>
      </rPr>
      <t>?</t>
    </r>
  </si>
  <si>
    <r>
      <rPr>
        <i/>
        <sz val="11"/>
        <color theme="1"/>
        <rFont val="Arial"/>
        <family val="2"/>
      </rPr>
      <t>Broschüren</t>
    </r>
    <r>
      <rPr>
        <sz val="11"/>
        <color theme="1"/>
        <rFont val="Arial"/>
        <family val="2"/>
      </rPr>
      <t>?</t>
    </r>
  </si>
  <si>
    <r>
      <rPr>
        <i/>
        <sz val="11"/>
        <color theme="1"/>
        <rFont val="Arial"/>
        <family val="2"/>
      </rPr>
      <t>Merkblätter</t>
    </r>
    <r>
      <rPr>
        <sz val="11"/>
        <color theme="1"/>
        <rFont val="Arial"/>
        <family val="2"/>
      </rPr>
      <t>?</t>
    </r>
  </si>
  <si>
    <r>
      <rPr>
        <i/>
        <sz val="11"/>
        <color theme="1"/>
        <rFont val="Arial"/>
        <family val="2"/>
      </rPr>
      <t>Rundschreiben</t>
    </r>
    <r>
      <rPr>
        <sz val="11"/>
        <color theme="1"/>
        <rFont val="Arial"/>
        <family val="2"/>
      </rPr>
      <t>?</t>
    </r>
  </si>
  <si>
    <r>
      <rPr>
        <i/>
        <sz val="11"/>
        <color theme="1"/>
        <rFont val="Arial"/>
        <family val="2"/>
      </rPr>
      <t>Persönliche Briefe</t>
    </r>
    <r>
      <rPr>
        <sz val="11"/>
        <color theme="1"/>
        <rFont val="Arial"/>
        <family val="2"/>
      </rPr>
      <t>?</t>
    </r>
  </si>
  <si>
    <r>
      <rPr>
        <i/>
        <sz val="11"/>
        <color theme="1"/>
        <rFont val="Arial"/>
        <family val="2"/>
      </rPr>
      <t>Firmenzeitschrift</t>
    </r>
    <r>
      <rPr>
        <sz val="11"/>
        <color theme="1"/>
        <rFont val="Arial"/>
        <family val="2"/>
      </rPr>
      <t>?</t>
    </r>
  </si>
  <si>
    <r>
      <rPr>
        <i/>
        <sz val="11"/>
        <color theme="1"/>
        <rFont val="Arial"/>
        <family val="2"/>
      </rPr>
      <t>Personalzeitschrift</t>
    </r>
    <r>
      <rPr>
        <sz val="11"/>
        <color theme="1"/>
        <rFont val="Arial"/>
        <family val="2"/>
      </rPr>
      <t>?</t>
    </r>
  </si>
  <si>
    <r>
      <rPr>
        <i/>
        <sz val="11"/>
        <color theme="1"/>
        <rFont val="Arial"/>
        <family val="2"/>
      </rPr>
      <t>Fachzeitschriften</t>
    </r>
    <r>
      <rPr>
        <sz val="11"/>
        <color theme="1"/>
        <rFont val="Arial"/>
        <family val="2"/>
      </rPr>
      <t>?</t>
    </r>
  </si>
  <si>
    <r>
      <rPr>
        <i/>
        <sz val="11"/>
        <color theme="1"/>
        <rFont val="Arial"/>
        <family val="2"/>
      </rPr>
      <t>Bibliothek</t>
    </r>
    <r>
      <rPr>
        <sz val="11"/>
        <color theme="1"/>
        <rFont val="Arial"/>
        <family val="2"/>
      </rPr>
      <t>?</t>
    </r>
  </si>
  <si>
    <r>
      <rPr>
        <i/>
        <sz val="11"/>
        <color theme="1"/>
        <rFont val="Arial"/>
        <family val="2"/>
      </rPr>
      <t>Jahresberichte</t>
    </r>
    <r>
      <rPr>
        <sz val="11"/>
        <color theme="1"/>
        <rFont val="Arial"/>
        <family val="2"/>
      </rPr>
      <t>?</t>
    </r>
  </si>
  <si>
    <r>
      <rPr>
        <i/>
        <sz val="11"/>
        <color theme="1"/>
        <rFont val="Arial"/>
        <family val="2"/>
      </rPr>
      <t>Mitarbeiterbefragungen</t>
    </r>
    <r>
      <rPr>
        <sz val="11"/>
        <color theme="1"/>
        <rFont val="Arial"/>
        <family val="2"/>
      </rPr>
      <t>?</t>
    </r>
  </si>
  <si>
    <r>
      <rPr>
        <i/>
        <sz val="11"/>
        <color theme="1"/>
        <rFont val="Arial"/>
        <family val="2"/>
      </rPr>
      <t>Internet</t>
    </r>
    <r>
      <rPr>
        <sz val="11"/>
        <color theme="1"/>
        <rFont val="Arial"/>
        <family val="2"/>
      </rPr>
      <t>?</t>
    </r>
  </si>
  <si>
    <r>
      <rPr>
        <i/>
        <sz val="11"/>
        <color theme="1"/>
        <rFont val="Arial"/>
        <family val="2"/>
      </rPr>
      <t>Intranet</t>
    </r>
    <r>
      <rPr>
        <sz val="11"/>
        <color theme="1"/>
        <rFont val="Arial"/>
        <family val="2"/>
      </rPr>
      <t>?</t>
    </r>
  </si>
  <si>
    <r>
      <rPr>
        <i/>
        <sz val="11"/>
        <color theme="1"/>
        <rFont val="Arial"/>
        <family val="2"/>
      </rPr>
      <t>E-Mails</t>
    </r>
    <r>
      <rPr>
        <sz val="11"/>
        <color theme="1"/>
        <rFont val="Arial"/>
        <family val="2"/>
      </rPr>
      <t>?</t>
    </r>
  </si>
  <si>
    <r>
      <rPr>
        <i/>
        <sz val="11"/>
        <color theme="1"/>
        <rFont val="Arial"/>
        <family val="2"/>
      </rPr>
      <t>Software</t>
    </r>
    <r>
      <rPr>
        <sz val="11"/>
        <color theme="1"/>
        <rFont val="Arial"/>
        <family val="2"/>
      </rPr>
      <t>?</t>
    </r>
  </si>
  <si>
    <r>
      <rPr>
        <i/>
        <sz val="11"/>
        <color theme="1"/>
        <rFont val="Arial"/>
        <family val="2"/>
      </rPr>
      <t>Modelle</t>
    </r>
    <r>
      <rPr>
        <sz val="11"/>
        <color theme="1"/>
        <rFont val="Arial"/>
        <family val="2"/>
      </rPr>
      <t>?</t>
    </r>
  </si>
  <si>
    <r>
      <rPr>
        <i/>
        <sz val="11"/>
        <color theme="1"/>
        <rFont val="Arial"/>
        <family val="2"/>
      </rPr>
      <t>Muster</t>
    </r>
    <r>
      <rPr>
        <sz val="11"/>
        <color theme="1"/>
        <rFont val="Arial"/>
        <family val="2"/>
      </rPr>
      <t>?</t>
    </r>
  </si>
  <si>
    <r>
      <rPr>
        <i/>
        <sz val="11"/>
        <color theme="1"/>
        <rFont val="Arial"/>
        <family val="2"/>
      </rPr>
      <t>Ausstellungen</t>
    </r>
    <r>
      <rPr>
        <sz val="11"/>
        <color theme="1"/>
        <rFont val="Arial"/>
        <family val="2"/>
      </rPr>
      <t>?</t>
    </r>
  </si>
  <si>
    <r>
      <t xml:space="preserve"> </t>
    </r>
    <r>
      <rPr>
        <b/>
        <sz val="11"/>
        <color theme="1"/>
        <rFont val="Arial"/>
        <family val="2"/>
      </rPr>
      <t>Sicherheit als Traktandum</t>
    </r>
  </si>
  <si>
    <r>
      <t xml:space="preserve">Sind Sicherheit und Gesundheitsförderung regelmässige Gesprächsthemen an:
</t>
    </r>
    <r>
      <rPr>
        <i/>
        <sz val="11"/>
        <color theme="1"/>
        <rFont val="Arial"/>
        <family val="2"/>
      </rPr>
      <t>Innerbetrieblichen Besprechungen</t>
    </r>
    <r>
      <rPr>
        <sz val="11"/>
        <color theme="1"/>
        <rFont val="Arial"/>
        <family val="2"/>
      </rPr>
      <t>?</t>
    </r>
  </si>
  <si>
    <r>
      <rPr>
        <i/>
        <sz val="11"/>
        <color theme="1"/>
        <rFont val="Arial"/>
        <family val="2"/>
      </rPr>
      <t>Ausserbetrieblichen Besprechungen (z.B. mit Dritten, Fremdfirmen, Mitgliedern von Arbeitsgemeinschaften)</t>
    </r>
    <r>
      <rPr>
        <sz val="11"/>
        <color theme="1"/>
        <rFont val="Arial"/>
        <family val="2"/>
      </rPr>
      <t>?</t>
    </r>
  </si>
  <si>
    <r>
      <t xml:space="preserve">Werden bei Gesprächen über Sicherheit und Gesundheitsförderung nicht nur Probleme diskutiert, sondern auch Schutzziele* festgelegt und Massnahmen getroffen?
</t>
    </r>
    <r>
      <rPr>
        <sz val="9"/>
        <color theme="1"/>
        <rFont val="Arial"/>
        <family val="2"/>
      </rPr>
      <t>*Schutzziele: Ziele, die erreicht werden müssen, um Sicherheit und Gesundheit gemäss der allgemeinen Erfahrung und dem Stand der Technik zu gewährleisten. Schutzziele lassen Mittel und Wege der Zielerreichung offen.</t>
    </r>
  </si>
  <si>
    <r>
      <t xml:space="preserve">Wie häufig werden in ihrem Unternehmen Fremdfirmen beschäftigt:
</t>
    </r>
    <r>
      <rPr>
        <i/>
        <sz val="11"/>
        <color theme="1"/>
        <rFont val="Arial"/>
        <family val="2"/>
      </rPr>
      <t>Niemals?</t>
    </r>
  </si>
  <si>
    <r>
      <rPr>
        <i/>
        <sz val="11"/>
        <color theme="1"/>
        <rFont val="Arial"/>
        <family val="2"/>
      </rPr>
      <t>Gelegentlich</t>
    </r>
    <r>
      <rPr>
        <sz val="11"/>
        <color theme="1"/>
        <rFont val="Arial"/>
        <family val="2"/>
      </rPr>
      <t>?</t>
    </r>
  </si>
  <si>
    <r>
      <t>O</t>
    </r>
    <r>
      <rPr>
        <i/>
        <sz val="11"/>
        <color theme="1"/>
        <rFont val="Arial"/>
        <family val="2"/>
      </rPr>
      <t>ft</t>
    </r>
    <r>
      <rPr>
        <sz val="11"/>
        <color theme="1"/>
        <rFont val="Arial"/>
        <family val="2"/>
      </rPr>
      <t>?</t>
    </r>
  </si>
  <si>
    <r>
      <rPr>
        <i/>
        <sz val="11"/>
        <color theme="1"/>
        <rFont val="Arial"/>
        <family val="2"/>
      </rPr>
      <t>Dauernd</t>
    </r>
    <r>
      <rPr>
        <sz val="11"/>
        <color theme="1"/>
        <rFont val="Arial"/>
        <family val="2"/>
      </rPr>
      <t>?</t>
    </r>
  </si>
  <si>
    <r>
      <t xml:space="preserve">Welche persönlichen Schutzausrüstungen sind aufgrund der Gefährdungssituationen in Ihrem Unternehmen notwendig:
</t>
    </r>
    <r>
      <rPr>
        <i/>
        <sz val="11"/>
        <color theme="1"/>
        <rFont val="Arial"/>
        <family val="2"/>
      </rPr>
      <t>Schutzelme?</t>
    </r>
  </si>
  <si>
    <r>
      <t>S</t>
    </r>
    <r>
      <rPr>
        <i/>
        <sz val="11"/>
        <color theme="1"/>
        <rFont val="Arial"/>
        <family val="2"/>
      </rPr>
      <t>chutzhelme/Gesichtsschutze</t>
    </r>
    <r>
      <rPr>
        <sz val="11"/>
        <color theme="1"/>
        <rFont val="Arial"/>
        <family val="2"/>
      </rPr>
      <t>?</t>
    </r>
  </si>
  <si>
    <r>
      <rPr>
        <i/>
        <sz val="11"/>
        <color theme="1"/>
        <rFont val="Arial"/>
        <family val="2"/>
      </rPr>
      <t>Haarschutznetze</t>
    </r>
    <r>
      <rPr>
        <sz val="11"/>
        <color theme="1"/>
        <rFont val="Arial"/>
        <family val="2"/>
      </rPr>
      <t>?</t>
    </r>
  </si>
  <si>
    <r>
      <rPr>
        <i/>
        <sz val="11"/>
        <color theme="1"/>
        <rFont val="Arial"/>
        <family val="2"/>
      </rPr>
      <t>Schutzbrillen</t>
    </r>
    <r>
      <rPr>
        <sz val="11"/>
        <color theme="1"/>
        <rFont val="Arial"/>
        <family val="2"/>
      </rPr>
      <t>?</t>
    </r>
  </si>
  <si>
    <r>
      <rPr>
        <i/>
        <sz val="11"/>
        <color theme="1"/>
        <rFont val="Arial"/>
        <family val="2"/>
      </rPr>
      <t>Schutzschilde</t>
    </r>
    <r>
      <rPr>
        <sz val="11"/>
        <color theme="1"/>
        <rFont val="Arial"/>
        <family val="2"/>
      </rPr>
      <t>?</t>
    </r>
  </si>
  <si>
    <r>
      <rPr>
        <i/>
        <sz val="11"/>
        <color theme="1"/>
        <rFont val="Arial"/>
        <family val="2"/>
      </rPr>
      <t>Schutzhauben</t>
    </r>
    <r>
      <rPr>
        <sz val="11"/>
        <color theme="1"/>
        <rFont val="Arial"/>
        <family val="2"/>
      </rPr>
      <t>?</t>
    </r>
  </si>
  <si>
    <r>
      <rPr>
        <i/>
        <sz val="11"/>
        <color theme="1"/>
        <rFont val="Arial"/>
        <family val="2"/>
      </rPr>
      <t>Schutzschirme</t>
    </r>
    <r>
      <rPr>
        <sz val="11"/>
        <color theme="1"/>
        <rFont val="Arial"/>
        <family val="2"/>
      </rPr>
      <t>?</t>
    </r>
  </si>
  <si>
    <r>
      <rPr>
        <i/>
        <sz val="11"/>
        <color theme="1"/>
        <rFont val="Arial"/>
        <family val="2"/>
      </rPr>
      <t>Gehörschutzstöpsel</t>
    </r>
    <r>
      <rPr>
        <sz val="11"/>
        <color theme="1"/>
        <rFont val="Arial"/>
        <family val="2"/>
      </rPr>
      <t>?</t>
    </r>
  </si>
  <si>
    <r>
      <rPr>
        <i/>
        <sz val="11"/>
        <color theme="1"/>
        <rFont val="Arial"/>
        <family val="2"/>
      </rPr>
      <t>Gehörschutzkapseln</t>
    </r>
    <r>
      <rPr>
        <sz val="11"/>
        <color theme="1"/>
        <rFont val="Arial"/>
        <family val="2"/>
      </rPr>
      <t>?</t>
    </r>
  </si>
  <si>
    <r>
      <rPr>
        <i/>
        <sz val="11"/>
        <color theme="1"/>
        <rFont val="Arial"/>
        <family val="2"/>
      </rPr>
      <t>Gehörschutzhelme</t>
    </r>
    <r>
      <rPr>
        <sz val="11"/>
        <color theme="1"/>
        <rFont val="Arial"/>
        <family val="2"/>
      </rPr>
      <t>?</t>
    </r>
  </si>
  <si>
    <r>
      <rPr>
        <i/>
        <sz val="11"/>
        <color theme="1"/>
        <rFont val="Arial"/>
        <family val="2"/>
      </rPr>
      <t>Schallschutzanzüge</t>
    </r>
    <r>
      <rPr>
        <sz val="11"/>
        <color theme="1"/>
        <rFont val="Arial"/>
        <family val="2"/>
      </rPr>
      <t>?</t>
    </r>
  </si>
  <si>
    <r>
      <rPr>
        <i/>
        <sz val="11"/>
        <color theme="1"/>
        <rFont val="Arial"/>
        <family val="2"/>
      </rPr>
      <t>Filtergeräte</t>
    </r>
    <r>
      <rPr>
        <sz val="11"/>
        <color theme="1"/>
        <rFont val="Arial"/>
        <family val="2"/>
      </rPr>
      <t>?</t>
    </r>
  </si>
  <si>
    <r>
      <rPr>
        <i/>
        <sz val="11"/>
        <color theme="1"/>
        <rFont val="Arial"/>
        <family val="2"/>
      </rPr>
      <t>Schlauchgeräte  für den Atemschutz</t>
    </r>
    <r>
      <rPr>
        <sz val="11"/>
        <color theme="1"/>
        <rFont val="Arial"/>
        <family val="2"/>
      </rPr>
      <t>?</t>
    </r>
  </si>
  <si>
    <r>
      <rPr>
        <i/>
        <sz val="11"/>
        <color theme="1"/>
        <rFont val="Arial"/>
        <family val="2"/>
      </rPr>
      <t>Regenerationsgeräte für den Atemschutz</t>
    </r>
    <r>
      <rPr>
        <sz val="11"/>
        <color theme="1"/>
        <rFont val="Arial"/>
        <family val="2"/>
      </rPr>
      <t>?</t>
    </r>
  </si>
  <si>
    <r>
      <rPr>
        <i/>
        <sz val="11"/>
        <color theme="1"/>
        <rFont val="Arial"/>
        <family val="2"/>
      </rPr>
      <t>Behältergeräte für den Atemschutz</t>
    </r>
    <r>
      <rPr>
        <sz val="11"/>
        <color theme="1"/>
        <rFont val="Arial"/>
        <family val="2"/>
      </rPr>
      <t>?</t>
    </r>
  </si>
  <si>
    <r>
      <rPr>
        <i/>
        <sz val="11"/>
        <color theme="1"/>
        <rFont val="Arial"/>
        <family val="2"/>
      </rPr>
      <t>Atemschutzhelme</t>
    </r>
    <r>
      <rPr>
        <sz val="11"/>
        <color theme="1"/>
        <rFont val="Arial"/>
        <family val="2"/>
      </rPr>
      <t>?</t>
    </r>
  </si>
  <si>
    <r>
      <rPr>
        <i/>
        <sz val="11"/>
        <color theme="1"/>
        <rFont val="Arial"/>
        <family val="2"/>
      </rPr>
      <t>Atemschutzanzüge</t>
    </r>
    <r>
      <rPr>
        <sz val="11"/>
        <color theme="1"/>
        <rFont val="Arial"/>
        <family val="2"/>
      </rPr>
      <t>?</t>
    </r>
  </si>
  <si>
    <r>
      <rPr>
        <i/>
        <sz val="11"/>
        <color theme="1"/>
        <rFont val="Arial"/>
        <family val="2"/>
      </rPr>
      <t>Schutzhandschuhe</t>
    </r>
    <r>
      <rPr>
        <sz val="11"/>
        <color theme="1"/>
        <rFont val="Arial"/>
        <family val="2"/>
      </rPr>
      <t>?</t>
    </r>
  </si>
  <si>
    <r>
      <rPr>
        <i/>
        <sz val="11"/>
        <color theme="1"/>
        <rFont val="Arial"/>
        <family val="2"/>
      </rPr>
      <t>Armschützer</t>
    </r>
    <r>
      <rPr>
        <sz val="11"/>
        <color theme="1"/>
        <rFont val="Arial"/>
        <family val="2"/>
      </rPr>
      <t>?</t>
    </r>
  </si>
  <si>
    <r>
      <rPr>
        <i/>
        <sz val="11"/>
        <color theme="1"/>
        <rFont val="Arial"/>
        <family val="2"/>
      </rPr>
      <t>Hautschutzmittel</t>
    </r>
    <r>
      <rPr>
        <sz val="11"/>
        <color theme="1"/>
        <rFont val="Arial"/>
        <family val="2"/>
      </rPr>
      <t>?</t>
    </r>
  </si>
  <si>
    <r>
      <rPr>
        <i/>
        <sz val="11"/>
        <color theme="1"/>
        <rFont val="Arial"/>
        <family val="2"/>
      </rPr>
      <t>Schutzschuhe</t>
    </r>
    <r>
      <rPr>
        <sz val="11"/>
        <color theme="1"/>
        <rFont val="Arial"/>
        <family val="2"/>
      </rPr>
      <t>?</t>
    </r>
  </si>
  <si>
    <r>
      <rPr>
        <i/>
        <sz val="11"/>
        <color theme="1"/>
        <rFont val="Arial"/>
        <family val="2"/>
      </rPr>
      <t>Schutzgamaschen</t>
    </r>
    <r>
      <rPr>
        <sz val="11"/>
        <color theme="1"/>
        <rFont val="Arial"/>
        <family val="2"/>
      </rPr>
      <t>?</t>
    </r>
  </si>
  <si>
    <r>
      <rPr>
        <i/>
        <sz val="11"/>
        <color theme="1"/>
        <rFont val="Arial"/>
        <family val="2"/>
      </rPr>
      <t>Schienbeinschützer</t>
    </r>
    <r>
      <rPr>
        <sz val="11"/>
        <color theme="1"/>
        <rFont val="Arial"/>
        <family val="2"/>
      </rPr>
      <t>?</t>
    </r>
  </si>
  <si>
    <r>
      <rPr>
        <i/>
        <sz val="11"/>
        <color theme="1"/>
        <rFont val="Arial"/>
        <family val="2"/>
      </rPr>
      <t>Knieschützer</t>
    </r>
    <r>
      <rPr>
        <sz val="11"/>
        <color theme="1"/>
        <rFont val="Arial"/>
        <family val="2"/>
      </rPr>
      <t>?</t>
    </r>
  </si>
  <si>
    <r>
      <rPr>
        <i/>
        <sz val="11"/>
        <color theme="1"/>
        <rFont val="Arial"/>
        <family val="2"/>
      </rPr>
      <t>Warnkleider, Signalfarben</t>
    </r>
    <r>
      <rPr>
        <sz val="11"/>
        <color theme="1"/>
        <rFont val="Arial"/>
        <family val="2"/>
      </rPr>
      <t>?</t>
    </r>
  </si>
  <si>
    <r>
      <rPr>
        <i/>
        <sz val="11"/>
        <color theme="1"/>
        <rFont val="Arial"/>
        <family val="2"/>
      </rPr>
      <t>Schutzanzüge</t>
    </r>
    <r>
      <rPr>
        <sz val="11"/>
        <color theme="1"/>
        <rFont val="Arial"/>
        <family val="2"/>
      </rPr>
      <t>?</t>
    </r>
  </si>
  <si>
    <r>
      <rPr>
        <i/>
        <sz val="11"/>
        <color theme="1"/>
        <rFont val="Arial"/>
        <family val="2"/>
      </rPr>
      <t>Schutzschürzen</t>
    </r>
    <r>
      <rPr>
        <sz val="11"/>
        <color theme="1"/>
        <rFont val="Arial"/>
        <family val="2"/>
      </rPr>
      <t>?</t>
    </r>
  </si>
  <si>
    <r>
      <rPr>
        <i/>
        <sz val="11"/>
        <color theme="1"/>
        <rFont val="Arial"/>
        <family val="2"/>
      </rPr>
      <t>Schutzmäntel</t>
    </r>
    <r>
      <rPr>
        <sz val="11"/>
        <color theme="1"/>
        <rFont val="Arial"/>
        <family val="2"/>
      </rPr>
      <t>?</t>
    </r>
  </si>
  <si>
    <r>
      <rPr>
        <i/>
        <sz val="11"/>
        <color theme="1"/>
        <rFont val="Arial"/>
        <family val="2"/>
      </rPr>
      <t>Kälteschutze</t>
    </r>
    <r>
      <rPr>
        <sz val="11"/>
        <color theme="1"/>
        <rFont val="Arial"/>
        <family val="2"/>
      </rPr>
      <t>?</t>
    </r>
  </si>
  <si>
    <r>
      <rPr>
        <i/>
        <sz val="11"/>
        <color theme="1"/>
        <rFont val="Arial"/>
        <family val="2"/>
      </rPr>
      <t>Nässeschutze</t>
    </r>
    <r>
      <rPr>
        <sz val="11"/>
        <color theme="1"/>
        <rFont val="Arial"/>
        <family val="2"/>
      </rPr>
      <t>?</t>
    </r>
  </si>
  <si>
    <r>
      <rPr>
        <i/>
        <sz val="11"/>
        <color theme="1"/>
        <rFont val="Arial"/>
        <family val="2"/>
      </rPr>
      <t>Hosen mit Schnittschutz</t>
    </r>
    <r>
      <rPr>
        <sz val="11"/>
        <color theme="1"/>
        <rFont val="Arial"/>
        <family val="2"/>
      </rPr>
      <t>?</t>
    </r>
  </si>
  <si>
    <r>
      <rPr>
        <i/>
        <sz val="11"/>
        <color theme="1"/>
        <rFont val="Arial"/>
        <family val="2"/>
      </rPr>
      <t>Auffanggurte</t>
    </r>
    <r>
      <rPr>
        <sz val="11"/>
        <color theme="1"/>
        <rFont val="Arial"/>
        <family val="2"/>
      </rPr>
      <t>?</t>
    </r>
  </si>
  <si>
    <r>
      <rPr>
        <i/>
        <sz val="11"/>
        <color theme="1"/>
        <rFont val="Arial"/>
        <family val="2"/>
      </rPr>
      <t>Sicherungsseile</t>
    </r>
    <r>
      <rPr>
        <sz val="11"/>
        <color theme="1"/>
        <rFont val="Arial"/>
        <family val="2"/>
      </rPr>
      <t>?</t>
    </r>
  </si>
  <si>
    <r>
      <rPr>
        <i/>
        <sz val="11"/>
        <color theme="1"/>
        <rFont val="Arial"/>
        <family val="2"/>
      </rPr>
      <t>Schwimmwesten</t>
    </r>
    <r>
      <rPr>
        <sz val="11"/>
        <color theme="1"/>
        <rFont val="Arial"/>
        <family val="2"/>
      </rPr>
      <t>?</t>
    </r>
  </si>
  <si>
    <r>
      <rPr>
        <i/>
        <sz val="11"/>
        <color theme="1"/>
        <rFont val="Arial"/>
        <family val="2"/>
      </rPr>
      <t xml:space="preserve">Andere Schutzausrüstungen? </t>
    </r>
    <r>
      <rPr>
        <sz val="11"/>
        <color theme="1"/>
        <rFont val="Arial"/>
        <family val="2"/>
      </rPr>
      <t>Wenn ja, welche?</t>
    </r>
  </si>
  <si>
    <r>
      <t>Werden Anweisungen der Hersteller und Lieferanten betreffend Normal*- und Sonderbetrieb</t>
    </r>
    <r>
      <rPr>
        <i/>
        <sz val="11"/>
        <color theme="1"/>
        <rFont val="Arial"/>
        <family val="2"/>
      </rPr>
      <t>**</t>
    </r>
    <r>
      <rPr>
        <sz val="11"/>
        <color theme="1"/>
        <rFont val="Arial"/>
        <family val="2"/>
      </rPr>
      <t xml:space="preserve"> von Anlagen, Maschinen und Geräten befolgt?
</t>
    </r>
    <r>
      <rPr>
        <sz val="9"/>
        <color theme="1"/>
        <rFont val="Arial"/>
        <family val="2"/>
      </rPr>
      <t>* Normalbetrieb: Bestimmungsgemässer Einsatz, vorgesehene Funktion des Arbeitsmittels.
** Sonderbetrieb:alle übrigen Arbeitsverrichtungen an Arbeitsmitteln, wie rüsten/umrüsten, einrichten/einstallen, Probelauf, Fehler 
suchen/beheben, reinigen.</t>
    </r>
  </si>
  <si>
    <r>
      <t xml:space="preserve">Verlangen Sie von den Lieferanten für neue Maschinen die Konformitätserklärung und die Bedienungsanleitung, bzw. für unvollständige Maschinen die Einbauerklärung und die Montageanleitung gemäss MaschV*?
</t>
    </r>
    <r>
      <rPr>
        <sz val="9"/>
        <color theme="1"/>
        <rFont val="Arial"/>
        <family val="2"/>
      </rPr>
      <t>* MaschV: Verordnung über die Sicherheit von Maschinen</t>
    </r>
  </si>
  <si>
    <r>
      <t xml:space="preserve">Wie haben Sie den Beizug von Arbeitsärzten und anderen Spezialisten der Arbeitssicherheit in Ihrem Unternehmen geregelt:
</t>
    </r>
    <r>
      <rPr>
        <i/>
        <sz val="11"/>
        <color theme="1"/>
        <rFont val="Arial"/>
        <family val="2"/>
      </rPr>
      <t>Unternehmenseigene Lösung</t>
    </r>
    <r>
      <rPr>
        <sz val="11"/>
        <color theme="1"/>
        <rFont val="Arial"/>
        <family val="2"/>
      </rPr>
      <t>?
Wenn ja, Namen der zuständigen Arbeitsärzte und Spezialisten im Tabellenblatt „Schlüsselpersonen Sicherheit“ eintragen.</t>
    </r>
  </si>
  <si>
    <r>
      <rPr>
        <i/>
        <sz val="11"/>
        <color theme="1"/>
        <rFont val="Arial"/>
        <family val="2"/>
      </rPr>
      <t>Branchenlösung</t>
    </r>
    <r>
      <rPr>
        <sz val="11"/>
        <color theme="1"/>
        <rFont val="Arial"/>
        <family val="2"/>
      </rPr>
      <t>? Wenn ja, über welche Branchenlösung?</t>
    </r>
  </si>
  <si>
    <r>
      <rPr>
        <i/>
        <sz val="11"/>
        <color theme="1"/>
        <rFont val="Arial"/>
        <family val="2"/>
      </rPr>
      <t>Betriebsgruppenlösung</t>
    </r>
    <r>
      <rPr>
        <sz val="11"/>
        <color theme="1"/>
        <rFont val="Arial"/>
        <family val="2"/>
      </rPr>
      <t>? Wenn ja, über welche Betriebsgruppenlösung?</t>
    </r>
  </si>
  <si>
    <r>
      <rPr>
        <i/>
        <sz val="11"/>
        <color theme="1"/>
        <rFont val="Arial"/>
        <family val="2"/>
      </rPr>
      <t>Modellösung</t>
    </r>
    <r>
      <rPr>
        <sz val="11"/>
        <color theme="1"/>
        <rFont val="Arial"/>
        <family val="2"/>
      </rPr>
      <t xml:space="preserve">? Wenn ja, über welche Modellösung </t>
    </r>
  </si>
  <si>
    <r>
      <rPr>
        <i/>
        <sz val="11"/>
        <color theme="1"/>
        <rFont val="Arial"/>
        <family val="2"/>
      </rPr>
      <t>Andere Lösung</t>
    </r>
    <r>
      <rPr>
        <sz val="11"/>
        <color theme="1"/>
        <rFont val="Arial"/>
        <family val="2"/>
      </rPr>
      <t>? Wenn ja, welche?</t>
    </r>
  </si>
  <si>
    <r>
      <t xml:space="preserve">Auf welche Sachverhalte bzw. Gegenstände bezieht sich die Gefährdungsermittlung:
</t>
    </r>
    <r>
      <rPr>
        <i/>
        <sz val="11"/>
        <color theme="1"/>
        <rFont val="Arial"/>
        <family val="2"/>
      </rPr>
      <t>Arbeitsmittel?</t>
    </r>
  </si>
  <si>
    <r>
      <rPr>
        <i/>
        <sz val="11"/>
        <color theme="1"/>
        <rFont val="Arial"/>
        <family val="2"/>
      </rPr>
      <t>Arbeitsprozesse, Verfahren, Methoden</t>
    </r>
    <r>
      <rPr>
        <sz val="11"/>
        <color theme="1"/>
        <rFont val="Arial"/>
        <family val="2"/>
      </rPr>
      <t>?</t>
    </r>
  </si>
  <si>
    <r>
      <rPr>
        <i/>
        <sz val="11"/>
        <color theme="1"/>
        <rFont val="Arial"/>
        <family val="2"/>
      </rPr>
      <t>Tätigkeiten</t>
    </r>
    <r>
      <rPr>
        <sz val="11"/>
        <color theme="1"/>
        <rFont val="Arial"/>
        <family val="2"/>
      </rPr>
      <t>?</t>
    </r>
  </si>
  <si>
    <r>
      <rPr>
        <i/>
        <sz val="11"/>
        <color theme="1"/>
        <rFont val="Arial"/>
        <family val="2"/>
      </rPr>
      <t>Arbeitsplätze</t>
    </r>
    <r>
      <rPr>
        <sz val="11"/>
        <color theme="1"/>
        <rFont val="Arial"/>
        <family val="2"/>
      </rPr>
      <t>?</t>
    </r>
  </si>
  <si>
    <r>
      <rPr>
        <i/>
        <sz val="11"/>
        <color theme="1"/>
        <rFont val="Arial"/>
        <family val="2"/>
      </rPr>
      <t>Produkte</t>
    </r>
    <r>
      <rPr>
        <sz val="11"/>
        <color theme="1"/>
        <rFont val="Arial"/>
        <family val="2"/>
      </rPr>
      <t>?</t>
    </r>
  </si>
  <si>
    <r>
      <rPr>
        <i/>
        <sz val="11"/>
        <color theme="1"/>
        <rFont val="Arial"/>
        <family val="2"/>
      </rPr>
      <t>Gesundheitsgefährdende Stoffe</t>
    </r>
    <r>
      <rPr>
        <sz val="11"/>
        <color theme="1"/>
        <rFont val="Arial"/>
        <family val="2"/>
      </rPr>
      <t>?</t>
    </r>
  </si>
  <si>
    <r>
      <rPr>
        <i/>
        <sz val="11"/>
        <color theme="1"/>
        <rFont val="Arial"/>
        <family val="2"/>
      </rPr>
      <t xml:space="preserve">Andere Sachverhalte oder Gegenstände? </t>
    </r>
    <r>
      <rPr>
        <sz val="11"/>
        <color theme="1"/>
        <rFont val="Arial"/>
        <family val="2"/>
      </rPr>
      <t>Wenn ja, welche?</t>
    </r>
  </si>
  <si>
    <r>
      <t xml:space="preserve">In welchen Situationen werden Risikobeurteilungen durchgeführt:
</t>
    </r>
    <r>
      <rPr>
        <i/>
        <sz val="11"/>
        <color theme="1"/>
        <rFont val="Arial"/>
        <family val="2"/>
      </rPr>
      <t>Bei neuen Arbeitsprozessen, Arbeitsmitteln und neuen Arbeitsstoffen?</t>
    </r>
  </si>
  <si>
    <r>
      <rPr>
        <i/>
        <sz val="11"/>
        <color theme="1"/>
        <rFont val="Arial"/>
        <family val="2"/>
      </rPr>
      <t>Bei Veränderung oder Anpassung von Arbeitsprozessen, -mitteln</t>
    </r>
    <r>
      <rPr>
        <sz val="11"/>
        <color theme="1"/>
        <rFont val="Arial"/>
        <family val="2"/>
      </rPr>
      <t>?</t>
    </r>
  </si>
  <si>
    <r>
      <rPr>
        <i/>
        <sz val="11"/>
        <color theme="1"/>
        <rFont val="Arial"/>
        <family val="2"/>
      </rPr>
      <t>Bei</t>
    </r>
    <r>
      <rPr>
        <sz val="11"/>
        <color theme="1"/>
        <rFont val="Arial"/>
        <family val="2"/>
      </rPr>
      <t xml:space="preserve"> </t>
    </r>
    <r>
      <rPr>
        <i/>
        <sz val="11"/>
        <color theme="1"/>
        <rFont val="Arial"/>
        <family val="2"/>
      </rPr>
      <t>fehlenden oder unvollständigen Regeln der Technik</t>
    </r>
    <r>
      <rPr>
        <sz val="11"/>
        <color theme="1"/>
        <rFont val="Arial"/>
        <family val="2"/>
      </rPr>
      <t>?</t>
    </r>
  </si>
  <si>
    <r>
      <t xml:space="preserve">Besteht in Ihrem Unternehmen eine Weisung, dass die folgenden Ereignisse innerhalb einer bestimmten Zeit gemeldet werden müssen:
</t>
    </r>
    <r>
      <rPr>
        <i/>
        <sz val="11"/>
        <color theme="1"/>
        <rFont val="Arial"/>
        <family val="2"/>
      </rPr>
      <t>Berufsunfälle und Berufskrankheiten</t>
    </r>
    <r>
      <rPr>
        <sz val="11"/>
        <color theme="1"/>
        <rFont val="Arial"/>
        <family val="2"/>
      </rPr>
      <t>?</t>
    </r>
  </si>
  <si>
    <r>
      <rPr>
        <i/>
        <sz val="11"/>
        <color theme="1"/>
        <rFont val="Arial"/>
        <family val="2"/>
      </rPr>
      <t>Sachschäden</t>
    </r>
    <r>
      <rPr>
        <sz val="11"/>
        <color theme="1"/>
        <rFont val="Arial"/>
        <family val="2"/>
      </rPr>
      <t>?</t>
    </r>
  </si>
  <si>
    <r>
      <rPr>
        <i/>
        <sz val="11"/>
        <color theme="1"/>
        <rFont val="Arial"/>
        <family val="2"/>
      </rPr>
      <t>Beinaheunfälle</t>
    </r>
    <r>
      <rPr>
        <sz val="11"/>
        <color theme="1"/>
        <rFont val="Arial"/>
        <family val="2"/>
      </rPr>
      <t>?</t>
    </r>
  </si>
  <si>
    <r>
      <rPr>
        <i/>
        <sz val="11"/>
        <color theme="1"/>
        <rFont val="Arial"/>
        <family val="2"/>
      </rPr>
      <t>Prozessstörungen</t>
    </r>
    <r>
      <rPr>
        <sz val="11"/>
        <color theme="1"/>
        <rFont val="Arial"/>
        <family val="2"/>
      </rPr>
      <t>?</t>
    </r>
  </si>
  <si>
    <r>
      <rPr>
        <i/>
        <sz val="11"/>
        <color theme="1"/>
        <rFont val="Arial"/>
        <family val="2"/>
      </rPr>
      <t>Andere Ereignisse?</t>
    </r>
    <r>
      <rPr>
        <sz val="11"/>
        <color theme="1"/>
        <rFont val="Arial"/>
        <family val="2"/>
      </rPr>
      <t xml:space="preserve">
Wenn ja, welche?</t>
    </r>
  </si>
  <si>
    <r>
      <t xml:space="preserve">Werden die folgenden Ereignisse regelmässig  und systematisch untersucht:
</t>
    </r>
    <r>
      <rPr>
        <i/>
        <sz val="11"/>
        <color theme="1"/>
        <rFont val="Arial"/>
        <family val="2"/>
      </rPr>
      <t>Berufsunfälle und Berufskrankheiten</t>
    </r>
    <r>
      <rPr>
        <sz val="11"/>
        <color theme="1"/>
        <rFont val="Arial"/>
        <family val="2"/>
      </rPr>
      <t>?</t>
    </r>
  </si>
  <si>
    <r>
      <t>A</t>
    </r>
    <r>
      <rPr>
        <i/>
        <sz val="11"/>
        <color theme="1"/>
        <rFont val="Arial"/>
        <family val="2"/>
      </rPr>
      <t>ndere sicherheits- und gesundheitsrelevante Ereignisse?</t>
    </r>
    <r>
      <rPr>
        <sz val="11"/>
        <color theme="1"/>
        <rFont val="Arial"/>
        <family val="2"/>
      </rPr>
      <t xml:space="preserve"> Wenn ja, welche?</t>
    </r>
  </si>
  <si>
    <r>
      <t xml:space="preserve">Welche Stellen/Personen sind an der Massnahmenfindung beteiligt:
</t>
    </r>
    <r>
      <rPr>
        <i/>
        <sz val="11"/>
        <color theme="1"/>
        <rFont val="Arial"/>
        <family val="2"/>
      </rPr>
      <t>Linienvorgesetzte</t>
    </r>
    <r>
      <rPr>
        <sz val="11"/>
        <color theme="1"/>
        <rFont val="Arial"/>
        <family val="2"/>
      </rPr>
      <t>?</t>
    </r>
  </si>
  <si>
    <r>
      <rPr>
        <i/>
        <sz val="11"/>
        <color theme="1"/>
        <rFont val="Arial"/>
        <family val="2"/>
      </rPr>
      <t>Mitarbeitende</t>
    </r>
    <r>
      <rPr>
        <sz val="11"/>
        <color theme="1"/>
        <rFont val="Arial"/>
        <family val="2"/>
      </rPr>
      <t>?</t>
    </r>
  </si>
  <si>
    <r>
      <rPr>
        <i/>
        <sz val="11"/>
        <color theme="1"/>
        <rFont val="Arial"/>
        <family val="2"/>
      </rPr>
      <t>Sicherheitsbeauftragte</t>
    </r>
    <r>
      <rPr>
        <sz val="11"/>
        <color theme="1"/>
        <rFont val="Arial"/>
        <family val="2"/>
      </rPr>
      <t>?</t>
    </r>
  </si>
  <si>
    <r>
      <rPr>
        <i/>
        <sz val="11"/>
        <color theme="1"/>
        <rFont val="Arial"/>
        <family val="2"/>
      </rPr>
      <t>Andere Personen/Stellen</t>
    </r>
    <r>
      <rPr>
        <sz val="11"/>
        <color theme="1"/>
        <rFont val="Arial"/>
        <family val="2"/>
      </rPr>
      <t>? Wenn ja, welche?</t>
    </r>
  </si>
  <si>
    <r>
      <t xml:space="preserve">Wurden in Ihrem Unternehmen in den letzten zwei Jahren Sicherheitsprogramme in den folgenden Bereichen durchgeführt, gestartet oder für dieses oder nächstes Jahr geplant:
</t>
    </r>
    <r>
      <rPr>
        <i/>
        <sz val="11"/>
        <color theme="1"/>
        <rFont val="Arial"/>
        <family val="2"/>
      </rPr>
      <t>Arbeitssicherheit?</t>
    </r>
  </si>
  <si>
    <r>
      <rPr>
        <i/>
        <sz val="11"/>
        <color theme="1"/>
        <rFont val="Arial"/>
        <family val="2"/>
      </rPr>
      <t>Gesundheitsförderung</t>
    </r>
    <r>
      <rPr>
        <sz val="11"/>
        <color theme="1"/>
        <rFont val="Arial"/>
        <family val="2"/>
      </rPr>
      <t>?</t>
    </r>
  </si>
  <si>
    <r>
      <t xml:space="preserve">Wurden in Ihrem Unternehmen in den letzten zwei Jahren die folgenden Sicherheitsprogramme durchgeführt, gestartet oder für dieses oder das nächste Jahr geplant?
</t>
    </r>
    <r>
      <rPr>
        <i/>
        <sz val="11"/>
        <color theme="1"/>
        <rFont val="Arial"/>
        <family val="2"/>
      </rPr>
      <t>Sichere Arbeitsgerüste?</t>
    </r>
  </si>
  <si>
    <r>
      <rPr>
        <i/>
        <sz val="11"/>
        <color theme="1"/>
        <rFont val="Arial"/>
        <family val="2"/>
      </rPr>
      <t>Sicherheit an Pressen</t>
    </r>
    <r>
      <rPr>
        <sz val="11"/>
        <color theme="1"/>
        <rFont val="Arial"/>
        <family val="2"/>
      </rPr>
      <t>?</t>
    </r>
  </si>
  <si>
    <r>
      <rPr>
        <i/>
        <sz val="11"/>
        <color theme="1"/>
        <rFont val="Arial"/>
        <family val="2"/>
      </rPr>
      <t>STOP dem Manipulieren von Schutzeinrichtungen</t>
    </r>
    <r>
      <rPr>
        <sz val="11"/>
        <color theme="1"/>
        <rFont val="Arial"/>
        <family val="2"/>
      </rPr>
      <t>?</t>
    </r>
  </si>
  <si>
    <r>
      <rPr>
        <i/>
        <sz val="11"/>
        <color theme="1"/>
        <rFont val="Arial"/>
        <family val="2"/>
      </rPr>
      <t>stolpern.ch</t>
    </r>
    <r>
      <rPr>
        <sz val="11"/>
        <color theme="1"/>
        <rFont val="Arial"/>
        <family val="2"/>
      </rPr>
      <t>?</t>
    </r>
  </si>
  <si>
    <r>
      <rPr>
        <i/>
        <sz val="11"/>
        <color theme="1"/>
        <rFont val="Arial"/>
        <family val="2"/>
      </rPr>
      <t>Asbest</t>
    </r>
    <r>
      <rPr>
        <sz val="11"/>
        <color theme="1"/>
        <rFont val="Arial"/>
        <family val="2"/>
      </rPr>
      <t>?</t>
    </r>
  </si>
  <si>
    <r>
      <t>S</t>
    </r>
    <r>
      <rPr>
        <i/>
        <sz val="11"/>
        <color theme="1"/>
        <rFont val="Arial"/>
        <family val="2"/>
      </rPr>
      <t>ichere Lehrzeit</t>
    </r>
    <r>
      <rPr>
        <sz val="11"/>
        <color theme="1"/>
        <rFont val="Arial"/>
        <family val="2"/>
      </rPr>
      <t>?</t>
    </r>
  </si>
  <si>
    <r>
      <t>A</t>
    </r>
    <r>
      <rPr>
        <i/>
        <sz val="11"/>
        <color theme="1"/>
        <rFont val="Arial"/>
        <family val="2"/>
      </rPr>
      <t>ndere Sicherheitsprogramme</t>
    </r>
    <r>
      <rPr>
        <sz val="11"/>
        <color theme="1"/>
        <rFont val="Arial"/>
        <family val="2"/>
      </rPr>
      <t>? Wenn ja, welche?</t>
    </r>
  </si>
  <si>
    <r>
      <t xml:space="preserve">Sind die folgenden Institutionen Ihrer Region über spezifische Risiken bzw. mögliche Ereignisse und die in Ihrem Unternehmen gelagerten und verwendeten Arbeitsstoffe informiert:
</t>
    </r>
    <r>
      <rPr>
        <i/>
        <sz val="11"/>
        <color theme="1"/>
        <rFont val="Arial"/>
        <family val="2"/>
      </rPr>
      <t>Ärzte?</t>
    </r>
  </si>
  <si>
    <r>
      <rPr>
        <i/>
        <sz val="11"/>
        <color theme="1"/>
        <rFont val="Arial"/>
        <family val="2"/>
      </rPr>
      <t>Spitäler/Ambulanzen</t>
    </r>
    <r>
      <rPr>
        <sz val="11"/>
        <color theme="1"/>
        <rFont val="Arial"/>
        <family val="2"/>
      </rPr>
      <t>?</t>
    </r>
  </si>
  <si>
    <r>
      <rPr>
        <i/>
        <sz val="11"/>
        <color theme="1"/>
        <rFont val="Arial"/>
        <family val="2"/>
      </rPr>
      <t>Feuerwehr</t>
    </r>
    <r>
      <rPr>
        <sz val="11"/>
        <color theme="1"/>
        <rFont val="Arial"/>
        <family val="2"/>
      </rPr>
      <t>?</t>
    </r>
  </si>
  <si>
    <r>
      <rPr>
        <i/>
        <sz val="11"/>
        <color theme="1"/>
        <rFont val="Arial"/>
        <family val="2"/>
      </rPr>
      <t>Polizei</t>
    </r>
    <r>
      <rPr>
        <sz val="11"/>
        <color theme="1"/>
        <rFont val="Arial"/>
        <family val="2"/>
      </rPr>
      <t>?</t>
    </r>
  </si>
  <si>
    <r>
      <t xml:space="preserve">Ist der Notfalldienst auch gewährleistet bei: 
</t>
    </r>
    <r>
      <rPr>
        <i/>
        <sz val="11"/>
        <color theme="1"/>
        <rFont val="Arial"/>
        <family val="2"/>
      </rPr>
      <t>Schichtarbeit</t>
    </r>
    <r>
      <rPr>
        <sz val="11"/>
        <color theme="1"/>
        <rFont val="Arial"/>
        <family val="2"/>
      </rPr>
      <t>?</t>
    </r>
  </si>
  <si>
    <r>
      <rPr>
        <i/>
        <sz val="11"/>
        <color theme="1"/>
        <rFont val="Arial"/>
        <family val="2"/>
      </rPr>
      <t>Wochenendarbeit</t>
    </r>
    <r>
      <rPr>
        <sz val="11"/>
        <color theme="1"/>
        <rFont val="Arial"/>
        <family val="2"/>
      </rPr>
      <t>?</t>
    </r>
  </si>
  <si>
    <r>
      <rPr>
        <i/>
        <sz val="11"/>
        <color theme="1"/>
        <rFont val="Arial"/>
        <family val="2"/>
      </rPr>
      <t>Überzeit</t>
    </r>
    <r>
      <rPr>
        <sz val="11"/>
        <color theme="1"/>
        <rFont val="Arial"/>
        <family val="2"/>
      </rPr>
      <t>?</t>
    </r>
  </si>
  <si>
    <r>
      <t>S</t>
    </r>
    <r>
      <rPr>
        <i/>
        <sz val="11"/>
        <color theme="1"/>
        <rFont val="Arial"/>
        <family val="2"/>
      </rPr>
      <t>peziellen Arbeitseinsätzen</t>
    </r>
    <r>
      <rPr>
        <sz val="11"/>
        <color theme="1"/>
        <rFont val="Arial"/>
        <family val="2"/>
      </rPr>
      <t>?</t>
    </r>
  </si>
  <si>
    <r>
      <rPr>
        <i/>
        <sz val="11"/>
        <color theme="1"/>
        <rFont val="Arial"/>
        <family val="2"/>
      </rPr>
      <t>Allein arbeitenden Personen</t>
    </r>
    <r>
      <rPr>
        <sz val="11"/>
        <color theme="1"/>
        <rFont val="Arial"/>
        <family val="2"/>
      </rPr>
      <t>?</t>
    </r>
  </si>
  <si>
    <r>
      <t xml:space="preserve">Wird das konkrete Verhalten der Beschäftigten in Notfallsituationen, wie Unfällen, Zwischenfällen usw:
</t>
    </r>
    <r>
      <rPr>
        <i/>
        <sz val="11"/>
        <color theme="1"/>
        <rFont val="Arial"/>
        <family val="2"/>
      </rPr>
      <t>instruiert</t>
    </r>
    <r>
      <rPr>
        <sz val="11"/>
        <color theme="1"/>
        <rFont val="Arial"/>
        <family val="2"/>
      </rPr>
      <t>?</t>
    </r>
  </si>
  <si>
    <r>
      <rPr>
        <i/>
        <sz val="11"/>
        <color theme="1"/>
        <rFont val="Arial"/>
        <family val="2"/>
      </rPr>
      <t>geübt</t>
    </r>
    <r>
      <rPr>
        <sz val="11"/>
        <color theme="1"/>
        <rFont val="Arial"/>
        <family val="2"/>
      </rPr>
      <t>?</t>
    </r>
  </si>
  <si>
    <r>
      <rPr>
        <i/>
        <sz val="11"/>
        <color theme="1"/>
        <rFont val="Arial"/>
        <family val="2"/>
      </rPr>
      <t>überprüft</t>
    </r>
    <r>
      <rPr>
        <sz val="11"/>
        <color theme="1"/>
        <rFont val="Arial"/>
        <family val="2"/>
      </rPr>
      <t>?</t>
    </r>
  </si>
  <si>
    <r>
      <t xml:space="preserve">Ist festgelegt, wer bei besonderen Ereignissen (Unfälle, Brände, usw.) die folgenden Personen/Stellen informiert?
</t>
    </r>
    <r>
      <rPr>
        <i/>
        <sz val="11"/>
        <color theme="1"/>
        <rFont val="Arial"/>
        <family val="2"/>
      </rPr>
      <t>Angehörige von Verletzten</t>
    </r>
    <r>
      <rPr>
        <sz val="11"/>
        <color theme="1"/>
        <rFont val="Arial"/>
        <family val="2"/>
      </rPr>
      <t>?</t>
    </r>
  </si>
  <si>
    <r>
      <rPr>
        <i/>
        <sz val="11"/>
        <color theme="1"/>
        <rFont val="Arial"/>
        <family val="2"/>
      </rPr>
      <t>Versicherungen</t>
    </r>
    <r>
      <rPr>
        <sz val="11"/>
        <color theme="1"/>
        <rFont val="Arial"/>
        <family val="2"/>
      </rPr>
      <t>?</t>
    </r>
  </si>
  <si>
    <r>
      <rPr>
        <i/>
        <sz val="11"/>
        <color theme="1"/>
        <rFont val="Arial"/>
        <family val="2"/>
      </rPr>
      <t>Amtsstellen</t>
    </r>
    <r>
      <rPr>
        <sz val="11"/>
        <color theme="1"/>
        <rFont val="Arial"/>
        <family val="2"/>
      </rPr>
      <t>?</t>
    </r>
  </si>
  <si>
    <r>
      <rPr>
        <i/>
        <sz val="11"/>
        <color theme="1"/>
        <rFont val="Arial"/>
        <family val="2"/>
      </rPr>
      <t>Die Medien</t>
    </r>
    <r>
      <rPr>
        <sz val="11"/>
        <color theme="1"/>
        <rFont val="Arial"/>
        <family val="2"/>
      </rPr>
      <t>?</t>
    </r>
  </si>
  <si>
    <r>
      <t xml:space="preserve">Ist die Information und Mitsprache der Mitarbeitenden gemäss Mitwirkungsgesetz* geregelt?
</t>
    </r>
    <r>
      <rPr>
        <sz val="9"/>
        <color theme="1"/>
        <rFont val="Arial"/>
        <family val="2"/>
      </rPr>
      <t>* Mitwirkungsgesetz: Bundesgesetz über die Information und Mitsprache der Arbeitnehmerinnen und Arbeitnehmer in den Betrieben</t>
    </r>
  </si>
  <si>
    <r>
      <t xml:space="preserve">Welche Form der Arbeitnehmervertretung besteht in Ihrem Unternehmen:
</t>
    </r>
    <r>
      <rPr>
        <i/>
        <sz val="11"/>
        <color theme="1"/>
        <rFont val="Arial"/>
        <family val="2"/>
      </rPr>
      <t>Einzelne Mitarbeiterinnen und Mitarbeiter direkt?</t>
    </r>
  </si>
  <si>
    <r>
      <rPr>
        <i/>
        <sz val="11"/>
        <color theme="1"/>
        <rFont val="Arial"/>
        <family val="2"/>
      </rPr>
      <t>Von den Arbeitnehmenden gewählte Vertretung</t>
    </r>
    <r>
      <rPr>
        <sz val="11"/>
        <color theme="1"/>
        <rFont val="Arial"/>
        <family val="2"/>
      </rPr>
      <t>?</t>
    </r>
  </si>
  <si>
    <r>
      <t xml:space="preserve">Bestehen in Ihrem Unternehmen Qualitätszirkel* oder andere Mittel und Formen zur Nutzung des Kreativpotenzials der Mitarbeitenden? Wenn ja, welche?
</t>
    </r>
    <r>
      <rPr>
        <sz val="9"/>
        <color theme="1"/>
        <rFont val="Arial"/>
        <family val="2"/>
      </rPr>
      <t>*Qualitätszirkel: Arbeitsgruppe für die kontinuierliche Qualitätsverbesserung.</t>
    </r>
  </si>
  <si>
    <r>
      <t xml:space="preserve">Gibt es menschliche Konflikte zwischen:
</t>
    </r>
    <r>
      <rPr>
        <i/>
        <sz val="11"/>
        <color theme="1"/>
        <rFont val="Arial"/>
        <family val="2"/>
      </rPr>
      <t>Mitarbeitenden</t>
    </r>
    <r>
      <rPr>
        <sz val="11"/>
        <color theme="1"/>
        <rFont val="Arial"/>
        <family val="2"/>
      </rPr>
      <t>?</t>
    </r>
  </si>
  <si>
    <r>
      <rPr>
        <i/>
        <sz val="11"/>
        <color theme="1"/>
        <rFont val="Arial"/>
        <family val="2"/>
      </rPr>
      <t>Abteilungen</t>
    </r>
    <r>
      <rPr>
        <sz val="11"/>
        <color theme="1"/>
        <rFont val="Arial"/>
        <family val="2"/>
      </rPr>
      <t>?</t>
    </r>
  </si>
  <si>
    <r>
      <rPr>
        <i/>
        <sz val="11"/>
        <color theme="1"/>
        <rFont val="Arial"/>
        <family val="2"/>
      </rPr>
      <t>Vorgesetzten und Untergebenen</t>
    </r>
    <r>
      <rPr>
        <sz val="11"/>
        <color theme="1"/>
        <rFont val="Arial"/>
        <family val="2"/>
      </rPr>
      <t>?</t>
    </r>
  </si>
  <si>
    <r>
      <rPr>
        <i/>
        <sz val="11"/>
        <color theme="1"/>
        <rFont val="Arial"/>
        <family val="2"/>
      </rPr>
      <t>Vorgesetzten</t>
    </r>
    <r>
      <rPr>
        <sz val="11"/>
        <color theme="1"/>
        <rFont val="Arial"/>
        <family val="2"/>
      </rPr>
      <t>?</t>
    </r>
  </si>
  <si>
    <r>
      <t xml:space="preserve">Treten an den Arbeitsplätzen Ihres Unternehmens die folgenden sicherheits-und gesundheitsrelevante Belastungen physischer Art auf:
</t>
    </r>
    <r>
      <rPr>
        <i/>
        <sz val="11"/>
        <color theme="1"/>
        <rFont val="Arial"/>
        <family val="2"/>
      </rPr>
      <t>Hohe Herz-Kreislaufbelastungen, körperliche Schwerarbeit</t>
    </r>
    <r>
      <rPr>
        <sz val="11"/>
        <color theme="1"/>
        <rFont val="Arial"/>
        <family val="2"/>
      </rPr>
      <t>?</t>
    </r>
  </si>
  <si>
    <r>
      <rPr>
        <i/>
        <sz val="11"/>
        <color theme="1"/>
        <rFont val="Arial"/>
        <family val="2"/>
      </rPr>
      <t>Hohe Belastungen des Knochen- und Muskelapparats</t>
    </r>
    <r>
      <rPr>
        <sz val="11"/>
        <color theme="1"/>
        <rFont val="Arial"/>
        <family val="2"/>
      </rPr>
      <t>?</t>
    </r>
  </si>
  <si>
    <r>
      <rPr>
        <i/>
        <sz val="11"/>
        <color theme="1"/>
        <rFont val="Arial"/>
        <family val="2"/>
      </rPr>
      <t>Hohe einseitige, lokale Körperbelastungen</t>
    </r>
    <r>
      <rPr>
        <sz val="11"/>
        <color theme="1"/>
        <rFont val="Arial"/>
        <family val="2"/>
      </rPr>
      <t>?</t>
    </r>
  </si>
  <si>
    <r>
      <rPr>
        <i/>
        <sz val="11"/>
        <color theme="1"/>
        <rFont val="Arial"/>
        <family val="2"/>
      </rPr>
      <t>Hohe Belastungen der Atemorgane</t>
    </r>
    <r>
      <rPr>
        <sz val="11"/>
        <color theme="1"/>
        <rFont val="Arial"/>
        <family val="2"/>
      </rPr>
      <t>?</t>
    </r>
  </si>
  <si>
    <r>
      <rPr>
        <i/>
        <sz val="11"/>
        <color theme="1"/>
        <rFont val="Arial"/>
        <family val="2"/>
      </rPr>
      <t>Hohe Anteile an statischen Arbeitshaltungen</t>
    </r>
    <r>
      <rPr>
        <sz val="11"/>
        <color theme="1"/>
        <rFont val="Arial"/>
        <family val="2"/>
      </rPr>
      <t xml:space="preserve">/ </t>
    </r>
    <r>
      <rPr>
        <i/>
        <sz val="11"/>
        <color theme="1"/>
        <rFont val="Arial"/>
        <family val="2"/>
      </rPr>
      <t>Muskelarbeit</t>
    </r>
    <r>
      <rPr>
        <sz val="11"/>
        <color theme="1"/>
        <rFont val="Arial"/>
        <family val="2"/>
      </rPr>
      <t xml:space="preserve"> auf?</t>
    </r>
  </si>
  <si>
    <r>
      <t>U</t>
    </r>
    <r>
      <rPr>
        <i/>
        <sz val="11"/>
        <color theme="1"/>
        <rFont val="Arial"/>
        <family val="2"/>
      </rPr>
      <t>ngünstige Körperhaltungen und Zwangshaltungen</t>
    </r>
    <r>
      <rPr>
        <sz val="11"/>
        <color theme="1"/>
        <rFont val="Arial"/>
        <family val="2"/>
      </rPr>
      <t xml:space="preserve"> auf?</t>
    </r>
  </si>
  <si>
    <r>
      <rPr>
        <i/>
        <sz val="11"/>
        <color theme="1"/>
        <rFont val="Arial"/>
        <family val="2"/>
      </rPr>
      <t>Belastungen aufgrund des</t>
    </r>
    <r>
      <rPr>
        <sz val="11"/>
        <color theme="1"/>
        <rFont val="Arial"/>
        <family val="2"/>
      </rPr>
      <t xml:space="preserve"> </t>
    </r>
    <r>
      <rPr>
        <i/>
        <sz val="11"/>
        <color theme="1"/>
        <rFont val="Arial"/>
        <family val="2"/>
      </rPr>
      <t>Hebens, Haltens, Tragens und Bewegens schwerer Lasten auf</t>
    </r>
    <r>
      <rPr>
        <sz val="11"/>
        <color theme="1"/>
        <rFont val="Arial"/>
        <family val="2"/>
      </rPr>
      <t>?</t>
    </r>
  </si>
  <si>
    <r>
      <rPr>
        <i/>
        <sz val="11"/>
        <color theme="1"/>
        <rFont val="Arial"/>
        <family val="2"/>
      </rPr>
      <t>Lärm</t>
    </r>
    <r>
      <rPr>
        <sz val="11"/>
        <color theme="1"/>
        <rFont val="Arial"/>
        <family val="2"/>
      </rPr>
      <t>?</t>
    </r>
  </si>
  <si>
    <r>
      <rPr>
        <i/>
        <sz val="11"/>
        <color theme="1"/>
        <rFont val="Arial"/>
        <family val="2"/>
      </rPr>
      <t>Abgase</t>
    </r>
    <r>
      <rPr>
        <sz val="11"/>
        <color theme="1"/>
        <rFont val="Arial"/>
        <family val="2"/>
      </rPr>
      <t>?</t>
    </r>
  </si>
  <si>
    <r>
      <rPr>
        <i/>
        <sz val="11"/>
        <color theme="1"/>
        <rFont val="Arial"/>
        <family val="2"/>
      </rPr>
      <t>Hitze</t>
    </r>
    <r>
      <rPr>
        <sz val="11"/>
        <color theme="1"/>
        <rFont val="Arial"/>
        <family val="2"/>
      </rPr>
      <t>?</t>
    </r>
  </si>
  <si>
    <r>
      <rPr>
        <i/>
        <sz val="11"/>
        <color theme="1"/>
        <rFont val="Arial"/>
        <family val="2"/>
      </rPr>
      <t>Kälte</t>
    </r>
    <r>
      <rPr>
        <sz val="11"/>
        <color theme="1"/>
        <rFont val="Arial"/>
        <family val="2"/>
      </rPr>
      <t>?</t>
    </r>
  </si>
  <si>
    <r>
      <rPr>
        <i/>
        <sz val="11"/>
        <color theme="1"/>
        <rFont val="Arial"/>
        <family val="2"/>
      </rPr>
      <t>Feuchtigkeit</t>
    </r>
    <r>
      <rPr>
        <sz val="11"/>
        <color theme="1"/>
        <rFont val="Arial"/>
        <family val="2"/>
      </rPr>
      <t>?</t>
    </r>
  </si>
  <si>
    <r>
      <rPr>
        <i/>
        <sz val="11"/>
        <color theme="1"/>
        <rFont val="Arial"/>
        <family val="2"/>
      </rPr>
      <t>Nässe</t>
    </r>
    <r>
      <rPr>
        <sz val="11"/>
        <color theme="1"/>
        <rFont val="Arial"/>
        <family val="2"/>
      </rPr>
      <t>?</t>
    </r>
  </si>
  <si>
    <r>
      <rPr>
        <i/>
        <sz val="11"/>
        <color theme="1"/>
        <rFont val="Arial"/>
        <family val="2"/>
      </rPr>
      <t>Zugluft</t>
    </r>
    <r>
      <rPr>
        <sz val="11"/>
        <color theme="1"/>
        <rFont val="Arial"/>
        <family val="2"/>
      </rPr>
      <t>?</t>
    </r>
  </si>
  <si>
    <r>
      <rPr>
        <i/>
        <sz val="11"/>
        <color theme="1"/>
        <rFont val="Arial"/>
        <family val="2"/>
      </rPr>
      <t>Dämpfe</t>
    </r>
    <r>
      <rPr>
        <sz val="11"/>
        <color theme="1"/>
        <rFont val="Arial"/>
        <family val="2"/>
      </rPr>
      <t>?</t>
    </r>
  </si>
  <si>
    <r>
      <rPr>
        <i/>
        <sz val="11"/>
        <color theme="1"/>
        <rFont val="Arial"/>
        <family val="2"/>
      </rPr>
      <t>Stäube</t>
    </r>
    <r>
      <rPr>
        <sz val="11"/>
        <color theme="1"/>
        <rFont val="Arial"/>
        <family val="2"/>
      </rPr>
      <t>?</t>
    </r>
  </si>
  <si>
    <r>
      <rPr>
        <i/>
        <sz val="11"/>
        <color theme="1"/>
        <rFont val="Arial"/>
        <family val="2"/>
      </rPr>
      <t>Nebel</t>
    </r>
    <r>
      <rPr>
        <sz val="11"/>
        <color theme="1"/>
        <rFont val="Arial"/>
        <family val="2"/>
      </rPr>
      <t>?</t>
    </r>
  </si>
  <si>
    <r>
      <rPr>
        <i/>
        <sz val="11"/>
        <color theme="1"/>
        <rFont val="Arial"/>
        <family val="2"/>
      </rPr>
      <t>Rauch</t>
    </r>
    <r>
      <rPr>
        <sz val="11"/>
        <color theme="1"/>
        <rFont val="Arial"/>
        <family val="2"/>
      </rPr>
      <t>?</t>
    </r>
  </si>
  <si>
    <r>
      <rPr>
        <i/>
        <sz val="11"/>
        <color theme="1"/>
        <rFont val="Arial"/>
        <family val="2"/>
      </rPr>
      <t>Gase</t>
    </r>
    <r>
      <rPr>
        <sz val="11"/>
        <color theme="1"/>
        <rFont val="Arial"/>
        <family val="2"/>
      </rPr>
      <t>?</t>
    </r>
  </si>
  <si>
    <r>
      <rPr>
        <i/>
        <sz val="11"/>
        <color theme="1"/>
        <rFont val="Arial"/>
        <family val="2"/>
      </rPr>
      <t>Stoffe</t>
    </r>
    <r>
      <rPr>
        <sz val="11"/>
        <color theme="1"/>
        <rFont val="Arial"/>
        <family val="2"/>
      </rPr>
      <t>?</t>
    </r>
  </si>
  <si>
    <r>
      <rPr>
        <i/>
        <sz val="11"/>
        <color theme="1"/>
        <rFont val="Arial"/>
        <family val="2"/>
      </rPr>
      <t>Strahlen/Strahlungsfelder</t>
    </r>
    <r>
      <rPr>
        <sz val="11"/>
        <color theme="1"/>
        <rFont val="Arial"/>
        <family val="2"/>
      </rPr>
      <t>?</t>
    </r>
  </si>
  <si>
    <r>
      <rPr>
        <i/>
        <sz val="11"/>
        <color theme="1"/>
        <rFont val="Arial"/>
        <family val="2"/>
      </rPr>
      <t>Geruchsbelästigungen</t>
    </r>
    <r>
      <rPr>
        <sz val="11"/>
        <color theme="1"/>
        <rFont val="Arial"/>
        <family val="2"/>
      </rPr>
      <t>?</t>
    </r>
  </si>
  <si>
    <r>
      <rPr>
        <i/>
        <sz val="11"/>
        <color theme="1"/>
        <rFont val="Arial"/>
        <family val="2"/>
      </rPr>
      <t>Lichtverhältnisse, Beleuchtung</t>
    </r>
    <r>
      <rPr>
        <sz val="11"/>
        <color theme="1"/>
        <rFont val="Arial"/>
        <family val="2"/>
      </rPr>
      <t>?</t>
    </r>
  </si>
  <si>
    <r>
      <rPr>
        <i/>
        <sz val="11"/>
        <color theme="1"/>
        <rFont val="Arial"/>
        <family val="2"/>
      </rPr>
      <t>Sichtverhältnisse</t>
    </r>
    <r>
      <rPr>
        <sz val="11"/>
        <color theme="1"/>
        <rFont val="Arial"/>
        <family val="2"/>
      </rPr>
      <t>?</t>
    </r>
  </si>
  <si>
    <r>
      <t>A</t>
    </r>
    <r>
      <rPr>
        <i/>
        <sz val="11"/>
        <color theme="1"/>
        <rFont val="Arial"/>
        <family val="2"/>
      </rPr>
      <t>ndere physische Belastungen</t>
    </r>
    <r>
      <rPr>
        <sz val="11"/>
        <color theme="1"/>
        <rFont val="Arial"/>
        <family val="2"/>
      </rPr>
      <t xml:space="preserve">? Wenn ja, welche? </t>
    </r>
  </si>
  <si>
    <r>
      <t xml:space="preserve">Treten an den Arbeitsplätzen Ihres Unternehmens die folgenden sicherheits-und gesundheitsrelevante Belastungen psychischer Art auf:
</t>
    </r>
    <r>
      <rPr>
        <i/>
        <sz val="11"/>
        <color theme="1"/>
        <rFont val="Arial"/>
        <family val="2"/>
      </rPr>
      <t>Unklare Zuständigkeiten</t>
    </r>
    <r>
      <rPr>
        <sz val="11"/>
        <color theme="1"/>
        <rFont val="Arial"/>
        <family val="2"/>
      </rPr>
      <t>?</t>
    </r>
  </si>
  <si>
    <r>
      <rPr>
        <i/>
        <sz val="11"/>
        <color theme="1"/>
        <rFont val="Arial"/>
        <family val="2"/>
      </rPr>
      <t>Unverhältnismässigkeit von Aufgaben, Kompetenzen und Verantwortlichkeit</t>
    </r>
    <r>
      <rPr>
        <sz val="11"/>
        <color theme="1"/>
        <rFont val="Arial"/>
        <family val="2"/>
      </rPr>
      <t>?</t>
    </r>
  </si>
  <si>
    <r>
      <rPr>
        <i/>
        <sz val="11"/>
        <color theme="1"/>
        <rFont val="Arial"/>
        <family val="2"/>
      </rPr>
      <t>Widersprüchliche Informationen und Arbeitsanweisungen</t>
    </r>
    <r>
      <rPr>
        <sz val="11"/>
        <color theme="1"/>
        <rFont val="Arial"/>
        <family val="2"/>
      </rPr>
      <t>?</t>
    </r>
  </si>
  <si>
    <r>
      <rPr>
        <i/>
        <sz val="11"/>
        <color theme="1"/>
        <rFont val="Arial"/>
        <family val="2"/>
      </rPr>
      <t>Informations- und Kommunikationsmängel</t>
    </r>
    <r>
      <rPr>
        <sz val="11"/>
        <color theme="1"/>
        <rFont val="Arial"/>
        <family val="2"/>
      </rPr>
      <t>?</t>
    </r>
  </si>
  <si>
    <r>
      <rPr>
        <i/>
        <sz val="11"/>
        <color theme="1"/>
        <rFont val="Arial"/>
        <family val="2"/>
      </rPr>
      <t>Führungsmängel</t>
    </r>
    <r>
      <rPr>
        <sz val="11"/>
        <color theme="1"/>
        <rFont val="Arial"/>
        <family val="2"/>
      </rPr>
      <t>?</t>
    </r>
  </si>
  <si>
    <r>
      <rPr>
        <i/>
        <sz val="11"/>
        <color theme="1"/>
        <rFont val="Arial"/>
        <family val="2"/>
      </rPr>
      <t>Soziale Spannungen im Betrieb</t>
    </r>
    <r>
      <rPr>
        <sz val="11"/>
        <color theme="1"/>
        <rFont val="Arial"/>
        <family val="2"/>
      </rPr>
      <t>?</t>
    </r>
  </si>
  <si>
    <r>
      <t>S</t>
    </r>
    <r>
      <rPr>
        <i/>
        <sz val="11"/>
        <color theme="1"/>
        <rFont val="Arial"/>
        <family val="2"/>
      </rPr>
      <t>oziale Spannungen in Gruppen</t>
    </r>
    <r>
      <rPr>
        <sz val="11"/>
        <color theme="1"/>
        <rFont val="Arial"/>
        <family val="2"/>
      </rPr>
      <t>?</t>
    </r>
  </si>
  <si>
    <r>
      <rPr>
        <i/>
        <sz val="11"/>
        <color theme="1"/>
        <rFont val="Arial"/>
        <family val="2"/>
      </rPr>
      <t>Mangelhafte Zusammenarbeit zwischen einzelnen Organisationseinheiten</t>
    </r>
    <r>
      <rPr>
        <sz val="11"/>
        <color theme="1"/>
        <rFont val="Arial"/>
        <family val="2"/>
      </rPr>
      <t>?</t>
    </r>
  </si>
  <si>
    <r>
      <rPr>
        <i/>
        <sz val="11"/>
        <color theme="1"/>
        <rFont val="Arial"/>
        <family val="2"/>
      </rPr>
      <t>Unbefriedigenden Arbeitsinhalte</t>
    </r>
    <r>
      <rPr>
        <sz val="11"/>
        <color theme="1"/>
        <rFont val="Arial"/>
        <family val="2"/>
      </rPr>
      <t>?</t>
    </r>
  </si>
  <si>
    <r>
      <rPr>
        <i/>
        <sz val="11"/>
        <color theme="1"/>
        <rFont val="Arial"/>
        <family val="2"/>
      </rPr>
      <t>Hohen Arbeitstempo, welches von technischen Einrichtungen und Geräten bestimmt wird</t>
    </r>
    <r>
      <rPr>
        <sz val="11"/>
        <color theme="1"/>
        <rFont val="Arial"/>
        <family val="2"/>
      </rPr>
      <t>?</t>
    </r>
  </si>
  <si>
    <r>
      <rPr>
        <i/>
        <sz val="11"/>
        <color theme="1"/>
        <rFont val="Arial"/>
        <family val="2"/>
      </rPr>
      <t>Häufige Überzeit</t>
    </r>
    <r>
      <rPr>
        <sz val="11"/>
        <color theme="1"/>
        <rFont val="Arial"/>
        <family val="2"/>
      </rPr>
      <t>?</t>
    </r>
  </si>
  <si>
    <r>
      <rPr>
        <i/>
        <sz val="11"/>
        <color theme="1"/>
        <rFont val="Arial"/>
        <family val="2"/>
      </rPr>
      <t>Hohe Arbeitsbelastung durch unverhältnismässige Arbeitsvolumen</t>
    </r>
    <r>
      <rPr>
        <sz val="11"/>
        <color theme="1"/>
        <rFont val="Arial"/>
        <family val="2"/>
      </rPr>
      <t>?</t>
    </r>
  </si>
  <si>
    <r>
      <rPr>
        <i/>
        <sz val="11"/>
        <color theme="1"/>
        <rFont val="Arial"/>
        <family val="2"/>
      </rPr>
      <t>Häufige Stresssituationen</t>
    </r>
    <r>
      <rPr>
        <sz val="11"/>
        <color theme="1"/>
        <rFont val="Arial"/>
        <family val="2"/>
      </rPr>
      <t>?</t>
    </r>
  </si>
  <si>
    <r>
      <rPr>
        <i/>
        <sz val="11"/>
        <color theme="1"/>
        <rFont val="Arial"/>
        <family val="2"/>
      </rPr>
      <t>Hoher Grad an Fremdbestimmung</t>
    </r>
    <r>
      <rPr>
        <sz val="11"/>
        <color theme="1"/>
        <rFont val="Arial"/>
        <family val="2"/>
      </rPr>
      <t>?</t>
    </r>
  </si>
  <si>
    <r>
      <t xml:space="preserve">Wie sind die Arbeitszeiten in Ihrem Unternehmen geregelt?
</t>
    </r>
    <r>
      <rPr>
        <i/>
        <sz val="11"/>
        <color theme="1"/>
        <rFont val="Arial"/>
        <family val="2"/>
      </rPr>
      <t xml:space="preserve">Tagesarbeitszeit?
</t>
    </r>
    <r>
      <rPr>
        <sz val="11"/>
        <color theme="1"/>
        <rFont val="Arial"/>
        <family val="2"/>
      </rPr>
      <t>Wenn ja, wieviele Stunden beträgt die Tagesarbeitszeit?</t>
    </r>
  </si>
  <si>
    <r>
      <rPr>
        <i/>
        <sz val="11"/>
        <color theme="1"/>
        <rFont val="Arial"/>
        <family val="2"/>
      </rPr>
      <t>Wochenarbeitszeit</t>
    </r>
    <r>
      <rPr>
        <sz val="11"/>
        <color theme="1"/>
        <rFont val="Arial"/>
        <family val="2"/>
      </rPr>
      <t>?
Wenn ja, wieviele Stunden beträgt die Wochenarbeitszeit?</t>
    </r>
  </si>
  <si>
    <r>
      <rPr>
        <i/>
        <sz val="11"/>
        <color theme="1"/>
        <rFont val="Arial"/>
        <family val="2"/>
      </rPr>
      <t>Jahresarbeitszeit (Sollarbeitszeit)</t>
    </r>
    <r>
      <rPr>
        <sz val="11"/>
        <color theme="1"/>
        <rFont val="Arial"/>
        <family val="2"/>
      </rPr>
      <t>? Wenn ja, wieviele Stunden beträgt die Jahresarbeitszeit?</t>
    </r>
  </si>
  <si>
    <r>
      <t xml:space="preserve">Gibt es in Ihrem Unternehmen eine offizielle Arbeitspause:
</t>
    </r>
    <r>
      <rPr>
        <i/>
        <sz val="11"/>
        <color theme="1"/>
        <rFont val="Arial"/>
        <family val="2"/>
      </rPr>
      <t xml:space="preserve">Am Vormittag? </t>
    </r>
    <r>
      <rPr>
        <sz val="11"/>
        <color theme="1"/>
        <rFont val="Arial"/>
        <family val="2"/>
      </rPr>
      <t>Wenn ja, wie lange dauert diese?</t>
    </r>
  </si>
  <si>
    <r>
      <rPr>
        <i/>
        <sz val="11"/>
        <color theme="1"/>
        <rFont val="Arial"/>
        <family val="2"/>
      </rPr>
      <t>Am Mittag</t>
    </r>
    <r>
      <rPr>
        <sz val="11"/>
        <color theme="1"/>
        <rFont val="Arial"/>
        <family val="2"/>
      </rPr>
      <t>? Falls ja, wie lange dauert diese?</t>
    </r>
  </si>
  <si>
    <r>
      <rPr>
        <i/>
        <sz val="11"/>
        <color theme="1"/>
        <rFont val="Arial"/>
        <family val="2"/>
      </rPr>
      <t>Am Nachmittag</t>
    </r>
    <r>
      <rPr>
        <sz val="11"/>
        <color theme="1"/>
        <rFont val="Arial"/>
        <family val="2"/>
      </rPr>
      <t>? Falls ja, wie lange dauert diese?</t>
    </r>
  </si>
  <si>
    <r>
      <rPr>
        <i/>
        <sz val="11"/>
        <color theme="1"/>
        <rFont val="Arial"/>
        <family val="2"/>
      </rPr>
      <t>Schichtpausen</t>
    </r>
    <r>
      <rPr>
        <sz val="11"/>
        <color theme="1"/>
        <rFont val="Arial"/>
        <family val="2"/>
      </rPr>
      <t>? Falls ja, wie lange dauern diese?</t>
    </r>
  </si>
  <si>
    <r>
      <t xml:space="preserve">Welche Lohnform wird in Ihrem Unternehmen angewendet:
</t>
    </r>
    <r>
      <rPr>
        <i/>
        <sz val="11"/>
        <color theme="1"/>
        <rFont val="Arial"/>
        <family val="2"/>
      </rPr>
      <t>Zeitlohn (feste Anstellung, Monats- oder Stundenlohn)</t>
    </r>
    <r>
      <rPr>
        <sz val="11"/>
        <color theme="1"/>
        <rFont val="Arial"/>
        <family val="2"/>
      </rPr>
      <t>?</t>
    </r>
  </si>
  <si>
    <r>
      <rPr>
        <i/>
        <sz val="11"/>
        <color theme="1"/>
        <rFont val="Arial"/>
        <family val="2"/>
      </rPr>
      <t>Prämienlohn</t>
    </r>
    <r>
      <rPr>
        <sz val="11"/>
        <color theme="1"/>
        <rFont val="Arial"/>
        <family val="2"/>
      </rPr>
      <t xml:space="preserve"> </t>
    </r>
    <r>
      <rPr>
        <i/>
        <sz val="11"/>
        <color theme="1"/>
        <rFont val="Arial"/>
        <family val="2"/>
      </rPr>
      <t>(Zeitlohn plus Prämien)</t>
    </r>
    <r>
      <rPr>
        <sz val="11"/>
        <color theme="1"/>
        <rFont val="Arial"/>
        <family val="2"/>
      </rPr>
      <t>?</t>
    </r>
  </si>
  <si>
    <r>
      <rPr>
        <i/>
        <sz val="11"/>
        <color theme="1"/>
        <rFont val="Arial"/>
        <family val="2"/>
      </rPr>
      <t>Leistungslohn</t>
    </r>
    <r>
      <rPr>
        <sz val="11"/>
        <color theme="1"/>
        <rFont val="Arial"/>
        <family val="2"/>
      </rPr>
      <t xml:space="preserve"> </t>
    </r>
    <r>
      <rPr>
        <i/>
        <sz val="11"/>
        <color theme="1"/>
        <rFont val="Arial"/>
        <family val="2"/>
      </rPr>
      <t>(Akkordlohn, Stücklohn)?</t>
    </r>
  </si>
  <si>
    <t>Gruppenakkordlohn?</t>
  </si>
  <si>
    <r>
      <rPr>
        <sz val="11"/>
        <color theme="1"/>
        <rFont val="Arial"/>
        <family val="2"/>
      </rPr>
      <t>Wird bei Akkordlohn ein leistungsunabhängiger Grundlohn garantiert</t>
    </r>
    <r>
      <rPr>
        <i/>
        <sz val="11"/>
        <color theme="1"/>
        <rFont val="Arial"/>
        <family val="2"/>
      </rPr>
      <t>?</t>
    </r>
  </si>
  <si>
    <r>
      <t xml:space="preserve">Wie häufig werden regelmässige Sicherheitsaudits durchgeführt:
</t>
    </r>
    <r>
      <rPr>
        <i/>
        <sz val="11"/>
        <color theme="1"/>
        <rFont val="Arial"/>
        <family val="2"/>
      </rPr>
      <t>Wöchentlich</t>
    </r>
    <r>
      <rPr>
        <sz val="11"/>
        <color theme="1"/>
        <rFont val="Arial"/>
        <family val="2"/>
      </rPr>
      <t>?</t>
    </r>
  </si>
  <si>
    <r>
      <rPr>
        <i/>
        <sz val="11"/>
        <color theme="1"/>
        <rFont val="Arial"/>
        <family val="2"/>
      </rPr>
      <t>Monatlich</t>
    </r>
    <r>
      <rPr>
        <sz val="11"/>
        <color theme="1"/>
        <rFont val="Arial"/>
        <family val="2"/>
      </rPr>
      <t>?</t>
    </r>
  </si>
  <si>
    <r>
      <rPr>
        <i/>
        <sz val="11"/>
        <color theme="1"/>
        <rFont val="Arial"/>
        <family val="2"/>
      </rPr>
      <t>Halbjährlich</t>
    </r>
    <r>
      <rPr>
        <sz val="11"/>
        <color theme="1"/>
        <rFont val="Arial"/>
        <family val="2"/>
      </rPr>
      <t>?</t>
    </r>
  </si>
  <si>
    <r>
      <rPr>
        <i/>
        <sz val="11"/>
        <color theme="1"/>
        <rFont val="Arial"/>
        <family val="2"/>
      </rPr>
      <t>Jährlich</t>
    </r>
    <r>
      <rPr>
        <sz val="11"/>
        <color theme="1"/>
        <rFont val="Arial"/>
        <family val="2"/>
      </rPr>
      <t>?</t>
    </r>
  </si>
  <si>
    <r>
      <rPr>
        <i/>
        <sz val="11"/>
        <color theme="1"/>
        <rFont val="Arial"/>
        <family val="2"/>
      </rPr>
      <t>In anderen Intervallen</t>
    </r>
    <r>
      <rPr>
        <sz val="11"/>
        <color theme="1"/>
        <rFont val="Arial"/>
        <family val="2"/>
      </rPr>
      <t>? Wenn ja, in welchen Intervallen?</t>
    </r>
  </si>
  <si>
    <r>
      <t xml:space="preserve">Werden in Ihrem Unternehmen Statistiken geführt über:
</t>
    </r>
    <r>
      <rPr>
        <i/>
        <sz val="11"/>
        <color theme="1"/>
        <rFont val="Arial"/>
        <family val="2"/>
      </rPr>
      <t>Berufsunfälle und Berufskrankheiten</t>
    </r>
    <r>
      <rPr>
        <sz val="11"/>
        <color theme="1"/>
        <rFont val="Arial"/>
        <family val="2"/>
      </rPr>
      <t>?</t>
    </r>
  </si>
  <si>
    <r>
      <rPr>
        <i/>
        <sz val="11"/>
        <color theme="1"/>
        <rFont val="Arial"/>
        <family val="2"/>
      </rPr>
      <t>Krankheit</t>
    </r>
    <r>
      <rPr>
        <sz val="11"/>
        <color theme="1"/>
        <rFont val="Arial"/>
        <family val="2"/>
      </rPr>
      <t>?</t>
    </r>
  </si>
  <si>
    <r>
      <rPr>
        <i/>
        <sz val="11"/>
        <color theme="1"/>
        <rFont val="Arial"/>
        <family val="2"/>
      </rPr>
      <t>Betriebsstörungen</t>
    </r>
    <r>
      <rPr>
        <sz val="11"/>
        <color theme="1"/>
        <rFont val="Arial"/>
        <family val="2"/>
      </rPr>
      <t>?</t>
    </r>
  </si>
  <si>
    <r>
      <rPr>
        <i/>
        <sz val="11"/>
        <color theme="1"/>
        <rFont val="Arial"/>
        <family val="2"/>
      </rPr>
      <t>Absenzentage</t>
    </r>
    <r>
      <rPr>
        <sz val="11"/>
        <color theme="1"/>
        <rFont val="Arial"/>
        <family val="2"/>
      </rPr>
      <t>?</t>
    </r>
  </si>
  <si>
    <r>
      <t xml:space="preserve">Bestehen Ereignisstatistiken für: 
</t>
    </r>
    <r>
      <rPr>
        <i/>
        <sz val="11"/>
        <color theme="1"/>
        <rFont val="Arial"/>
        <family val="2"/>
      </rPr>
      <t>Das gesamte Unternehmen</t>
    </r>
    <r>
      <rPr>
        <sz val="11"/>
        <color theme="1"/>
        <rFont val="Arial"/>
        <family val="2"/>
      </rPr>
      <t>? Wenn ja, von welcher Stelle bzw. Person wird die zentrale Ereignisstatistik geführt und behandelt?</t>
    </r>
  </si>
  <si>
    <r>
      <rPr>
        <i/>
        <sz val="11"/>
        <color theme="1"/>
        <rFont val="Arial"/>
        <family val="2"/>
      </rPr>
      <t>Organisationseinheiten</t>
    </r>
    <r>
      <rPr>
        <sz val="11"/>
        <color theme="1"/>
        <rFont val="Arial"/>
        <family val="2"/>
      </rPr>
      <t xml:space="preserve"> </t>
    </r>
    <r>
      <rPr>
        <i/>
        <sz val="11"/>
        <color theme="1"/>
        <rFont val="Arial"/>
        <family val="2"/>
      </rPr>
      <t>(z.B. Bereiche, Abteilungen)</t>
    </r>
    <r>
      <rPr>
        <sz val="11"/>
        <color theme="1"/>
        <rFont val="Arial"/>
        <family val="2"/>
      </rPr>
      <t>?</t>
    </r>
  </si>
  <si>
    <r>
      <t xml:space="preserve">Wird die jährliche Fluktuationsrate* in Ihrem Unternehmen statistisch erfasst und ausgewertet? Wenn ja, wie hoch ist die aktuelle Fluktuationsrate in Ihrem Unternehmen?
</t>
    </r>
    <r>
      <rPr>
        <sz val="9"/>
        <color theme="1"/>
        <rFont val="Arial"/>
        <family val="2"/>
      </rPr>
      <t>*Fluktuationsrate: Die Fluktuationsrate benennt die Beziehung zwischen den Personalabgängen und der Anzahl Beschäftigten während einem Jahr; Fluktuationsrate = Austritte / Beschäftigte x 100.</t>
    </r>
  </si>
  <si>
    <r>
      <rPr>
        <b/>
        <sz val="11"/>
        <color theme="1"/>
        <rFont val="Arial"/>
        <family val="2"/>
      </rPr>
      <t xml:space="preserve">2. Struktur der einzelnen Tabellenblätter
</t>
    </r>
    <r>
      <rPr>
        <sz val="11"/>
        <color theme="1"/>
        <rFont val="Arial"/>
        <family val="2"/>
      </rPr>
      <t>- Nur Zellen die zum Ausfüllen vorgesehen sind, sind für die Bearbeitung freigeschaltet.
  - Zellbereiche die ausgefüllt werden müssen, sind zusätzlich grau schattiert.
  - Alle anderen freigeschalteten Bereiche können bei Bedarf ausgefüllt werden.
- Schnelles Springen zwischen freigeschalteten Feldern ist mit der Tabulatorentaste möglich.</t>
    </r>
  </si>
  <si>
    <t>Selbstbeurteilung Kunde</t>
  </si>
  <si>
    <t>Weitere Organisationsdokumente die Aufgaben, Pflichten und Kompetenzen bezüglich Sicherheit und Gesundheit regeln</t>
  </si>
  <si>
    <t>12. Organisationseinheiten des Unternehmens und 
      Anzahl Mitarbeiter in jeder 
      Organisationseinheit</t>
  </si>
  <si>
    <r>
      <rPr>
        <b/>
        <sz val="11"/>
        <color theme="1"/>
        <rFont val="Arial"/>
        <family val="2"/>
      </rPr>
      <t>1. Struktur des Fragebogens</t>
    </r>
    <r>
      <rPr>
        <sz val="11"/>
        <color theme="1"/>
        <rFont val="Arial"/>
        <family val="2"/>
      </rPr>
      <t xml:space="preserve">
- Tabellenblätter:
  - Betriebsspiegel
  - Schlüsselpersonen der Arbeitssicherheit
  - Selbstbeurteilung Kunde
  - Übersicht Anhänge (Information)</t>
    </r>
  </si>
  <si>
    <r>
      <rPr>
        <b/>
        <sz val="11"/>
        <color theme="1"/>
        <rFont val="Arial"/>
        <family val="2"/>
      </rPr>
      <t xml:space="preserve">4. Tabellenblatt "Schlüsselpersonen Sicherheit"
</t>
    </r>
    <r>
      <rPr>
        <sz val="11"/>
        <color theme="1"/>
        <rFont val="Arial"/>
        <family val="2"/>
      </rPr>
      <t xml:space="preserve">- Ergänzen Sie die Spalte </t>
    </r>
    <r>
      <rPr>
        <b/>
        <sz val="11"/>
        <color theme="1"/>
        <rFont val="Arial"/>
        <family val="2"/>
      </rPr>
      <t>"</t>
    </r>
    <r>
      <rPr>
        <sz val="11"/>
        <color theme="1"/>
        <rFont val="Arial"/>
        <family val="2"/>
      </rPr>
      <t>Funktion / Zuständigkeit" mit den im Unternehmen vorhandenen
  Funktionen.
- Füllen Sie die Spalte "Name / Vorname" für sämtliche aufgeführten "Funktionen /  
  Zuständigkeiten" aus, die im Unternehmen existieren.</t>
    </r>
  </si>
  <si>
    <r>
      <rPr>
        <b/>
        <sz val="11"/>
        <color theme="1"/>
        <rFont val="Arial"/>
        <family val="2"/>
      </rPr>
      <t>Einleitung</t>
    </r>
    <r>
      <rPr>
        <sz val="11"/>
        <color theme="1"/>
        <rFont val="Arial"/>
        <family val="2"/>
      </rPr>
      <t xml:space="preserve">
Sie haben beschlossen, Arbeitssicherheit und Gesundheitsschutz in Ihrem Unternehmen mit dem Projekt "Integrierten Sicherheit" systematisch zu verbessern. Dieser Fragebogen stellt hierbei ein zentrales Werkzeug dar. Er erlaubt es Ihnen, den Stand von Arbeitssicherheit und Gesundheitsschutz in Ihrem Unternehmen zu überprüfen und die für das Projekt notwendigen Informationen zu sammeln. Die folgenden Anmerkungen sollen beim Ausfüllen des Fragebogens behilflich sein.</t>
    </r>
  </si>
  <si>
    <r>
      <rPr>
        <b/>
        <sz val="11"/>
        <color theme="1"/>
        <rFont val="Arial"/>
        <family val="2"/>
      </rPr>
      <t>6. Anhänge</t>
    </r>
    <r>
      <rPr>
        <sz val="11"/>
        <color theme="1"/>
        <rFont val="Arial"/>
        <family val="2"/>
      </rPr>
      <t xml:space="preserve">
- Bei manchen Fragen im Tabellenblatt "Selbstbeurteilung Kunde" ist ein Anhang als
  Dokumentation zwingend erforderlich (falls vorhanden).
  - Die Nummer des jeweiligen Anhangs ist in der Spalte "Anhang erforderlich" eingetragen.
  - Im Tabellenblatt "Übersicht Anhänge" werden sämtliche Anhangnummern erläutert. 
- Bei Bedarf können weitere Anhänge beigelegt werden.
- Bitte senden Sie uns die Anhänge wenn möglich als PDF zu.</t>
    </r>
  </si>
  <si>
    <r>
      <t xml:space="preserve">Erforderliche Anhänge (falls vorhanden)
</t>
    </r>
    <r>
      <rPr>
        <sz val="14"/>
        <color theme="1"/>
        <rFont val="Arial"/>
        <family val="2"/>
      </rPr>
      <t>Bitte senden Sie uns die Anhänge wenn möglich als PDF zu.</t>
    </r>
  </si>
  <si>
    <t>Wird das Booklet "Lebenswichtigen Regeln" der Suva im Unternehmen eingesetzt?</t>
  </si>
  <si>
    <t>Spinnendiagramm überschreibbar</t>
  </si>
  <si>
    <t>Zur Information</t>
  </si>
  <si>
    <t>Freizeitsicherheit (Fakultativ)</t>
  </si>
  <si>
    <t>13</t>
  </si>
  <si>
    <t>14</t>
  </si>
  <si>
    <t>14.1.</t>
  </si>
  <si>
    <t>14.1.1.</t>
  </si>
  <si>
    <t>14.1.2.</t>
  </si>
  <si>
    <t>14.1.3.</t>
  </si>
  <si>
    <t>14.2.</t>
  </si>
  <si>
    <t>14.3.</t>
  </si>
  <si>
    <t>14.3.1.</t>
  </si>
  <si>
    <t>Visum Sachbearbeiter Kapitel 12.:</t>
  </si>
  <si>
    <t>Gibt es eine explizite Willenserklärung der Geschäftsleitung, die Mitarbeitenden in sicherem und gesundem Freizeitverhalten zu unterstützen?</t>
  </si>
  <si>
    <t>12.4.</t>
  </si>
  <si>
    <t>12.5.</t>
  </si>
  <si>
    <t>12.7.</t>
  </si>
  <si>
    <t>12.8.</t>
  </si>
  <si>
    <t>12.9.</t>
  </si>
  <si>
    <t>12.10.</t>
  </si>
  <si>
    <t>12.12.</t>
  </si>
  <si>
    <t>12.13.</t>
  </si>
  <si>
    <t>Besteht ein Budgetrahmen für Freizeitsicherheits-Projekte?</t>
  </si>
  <si>
    <t>Gibt es eine(n) Verantwortliche(n) oder eine Arbeitsgruppe, die Massnahmen zur Verhütung von Freizeitunfällen plant und koordiniert?</t>
  </si>
  <si>
    <t>Werden die Mitarbeitenden regelmässig über das Unfallgeschehen NBU im Betrieb informiert (Besprechungen, Zeitschrift, Intranet, Mail, Anschlagbrett…)?</t>
  </si>
  <si>
    <t>Gibt es Arbeitnehmer-Gruppen (jüngere MA, ältere MA, Männer, Frauen), die besonders viele Unfälle verursachen?</t>
  </si>
  <si>
    <t>Hat das Unternehmen eigene Firmensportvereine?</t>
  </si>
  <si>
    <t>Haus und Garten?</t>
  </si>
  <si>
    <t>Werden die Massnahmen/Projekte evaluiert und Konsequenzen für künftige Massnahmen/Projekte abgeleitet?</t>
  </si>
  <si>
    <r>
      <t xml:space="preserve">Werden Freizeitunfälle:
</t>
    </r>
    <r>
      <rPr>
        <i/>
        <sz val="11"/>
        <color theme="1"/>
        <rFont val="Arial"/>
        <family val="2"/>
      </rPr>
      <t>erfasst?</t>
    </r>
  </si>
  <si>
    <t>ausgewertet?</t>
  </si>
  <si>
    <t>analysiert?</t>
  </si>
  <si>
    <t>kommuniziert ?</t>
  </si>
  <si>
    <t>Werden aus den Freizeitunfällen Handlungsschwerpunkte abgeleitet?</t>
  </si>
  <si>
    <t>Wurden im Unternehmen bereits Projekte/Massnahmen zur Förderung der Freizeitsicherheit durchgeführt? Wenn ja, welche Schwerpunktthemen wurden behandelt?</t>
  </si>
  <si>
    <t>12.6.a</t>
  </si>
  <si>
    <t>12.6.b</t>
  </si>
  <si>
    <t>12.6.c</t>
  </si>
  <si>
    <t>12.6.d</t>
  </si>
  <si>
    <t>12.11.a</t>
  </si>
  <si>
    <t>Stolpern und Stürzen?</t>
  </si>
  <si>
    <t>12.11.b</t>
  </si>
  <si>
    <t>12.11.c</t>
  </si>
  <si>
    <t>12.11.d</t>
  </si>
  <si>
    <t>12.11.e</t>
  </si>
  <si>
    <t>12.11.f</t>
  </si>
  <si>
    <t>Visum Sachbearbeiter Kapitel 13.:</t>
  </si>
  <si>
    <t>13.1.</t>
  </si>
  <si>
    <t>13.3.</t>
  </si>
  <si>
    <t>13.4.</t>
  </si>
  <si>
    <t>13.5.</t>
  </si>
  <si>
    <t>13.8.</t>
  </si>
  <si>
    <t>13.9.</t>
  </si>
  <si>
    <t>Gibt es eine explizite Willenserklärung der Geschäftsleitung, das betriebliche Gesundheitsmanagement in die Unternehmenspolitik und in den Führungsgrundsätzen zu integrieren?</t>
  </si>
  <si>
    <t>Vorgehens- und Zeitplan?</t>
  </si>
  <si>
    <t>13.2.a</t>
  </si>
  <si>
    <t>13.2.b</t>
  </si>
  <si>
    <t>13.2.c</t>
  </si>
  <si>
    <t>13.2.d</t>
  </si>
  <si>
    <t>Basieren Massnahmen und Umsetzungsschwerpunkte auf einer betrieblichen Bedarfs- oder einer Bedürfnisanalyse bei den Mitarbeitenden (z.B. mittels Mitarbeiterbefragung oder durch Gesundheitszirkel)?</t>
  </si>
  <si>
    <t>Verfügen diese Verantwortliche bzw. einzelne Mitglieder der Arbeitsgruppe über eine Ausbildung im Bereich BGM und Pävention?</t>
  </si>
  <si>
    <r>
      <rPr>
        <sz val="11"/>
        <color theme="1"/>
        <rFont val="Arial"/>
        <family val="2"/>
      </rPr>
      <t>Werden die Mitarbeitenden in folgenden Themen mit Kursen, Workshops oder Angeboten in ihrer Eigenverantwortung im Gesundheitsverhalten unterstützt:</t>
    </r>
    <r>
      <rPr>
        <i/>
        <sz val="11"/>
        <color theme="1"/>
        <rFont val="Arial"/>
        <family val="2"/>
      </rPr>
      <t xml:space="preserve">
Genügend Bewegung / Sport?</t>
    </r>
  </si>
  <si>
    <t>Ernährung / gesundes Körpergewicht?</t>
  </si>
  <si>
    <t>Strategien gegen Stress und Burnout (Stressmanagement / Entspannungsmethoden und –möglichkeiten, Zeitmanagement, Umgang mit Veränderung?</t>
  </si>
  <si>
    <t>Kommunikation an Zielgruppen?</t>
  </si>
  <si>
    <t>Budgetrahmen für BGM-Projekte?</t>
  </si>
  <si>
    <t>Ballsport?</t>
  </si>
  <si>
    <t>Wintersport?</t>
  </si>
  <si>
    <t>Umgang mit besonderen organisatorischen Rahmenbedingungen wie Schicht-/ Nachtarbeit?</t>
  </si>
  <si>
    <t>Suchtprävention?</t>
  </si>
  <si>
    <t>13.6.e</t>
  </si>
  <si>
    <t>13.6.a</t>
  </si>
  <si>
    <t>13.6.b</t>
  </si>
  <si>
    <t>13.6.c</t>
  </si>
  <si>
    <t>13.6.d</t>
  </si>
  <si>
    <t>13.6.f</t>
  </si>
  <si>
    <t>13.7.a</t>
  </si>
  <si>
    <t>Gesundheitsbezogene Infrastruktur wie Aufenthaltsräume, Pausenräume, Verpflegungsmöglichkeiten, Duschen, Ruheräume?</t>
  </si>
  <si>
    <t>13.7.b</t>
  </si>
  <si>
    <t>13.7.c</t>
  </si>
  <si>
    <t>13.7.d</t>
  </si>
  <si>
    <t>13.7.e</t>
  </si>
  <si>
    <t>13.7.f</t>
  </si>
  <si>
    <t>Schulung zu körperschonender Haltung und Verhalten bei der Arbeit z.B. durch Schulung zu richtig heben &amp; tragen von Lasten, Bildschirmergonomie?</t>
  </si>
  <si>
    <t>Integration neuer Mitarbeiter/innen (z.B. durch ein systematisches Einführungskonzept, Göttisystem)?</t>
  </si>
  <si>
    <t>Regelmässige Weiterbildung auch in Persönlichkeits- und Sozialkompetenz?</t>
  </si>
  <si>
    <t>13.7.g</t>
  </si>
  <si>
    <t>13.7.h</t>
  </si>
  <si>
    <t>13.7.i</t>
  </si>
  <si>
    <t>13.7.j</t>
  </si>
  <si>
    <t>Förderung der guten Zusammenarbeit im Team (gemeinsame Projekte, Teamsitzungen, informelle Anlässe)?</t>
  </si>
  <si>
    <t>Förderung der abteilungs- und hierarchieübergreifenden Zusammenarbeit und Kommunikation?</t>
  </si>
  <si>
    <t>Angebote und Massnahmen zur Vereinbarkeit von Beruf, Familie/ Freizeit?</t>
  </si>
  <si>
    <t xml:space="preserve">Werden mit den Massnahmen/ Projekten zur Freizeitsicherheit konkrete Ziele verfolgt? Wenn ja, welche? </t>
  </si>
  <si>
    <r>
      <rPr>
        <sz val="11"/>
        <color theme="1"/>
        <rFont val="Arial"/>
        <family val="2"/>
      </rPr>
      <t>Werden folgende arbeitsbezogenen Ressourcen gefördert:</t>
    </r>
    <r>
      <rPr>
        <i/>
        <sz val="11"/>
        <color theme="1"/>
        <rFont val="Arial"/>
        <family val="2"/>
      </rPr>
      <t xml:space="preserve">
Führungsschulungen (Bedeutung/Rolle der Führungskräfte im BGM, Pflege einer Anerkennungs- und Wertschätzungskultur, Förderung der Teamzusammenarbeit, Vorgehen im Konflikt- oder Suchtfall etc.)?</t>
    </r>
  </si>
  <si>
    <r>
      <rPr>
        <sz val="11"/>
        <color theme="1"/>
        <rFont val="Arial"/>
        <family val="2"/>
      </rPr>
      <t xml:space="preserve">Werden im Unternehmen aktuell BGM-Projekte durchgeführt? </t>
    </r>
    <r>
      <rPr>
        <i/>
        <sz val="11"/>
        <color theme="1"/>
        <rFont val="Arial"/>
        <family val="2"/>
      </rPr>
      <t xml:space="preserve">
</t>
    </r>
    <r>
      <rPr>
        <sz val="11"/>
        <color theme="1"/>
        <rFont val="Arial"/>
        <family val="2"/>
      </rPr>
      <t>Wenn ja, seit wann und zu welchen Themen?</t>
    </r>
  </si>
  <si>
    <t>Wird die Qualität und Wirkung der Massnahmen und der Projekte im BGM evaluiert und Konsequenzen für künftige Massnahmen/Projekte abgeleitet?</t>
  </si>
  <si>
    <t>Visum Sachbearbeiter Kapitel 14.:</t>
  </si>
  <si>
    <t>Visum Sachbearbeiter Kapitel 11.:</t>
  </si>
  <si>
    <t>Visum Sachbearbeiter Kapitel 10.:</t>
  </si>
  <si>
    <t>Visum Sachbearbeiter Kapitel 9.:</t>
  </si>
  <si>
    <t>Visum Sachbearbeiter Kapitel 8.:</t>
  </si>
  <si>
    <t>Visum Sachbearbeiter Kapitel 7.:</t>
  </si>
  <si>
    <t>Visum Sachbearbeiter Kapitel 6.:</t>
  </si>
  <si>
    <t>Visum Sachbearbeiter Kapitel 5.:</t>
  </si>
  <si>
    <t>Visum Sachbearbeiter Kapitel 4.:</t>
  </si>
  <si>
    <t>Visum Sachbearbeiter Kapitel 3.:</t>
  </si>
  <si>
    <t>Visum Sachbearbeiter Kapitel 2.:</t>
  </si>
  <si>
    <t>Visum Sachbearbeiter Kapitel 1.:</t>
  </si>
  <si>
    <t xml:space="preserve"> BGM: Betriebliches Gesundheitsmanagement (Fakultativ)</t>
  </si>
  <si>
    <t>11.2.a</t>
  </si>
  <si>
    <t>11.2.b</t>
  </si>
  <si>
    <t>11.2.c</t>
  </si>
  <si>
    <t>Gibt es eine ausdrückliche Willenserklärung der Geschäftsleitung, dass sie ein Absenzenmanagement will?</t>
  </si>
  <si>
    <r>
      <t xml:space="preserve">Werden die Daten zu den Unfällen und Krankheiten und deren Ausfalltagen:
</t>
    </r>
    <r>
      <rPr>
        <i/>
        <sz val="11"/>
        <color theme="1"/>
        <rFont val="Arial"/>
        <family val="2"/>
      </rPr>
      <t>erfasst?</t>
    </r>
  </si>
  <si>
    <t>Werden die Kennzahlen jährlich bewertet und Präventions-Ziele definiert?</t>
  </si>
  <si>
    <t>11.2.d</t>
  </si>
  <si>
    <t>11.3.</t>
  </si>
  <si>
    <t>Werden die Führungskräfte (und die weiteren involvierten Stellen) ins Absenzenmangement eingeführt und für ihre Betreuungs- und Administrationsaufgaben ausgebildet?</t>
  </si>
  <si>
    <r>
      <rPr>
        <sz val="11"/>
        <color theme="1"/>
        <rFont val="Arial"/>
        <family val="2"/>
      </rPr>
      <t>Werden die Rückkehrgespräche geführt:</t>
    </r>
    <r>
      <rPr>
        <i/>
        <sz val="11"/>
        <color theme="1"/>
        <rFont val="Arial"/>
        <family val="2"/>
      </rPr>
      <t xml:space="preserve">
durch die Vorgesetzten?</t>
    </r>
  </si>
  <si>
    <t>nach jeder ungeplanten Absenz?</t>
  </si>
  <si>
    <t>nach jeder ungeplanten längeren Absenz?</t>
  </si>
  <si>
    <t>11.4.</t>
  </si>
  <si>
    <t>11.5.</t>
  </si>
  <si>
    <t>11.6.</t>
  </si>
  <si>
    <t>11.7.a</t>
  </si>
  <si>
    <t>11.7.b</t>
  </si>
  <si>
    <t>11.7.c</t>
  </si>
  <si>
    <t>11.8.</t>
  </si>
  <si>
    <t>Werden aus den Resultaten der Rückkehrgespräche Präventionsmassnahmen abgeleitet?</t>
  </si>
  <si>
    <t>Ist ein Vorgehen bei häufigeren Absenzen definiert?</t>
  </si>
  <si>
    <t>Erkundigen sich die direkten Vorgesetzen bei ihren verunfallten und erkrankten Mitarbeitenden während derer Abwesenheit über das  gesundheitliche Befinden und bieten Unterstützung an?</t>
  </si>
  <si>
    <t>Wird die Teilzeitbeschäftigung oder die vorübergehende Beschäftigung mit alternativen Tätigkeiten (Schonarbeitsplatz) von Verunfallten und Erkrankten durch die Vorgesetzen systematisch geprüft?</t>
  </si>
  <si>
    <t>Werden die behandelnden Ärzte über Möglichkeiten der Teilzeitarbeit oder alternativer Beschäftigungsmöglichkeiten informiert?</t>
  </si>
  <si>
    <t>11.9.</t>
  </si>
  <si>
    <t>11.10.</t>
  </si>
  <si>
    <t>11.11.</t>
  </si>
  <si>
    <t>11.12.</t>
  </si>
  <si>
    <r>
      <rPr>
        <sz val="11"/>
        <color theme="1"/>
        <rFont val="Arial"/>
        <family val="2"/>
      </rPr>
      <t>Werden die Vorgesetzten bei ihren Betreuungs- und Integrationsbemühungen unterstützt:</t>
    </r>
    <r>
      <rPr>
        <i/>
        <sz val="11"/>
        <color theme="1"/>
        <rFont val="Arial"/>
        <family val="2"/>
      </rPr>
      <t xml:space="preserve">
durch die Personalabteilung?</t>
    </r>
  </si>
  <si>
    <t>Werden die Mitarbeitenden periodisch über die Ziele des Absenzenmanagements und das richtige Verhalten im Absenzfall informiert?</t>
  </si>
  <si>
    <t>11.13.a</t>
  </si>
  <si>
    <t>11.13.b</t>
  </si>
  <si>
    <t>durch andere Stellen? Wenn ja, welche?</t>
  </si>
  <si>
    <t>weitere Schwerpunktthemen?</t>
  </si>
  <si>
    <t>Ziele, Führungskennzahlen im Absenzenmanagement</t>
  </si>
  <si>
    <t>11.B</t>
  </si>
  <si>
    <t>Vorgehen bei ungeplanten Absenzen</t>
  </si>
  <si>
    <t>Ist ein Vorgehen und sind Verantwortlichkeiten (und Aufgaben) festgelegt, wie Mitarbeitende bei kurzen und längeren ungeplanten Absenzen betreut und wieder in den Arbeitsprozess integriert werden sollen?</t>
  </si>
  <si>
    <t>GL</t>
  </si>
  <si>
    <t>Führung</t>
  </si>
  <si>
    <t>VG</t>
  </si>
  <si>
    <t>MA</t>
  </si>
  <si>
    <t>Erfüllungsgrad in Prozent</t>
  </si>
  <si>
    <t>Interviewpartner</t>
  </si>
  <si>
    <t>Verfügt diese Verantwortliche bzw. Mitglieder der Arbeitsgruppe über eine Ausbildung im Bereich Freizeitunfall-Prävention (z.B. Suva- Kurse, bfu, ...)?</t>
  </si>
  <si>
    <t>Hat es im Unternehmen Mitarbeitende mit gutem Wissen und Können im Sport (bspw. Fussball-Trainer, Laufgruppen-Leiter, Fitness-Instruktoren usw.) ?</t>
  </si>
  <si>
    <t>Gibt es eine(n) Verantwortliche(n) oder eine Arbeitsgruppe, die BGM-Massnahmen plant und koordiniert?</t>
  </si>
  <si>
    <t>13.6.g</t>
  </si>
  <si>
    <t>Gesundheitsförderliche und ergonomische Gestaltung von Arbeitsräumen und Arbeitsplätzen z.B. periodische Überprüfung und systematische Beurteilung bei Veränderungen und Neubeschaffungen?</t>
  </si>
  <si>
    <t>Work-Life Balance?</t>
  </si>
  <si>
    <t>Schlaf und Erholung?</t>
  </si>
  <si>
    <r>
      <rPr>
        <i/>
        <sz val="11"/>
        <color theme="1"/>
        <rFont val="Arial"/>
        <family val="2"/>
      </rPr>
      <t>Projektorganisation</t>
    </r>
    <r>
      <rPr>
        <sz val="11"/>
        <color theme="1"/>
        <rFont val="Arial"/>
        <family val="2"/>
      </rPr>
      <t>?</t>
    </r>
  </si>
  <si>
    <t>Wird die Ausführungsebene in die Arbeitsvorbereitung einbezogen?</t>
  </si>
  <si>
    <t>Sichere Instandhaltung?</t>
  </si>
  <si>
    <r>
      <rPr>
        <i/>
        <sz val="11"/>
        <color theme="1"/>
        <rFont val="Arial"/>
        <family val="2"/>
      </rPr>
      <t>Vibration</t>
    </r>
    <r>
      <rPr>
        <sz val="11"/>
        <color theme="1"/>
        <rFont val="Arial"/>
        <family val="2"/>
      </rPr>
      <t>?</t>
    </r>
  </si>
  <si>
    <t>Besteht in Ihrem Unternehmen ein Kontroll- oder Überwachungskonzept bezüglich Sicherheit und Gesundheit der Beschäftigten?</t>
  </si>
  <si>
    <t>Dokumentation des Verfahrens zur Untersuchung von unerwünschten Ereignissen</t>
  </si>
  <si>
    <t>Beispiele von internen Weisungen bezüglich Arbeitssicherheit und Gesundheitsschutz, den offiziellen Merkblättern und Arbeitsanweisungen ergänzen</t>
  </si>
  <si>
    <t>Einführungsprogramm für neue Mitarbeitende</t>
  </si>
  <si>
    <t>Sicherheitshandbuch / Sicherheitsdokumentationen für Mitarbeitende</t>
  </si>
  <si>
    <t>Beispiel einer schriftlichen Arbeitsanweisung</t>
  </si>
  <si>
    <t>Mitarbeitendenreglement des Unternehmens</t>
  </si>
  <si>
    <r>
      <rPr>
        <b/>
        <sz val="11"/>
        <color theme="1"/>
        <rFont val="Arial"/>
        <family val="2"/>
      </rPr>
      <t>5. Tabellenblatt "Selbstbeurteilung Kunde"</t>
    </r>
    <r>
      <rPr>
        <sz val="11"/>
        <color theme="1"/>
        <rFont val="Arial"/>
        <family val="2"/>
      </rPr>
      <t xml:space="preserve">
- Beantworten Sie sämtliche Fragen mit "Ja" oder "Nein",  indem Sie das entsprechende 
  Feld mit einem "x"  markieren.
- Für Kommentare steht die Spalte "Bemerkung Kunde" zur Verfügung.
- Bei einigen Fragen kann je nach Antwort auf die Ja/Nein-Frage ein Kommentar
  zwingend erforderlich sein (Spalte "Bemerkung Kunde" grau schattiert).
- Manche Fragen bestehen aus mehreren Teilfragen. 
  - In solchen Fällen ist die Fragestellung jeweils blau hinterlegt.</t>
    </r>
    <r>
      <rPr>
        <b/>
        <sz val="12"/>
        <color theme="1"/>
        <rFont val="Calibri"/>
        <family val="2"/>
        <scheme val="minor"/>
      </rPr>
      <t/>
    </r>
  </si>
  <si>
    <t>Versionenprotokoll</t>
  </si>
  <si>
    <t>Version</t>
  </si>
  <si>
    <t>Sheet</t>
  </si>
  <si>
    <t>Änderungen</t>
  </si>
  <si>
    <t>Version 04</t>
  </si>
  <si>
    <t>Version 03</t>
  </si>
  <si>
    <t>Kapitel Freizeitsicherheit ergänzt</t>
  </si>
  <si>
    <t>Kapitel BGM ergänzt</t>
  </si>
  <si>
    <t>Verschiedene Fehler gemäss vbr korrigiert</t>
  </si>
  <si>
    <t>Anleitung</t>
  </si>
  <si>
    <t>Punkt 5 " Beantworten …." : Text korrigiert</t>
  </si>
  <si>
    <t>Spinne ohne FZ, BGM, OHSAS</t>
  </si>
  <si>
    <t>Spinne mit FZ, BGM, OHSAS</t>
  </si>
  <si>
    <t>Auswertungen</t>
  </si>
  <si>
    <t xml:space="preserve">Quelle des Kundenamen für Titel in C3 ist Firmenname im Betriebsspiegel. </t>
  </si>
  <si>
    <t>neu erstellt</t>
  </si>
  <si>
    <t>In Fusszeile des Ausdrucks Versionnummer aktualisiert</t>
  </si>
  <si>
    <t>Versionnummer ergänzt und aktualisiert</t>
  </si>
  <si>
    <t>Werden beim Nichterreichen von Sicherheitszielen entsprechende Konsequenzen gezogen und die notwendigen Korrekturmassnahmen eingeleitet?                                                                                  Wenn ja, welche Konsequenzen?</t>
  </si>
  <si>
    <t>Version 05</t>
  </si>
  <si>
    <t>Versionnummer aktualisiert</t>
  </si>
  <si>
    <t>Kundenname in Legende integriert. Quelle für Legendentitel ist aus Auswertungen C3</t>
  </si>
  <si>
    <t>Muster AG</t>
  </si>
  <si>
    <t>Freigabe</t>
  </si>
  <si>
    <t>Version 06</t>
  </si>
  <si>
    <t>Analyse</t>
  </si>
  <si>
    <t>Berechnungen der Unterkapitelbewertungen für die verschiedenen Stufen in den Kapiteln 1 und 2 korrigiert</t>
  </si>
  <si>
    <t>Berechnung der Unterkapitelbewertungen an verschiedenen Orten in den Kapitel 3-11 korrigiert</t>
  </si>
  <si>
    <t>Bezug im Kapitel 10.3.2. korrigiert</t>
  </si>
  <si>
    <t>Feldfarbe für ja bei 10.3.1. auch auf grau gesetzt</t>
  </si>
  <si>
    <r>
      <t xml:space="preserve">3. Tabellenblatt "Betriebsspiegel"
</t>
    </r>
    <r>
      <rPr>
        <sz val="11"/>
        <color theme="1"/>
        <rFont val="Arial"/>
        <family val="2"/>
      </rPr>
      <t>- Ergänzen Sie die Spalte "Eintrag Kunde" mit den gefragten Informationen.</t>
    </r>
  </si>
  <si>
    <t>externe ASA-Spezialisten</t>
  </si>
  <si>
    <t>"ist" in Punkt 3 gelöscht.</t>
  </si>
  <si>
    <t>Schlüsselpersonen Sicherheit</t>
  </si>
  <si>
    <t>Sicherheitsorganisation: "extern" bei ASA-Spezialisten ergänzt</t>
  </si>
  <si>
    <t>Zeile "18. Nettoprämiensatz …" gelöscht</t>
  </si>
  <si>
    <t>Version 07</t>
  </si>
  <si>
    <t>14. Anzahl Mitarbeiter</t>
  </si>
  <si>
    <t>15. Tendenzielle Entwicklung
      Anzahl Mitarbeiter
      (Zunehmend /
      Konstant / Abnehmend)</t>
  </si>
  <si>
    <t>16. Ausbildungsstatus 
      Mitarbeiter (Anteil in %)</t>
  </si>
  <si>
    <t>17. Nationalität der Mitarbeiter</t>
  </si>
  <si>
    <t>18. Muttersprache der Mitarbeiter</t>
  </si>
  <si>
    <t>19. Gefährdungsschwerpunkte</t>
  </si>
  <si>
    <t>Verdeckte Spalten gelöscht</t>
  </si>
  <si>
    <t>Fehler in der Nummerierung korrigiert</t>
  </si>
  <si>
    <t>Druckbereich festgelegt</t>
  </si>
  <si>
    <t>Tabelle 1</t>
  </si>
  <si>
    <t>wieder entfernt</t>
  </si>
  <si>
    <t>Version 08</t>
  </si>
  <si>
    <t>Berechnung der PunkteN und O in Zeile 144 für Kapitel 3 bis Zelle 239 korrigiert</t>
  </si>
  <si>
    <t>Version 09</t>
  </si>
  <si>
    <t>Gewicht von Kapitel 9.3. physische Belastungen von 3 auf 0 geändert</t>
  </si>
  <si>
    <t>9.10. Summierung der eigenen Punkte: Formel auf richtige Spalte korrigiert</t>
  </si>
  <si>
    <t>4.8. Bewertung für Stichproben eingeführt</t>
  </si>
  <si>
    <t>4.1.3 Gewicht für Booklet von 5 auf 3 reduziert</t>
  </si>
  <si>
    <t>4.8.</t>
  </si>
  <si>
    <t>Stichproben</t>
  </si>
  <si>
    <t>4.8.1</t>
  </si>
  <si>
    <t>Genereller Eindruck anhand der verschiedenen Stichproben</t>
  </si>
  <si>
    <r>
      <rPr>
        <i/>
        <sz val="11"/>
        <color theme="1"/>
        <rFont val="Arial"/>
        <family val="2"/>
      </rPr>
      <t>Häufig auftretende Belastungsspitzen</t>
    </r>
    <r>
      <rPr>
        <sz val="11"/>
        <color theme="1"/>
        <rFont val="Arial"/>
        <family val="2"/>
      </rPr>
      <t>?</t>
    </r>
  </si>
  <si>
    <t>Angebot einer neutralen Ansprechstelle in Konfliktsituationen oder bei persönlichen Problemen?</t>
  </si>
  <si>
    <t>Diagramme</t>
  </si>
  <si>
    <t>Rahmenlinie entfernt</t>
  </si>
  <si>
    <t>Version 10</t>
  </si>
  <si>
    <t>2.1.3. Gewicht von 1 auf 2 erhöht</t>
  </si>
  <si>
    <t>1.1.7. Gewicht von 5 auf 2 reduziert</t>
  </si>
  <si>
    <t>4.1.3. Gewicht von 3 auf 1 reduziert</t>
  </si>
  <si>
    <t>3.1. falscher Titel korrigiert (Zellenbezug 149 anstatt 148)</t>
  </si>
  <si>
    <t>4.2. Gewicht von 1 auf 0 reduziert</t>
  </si>
  <si>
    <t>4.3. Gewicht von 1 auf 2 erhöht</t>
  </si>
  <si>
    <t>Spinnendiagramme</t>
  </si>
  <si>
    <t>Legende "Beurteilung Suva" von D3 in Sheet Auswertungen</t>
  </si>
  <si>
    <t>Beurteilung Suva</t>
  </si>
  <si>
    <r>
      <t xml:space="preserve">Besteht ein Konzept mit:
</t>
    </r>
    <r>
      <rPr>
        <i/>
        <sz val="11"/>
        <color theme="1"/>
        <rFont val="Arial"/>
        <family val="2"/>
      </rPr>
      <t>Zielen?</t>
    </r>
  </si>
  <si>
    <t>Sind die Auditoren zur Durchführung von Systemaudits ausgebildet?</t>
  </si>
  <si>
    <t>Erweiterung für ISO 45001 (Fakultativ)</t>
  </si>
  <si>
    <t>Sind die interessierten Parteien, die zusätzlich zu ihren Beschäftigten für ihr Sicherheits- und Gesundheitsmanegementsystem relevant sind, bestimmt?  (z.B. Behörden,  Lieferanten, Arbeitnehmerorganisationen, Besucher, allgemeine Öffentlichkeit, Kunden, Medien, Nichtregierungsorganisationen (NGO))</t>
  </si>
  <si>
    <t>Sind die relevanten Erfordernisse und Erwartungen (Anforderungen) von Beschäftigten als auch weiteren interessierten Parteien bestimmt? (z.B. Tabelle mit Beschäftigten und relevanten interessierten Parteien bezogen auf das SGA-MS mit ermittelten Anforderungen und Erwartungen, Chancen und Risiken und Zielsetzungen/Massnahmen)</t>
  </si>
  <si>
    <t>Verfügen Sie über eine Sicherheitsstrategie um Ihre Sicherheitsziele zu erreichen (z.B. mittelfristig ausgelegte Massnahmenpakete, zukünftige Trends, Anforderungen und Erwartungen interessierter Parteien)? Wenn ja, welche?</t>
  </si>
  <si>
    <t>Werden dokumentierte Informationen im erforderlichen Umfang aufbewahrt, sodass darauf vertraut werden kann, dass die Prozesse wie geplant durchgeführt werden? (z.B. Aufzeichnungen aus den Prozessen, Änderungsnachweise, Berichte, Protokolle etc.)</t>
  </si>
  <si>
    <t>Bestimmung rechtlicher Verpflichtungen und anderer Anforderungen (6.1.3.)</t>
  </si>
  <si>
    <t>Werden Beschäftigte oder deren Vertretungen in den Zielbildungsprozess für die Sicherheitsziele einbezogen?</t>
  </si>
  <si>
    <t>Abkürzungen</t>
  </si>
  <si>
    <t>Wird beim Erstellen und Aktualisieren dokumentierter Informationen eine angemessene Kennzeichnung und Beschreibung sichergestellt? (z.B. Titel, Datum, Autor, Referenznummer, aktuelle Revisionsstand )</t>
  </si>
  <si>
    <t>Werden die relevanten Erfordernisse und Erwartungen bewertet und überwacht?</t>
  </si>
  <si>
    <t>Ist ein Prozess für die Lenkung der dokumentierten Informationen festgelegt? (Erstellung, Zuordnung, Klassifizierung, Genehmigung, Verteilung, Anwendung, Revision, Rückzug, Ablage, Entsorgung)</t>
  </si>
  <si>
    <t xml:space="preserve">Wird die  Überprüfung der Arbeitsmittel, Anlagen und Werkstoffe vor der Verwendung durch ihre Beschäftigte dokumentiert? </t>
  </si>
  <si>
    <t>Wird sichergestellt, dass ausgegliederte Funktionen und Prozesse, die sich auf das SGA-MS auswirken, gesteuert werden?</t>
  </si>
  <si>
    <t>Beschaffung (8.1.4.)</t>
  </si>
  <si>
    <t>Wird durch die internen Audits festgestellt, dass die Anforderungen an die ISO 45001 erfüllt werden?</t>
  </si>
  <si>
    <t>Ist für die Organisation ein Verfahren zur Bestimmung von Risiken und Chancen festgelegt? (z.B. durch Gefährdungsanalysen, Erstellung einer Risiko-Matrix, SWOT-Analyse mit Handlungsbedarf)</t>
  </si>
  <si>
    <t>Ist der Geltungsbereich des Sicherheitskonzeptes festgelegt und dokumentiert?</t>
  </si>
  <si>
    <t>Werden die zu berücksichtigenden SGA-Risiken und Chancen als dokumentierte Information gepflegt und entsprechend aufrechterhalten?</t>
  </si>
  <si>
    <t>Liegen die für das SGA-MS geforderten dokumentierten Informationen vor? (u.a. dokumentierte Information zu
• Anwendungsbereich
• SGA-Politik und SGA-Ziele
• Rechtliche Verpflichtungen oder andere Anforderungen 
• Kompetenzen 
• SGA-Risiken und -Chancen
• Informationen, die für den Betrieb der Organisation geschaffen werden
• Nachweis erreichter Ergebnisse usw.)</t>
  </si>
  <si>
    <t>5.2.2.h</t>
  </si>
  <si>
    <t>14.0.</t>
  </si>
  <si>
    <t>Werden Prozesse zur Überwachung, Messung, Analyse und SGA-Leistungsbewertung festgelegt, umgesetzt und aufrechterhalten?</t>
  </si>
  <si>
    <t>Sind die zur Bewertung der Compliance mit rechtlichen Verpflichtungen und anderen Anforderungen notwendigen Prozesse, festgelegt, umgesetzt und aufrechterhalten?</t>
  </si>
  <si>
    <t>Erfolgen Informationen über Änderungen rechtlicher Verpflichtungen und anderer Anforderungen so, dass deren Weitergabe entsprechend dokumentiert und dadurch zweifelsfrei nachgewiesen werden kann?</t>
  </si>
  <si>
    <t>14.4.</t>
  </si>
  <si>
    <t>14.4.1.</t>
  </si>
  <si>
    <t>14.2.1.</t>
  </si>
  <si>
    <t>14.5.</t>
  </si>
  <si>
    <t>14.5.1.</t>
  </si>
  <si>
    <t>14.5.2.</t>
  </si>
  <si>
    <t>14.5.3.</t>
  </si>
  <si>
    <t>14.6.</t>
  </si>
  <si>
    <t>14.6.1</t>
  </si>
  <si>
    <t>14.7.</t>
  </si>
  <si>
    <t>Bewertung der Leistung (9.)</t>
  </si>
  <si>
    <t>14.7.1.</t>
  </si>
  <si>
    <t>14.7.2.</t>
  </si>
  <si>
    <t>14.7.3.</t>
  </si>
  <si>
    <t>14.7.4.</t>
  </si>
  <si>
    <t>Massnahmen zum Umgang mit Risiken und Chancen (6.1.)</t>
  </si>
  <si>
    <t>Dokumentierte Informationen (7.5.)</t>
  </si>
  <si>
    <t>Verstehen der Erfordernisse und Erwartungen von Beschäftigten und anderen interessierten Parteien (4.2)</t>
  </si>
  <si>
    <t>SGA-MS: 
Managementsystem für Sicherheit und Gesundheit bei der Arbeit (nach ISO 45001)</t>
  </si>
  <si>
    <t>SGA-Managementsystem (4.4.)</t>
  </si>
  <si>
    <t>4.7.6.</t>
  </si>
  <si>
    <t>4.7.7.</t>
  </si>
  <si>
    <t>Anpassungen von OHSAS 18001 auf ISO 45001</t>
  </si>
  <si>
    <t>Tätigkeiten / Arbeitsplätze mit Auftragnehmer (z.B. Fremdfirmen)?</t>
  </si>
  <si>
    <r>
      <t xml:space="preserve">Ist eines der Folgenden Managementsysteme/Zertifizierungen im Betrieb eingefürt? 
</t>
    </r>
    <r>
      <rPr>
        <i/>
        <sz val="11"/>
        <color theme="1"/>
        <rFont val="Arial"/>
        <family val="2"/>
      </rPr>
      <t>ISO 9001, ISO 14001, ISO 45001, OHSAS18001
Falls ja, welches?</t>
    </r>
  </si>
  <si>
    <t>Wird überprüft, dass Arbeitsmittel, Anlagen, Werkstoffe und Gefahrenstoffe sicher sind, bevor diese durch ihre Beschäftigten verwendet werden?</t>
  </si>
  <si>
    <t>14.3.2.</t>
  </si>
  <si>
    <t>Version 11</t>
  </si>
  <si>
    <t>Generell</t>
  </si>
  <si>
    <t>Suva Logo aktualisiert</t>
  </si>
  <si>
    <t>Anpassung von OHSAS 18001 auf ISO 45001</t>
  </si>
  <si>
    <t>Version 12</t>
  </si>
  <si>
    <t>*</t>
  </si>
  <si>
    <t>Spalte D "*" eingefügt zur Visualisierung nicht beantwortet.</t>
  </si>
  <si>
    <t>Spalte C formatiert für Visualisierung Ja / Nein</t>
  </si>
  <si>
    <t>Risikoverhalten, Suchtmittel, Krankheit</t>
  </si>
  <si>
    <t>9.9.8.</t>
  </si>
  <si>
    <t>9.9.9.</t>
  </si>
  <si>
    <t>Werden Massnahmen zum Schutz von besonderen Personengruppen getroffen (z. B. Jugendschutz, Mutterschutz, behinderte Personen)?</t>
  </si>
  <si>
    <t>Werden Massnahmen zum Schutz vor übertragbaren Krankheiten getroffen? (z.B. BAG Pandemieplan Handbuch für die betriebliche Vorbereitung, kantonale oder branchenspezifische Vorgaben)</t>
  </si>
  <si>
    <t>In 9.9.8 und 9.9.9 Fragen 9.9 und 9.3 aus dem ASA-Systemkontrolle Kategorie 3.1 (EKAS 6074/3.1.d 02.2021) eingefügt.</t>
  </si>
  <si>
    <t>Version 13</t>
  </si>
  <si>
    <t>verschiedene</t>
  </si>
  <si>
    <t>Formulierungen in der französischen Version kontrolliert und korrigiert durch Sandrine Casanova.</t>
  </si>
  <si>
    <t>Version 14</t>
  </si>
  <si>
    <t>FO.250.d.V14</t>
  </si>
  <si>
    <t>Französische Übersetzung der Frage 2.3.2.3. korrigiert</t>
  </si>
  <si>
    <t>x</t>
  </si>
  <si>
    <t>Wir sprechen jedes Jahr darüber.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</si>
</sst>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Ja&quot;;&quot;Ja&quot;;&quot;Nein&quot;"/>
    <numFmt numFmtId="165" formatCode="0.0"/>
  </numFmts>
  <fonts count="38" x14ac:knownFonts="1">
    <font>
      <sz val="11"/>
      <color theme="1"/>
      <name val="Calibri"/>
      <family val="2"/>
      <scheme val="minor"/>
    </font>
    <font>
      <u/>
      <sz val="11"/>
      <color theme="10"/>
      <name val="Calibri"/>
      <family val="2"/>
      <scheme val="minor"/>
    </font>
    <font>
      <sz val="10"/>
      <name val="Arial"/>
      <family val="2"/>
    </font>
    <font>
      <sz val="8"/>
      <name val="Arial"/>
      <family val="2"/>
    </font>
    <font>
      <sz val="10"/>
      <name val="Helvetica 45 Light"/>
      <family val="2"/>
    </font>
    <font>
      <b/>
      <sz val="10"/>
      <name val="Arial"/>
      <family val="2"/>
    </font>
    <font>
      <b/>
      <sz val="8"/>
      <name val="Arial"/>
      <family val="2"/>
    </font>
    <font>
      <sz val="10"/>
      <color theme="0"/>
      <name val="Arial"/>
      <family val="2"/>
    </font>
    <font>
      <b/>
      <sz val="18"/>
      <name val="Arial"/>
      <family val="2"/>
    </font>
    <font>
      <b/>
      <sz val="16"/>
      <name val="Arial"/>
      <family val="2"/>
    </font>
    <font>
      <i/>
      <sz val="11"/>
      <color theme="1"/>
      <name val="Calibri"/>
      <family val="2"/>
      <scheme val="minor"/>
    </font>
    <font>
      <b/>
      <sz val="12"/>
      <color theme="1"/>
      <name val="Calibri"/>
      <family val="2"/>
      <scheme val="minor"/>
    </font>
    <font>
      <b/>
      <sz val="11"/>
      <color rgb="FF3F3F3F"/>
      <name val="Calibri"/>
      <family val="2"/>
      <scheme val="minor"/>
    </font>
    <font>
      <sz val="11"/>
      <color theme="1"/>
      <name val="Calibri"/>
      <family val="2"/>
      <scheme val="minor"/>
    </font>
    <font>
      <b/>
      <sz val="12"/>
      <name val="Arial"/>
      <family val="2"/>
    </font>
    <font>
      <b/>
      <sz val="10"/>
      <color rgb="FFFF0000"/>
      <name val="Arial"/>
      <family val="2"/>
    </font>
    <font>
      <b/>
      <sz val="16"/>
      <color theme="1"/>
      <name val="Arial"/>
      <family val="2"/>
    </font>
    <font>
      <sz val="11"/>
      <color theme="1"/>
      <name val="Arial"/>
      <family val="2"/>
    </font>
    <font>
      <b/>
      <sz val="12"/>
      <color theme="1"/>
      <name val="Arial"/>
      <family val="2"/>
    </font>
    <font>
      <b/>
      <sz val="11"/>
      <color theme="1"/>
      <name val="Arial"/>
      <family val="2"/>
    </font>
    <font>
      <b/>
      <sz val="9"/>
      <color theme="1"/>
      <name val="Arial"/>
      <family val="2"/>
    </font>
    <font>
      <sz val="11"/>
      <name val="Arial"/>
      <family val="2"/>
    </font>
    <font>
      <b/>
      <sz val="14"/>
      <color theme="1"/>
      <name val="Arial"/>
      <family val="2"/>
    </font>
    <font>
      <u/>
      <sz val="11"/>
      <color theme="10"/>
      <name val="Arial"/>
      <family val="2"/>
    </font>
    <font>
      <i/>
      <sz val="11"/>
      <color theme="1"/>
      <name val="Arial"/>
      <family val="2"/>
    </font>
    <font>
      <i/>
      <sz val="9"/>
      <color theme="1"/>
      <name val="Arial"/>
      <family val="2"/>
    </font>
    <font>
      <sz val="9"/>
      <color theme="1"/>
      <name val="Arial"/>
      <family val="2"/>
    </font>
    <font>
      <b/>
      <sz val="14"/>
      <name val="Arial"/>
      <family val="2"/>
    </font>
    <font>
      <sz val="14"/>
      <color theme="1"/>
      <name val="Arial"/>
      <family val="2"/>
    </font>
    <font>
      <sz val="11"/>
      <color rgb="FFFF0000"/>
      <name val="Arial"/>
      <family val="2"/>
    </font>
    <font>
      <b/>
      <sz val="11"/>
      <color rgb="FF3F3F3F"/>
      <name val="Arial"/>
      <family val="2"/>
    </font>
    <font>
      <sz val="10"/>
      <color theme="1"/>
      <name val="Arial"/>
      <family val="2"/>
    </font>
    <font>
      <sz val="16"/>
      <color theme="1"/>
      <name val="Arial"/>
      <family val="2"/>
    </font>
    <font>
      <sz val="9"/>
      <color indexed="81"/>
      <name val="Segoe UI"/>
      <family val="2"/>
    </font>
    <font>
      <b/>
      <sz val="9"/>
      <color indexed="81"/>
      <name val="Segoe UI"/>
      <family val="2"/>
    </font>
    <font>
      <sz val="10"/>
      <color theme="1"/>
      <name val="Calibri"/>
      <family val="2"/>
      <scheme val="minor"/>
    </font>
    <font>
      <sz val="10"/>
      <name val="Verdana"/>
      <family val="2"/>
    </font>
    <font>
      <b/>
      <i/>
      <sz val="10"/>
      <name val="Arial"/>
      <family val="2"/>
    </font>
  </fonts>
  <fills count="15">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theme="0" tint="-0.14999847407452621"/>
        <bgColor theme="0" tint="-0.14999847407452621"/>
      </patternFill>
    </fill>
    <fill>
      <patternFill patternType="solid">
        <fgColor theme="0" tint="-0.14999847407452621"/>
        <bgColor indexed="64"/>
      </patternFill>
    </fill>
    <fill>
      <patternFill patternType="solid">
        <fgColor rgb="FFF2F2F2"/>
      </patternFill>
    </fill>
    <fill>
      <patternFill patternType="solid">
        <fgColor theme="4"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rgb="FFFFFFA7"/>
        <bgColor indexed="64"/>
      </patternFill>
    </fill>
    <fill>
      <patternFill patternType="solid">
        <fgColor rgb="FFEA8B00"/>
        <bgColor indexed="64"/>
      </patternFill>
    </fill>
    <fill>
      <patternFill patternType="solid">
        <fgColor theme="0" tint="-0.249977111117893"/>
        <bgColor indexed="64"/>
      </patternFill>
    </fill>
    <fill>
      <patternFill patternType="solid">
        <fgColor rgb="FFE2EFDA"/>
        <bgColor indexed="64"/>
      </patternFill>
    </fill>
    <fill>
      <patternFill patternType="solid">
        <fgColor theme="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theme="1"/>
      </left>
      <right/>
      <top style="medium">
        <color theme="1"/>
      </top>
      <bottom/>
      <diagonal/>
    </border>
    <border>
      <left/>
      <right/>
      <top style="medium">
        <color theme="1"/>
      </top>
      <bottom/>
      <diagonal/>
    </border>
    <border>
      <left/>
      <right style="thin">
        <color theme="1"/>
      </right>
      <top style="medium">
        <color theme="1"/>
      </top>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theme="1"/>
      </left>
      <right/>
      <top style="medium">
        <color indexed="64"/>
      </top>
      <bottom style="thin">
        <color indexed="64"/>
      </bottom>
      <diagonal/>
    </border>
    <border>
      <left/>
      <right/>
      <top style="medium">
        <color indexed="64"/>
      </top>
      <bottom style="thin">
        <color indexed="64"/>
      </bottom>
      <diagonal/>
    </border>
    <border>
      <left/>
      <right style="thin">
        <color theme="1"/>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thin">
        <color indexed="64"/>
      </top>
      <bottom/>
      <diagonal/>
    </border>
  </borders>
  <cellStyleXfs count="6">
    <xf numFmtId="0" fontId="0" fillId="0" borderId="0"/>
    <xf numFmtId="0" fontId="1" fillId="0" borderId="0" applyNumberFormat="0" applyFill="0" applyBorder="0" applyAlignment="0" applyProtection="0"/>
    <xf numFmtId="0" fontId="2" fillId="0" borderId="0"/>
    <xf numFmtId="9" fontId="2" fillId="0" borderId="0" applyFont="0" applyFill="0" applyBorder="0" applyAlignment="0" applyProtection="0"/>
    <xf numFmtId="0" fontId="12" fillId="6" borderId="25" applyNumberFormat="0" applyAlignment="0" applyProtection="0"/>
    <xf numFmtId="9" fontId="13" fillId="0" borderId="0" applyFont="0" applyFill="0" applyBorder="0" applyAlignment="0" applyProtection="0"/>
  </cellStyleXfs>
  <cellXfs count="405">
    <xf numFmtId="0" fontId="0" fillId="0" borderId="0" xfId="0"/>
    <xf numFmtId="0" fontId="0" fillId="0" borderId="0" xfId="0" applyAlignment="1">
      <alignment vertical="top"/>
    </xf>
    <xf numFmtId="0" fontId="2" fillId="0" borderId="1" xfId="2" applyFont="1" applyBorder="1" applyAlignment="1">
      <alignment vertical="top" wrapText="1"/>
    </xf>
    <xf numFmtId="49" fontId="3" fillId="0" borderId="1" xfId="2" applyNumberFormat="1" applyFont="1" applyBorder="1" applyAlignment="1">
      <alignment vertical="top"/>
    </xf>
    <xf numFmtId="2" fontId="2" fillId="3" borderId="1" xfId="2" applyNumberFormat="1" applyFill="1" applyBorder="1" applyAlignment="1">
      <alignment vertical="top"/>
    </xf>
    <xf numFmtId="0" fontId="2" fillId="3" borderId="1" xfId="2" applyFill="1" applyBorder="1" applyAlignment="1">
      <alignment vertical="top"/>
    </xf>
    <xf numFmtId="0" fontId="2" fillId="0" borderId="6" xfId="2" applyFont="1" applyBorder="1" applyAlignment="1">
      <alignment vertical="top" wrapText="1"/>
    </xf>
    <xf numFmtId="0" fontId="5" fillId="3" borderId="1" xfId="2" applyFont="1" applyFill="1" applyBorder="1" applyAlignment="1">
      <alignment vertical="top" wrapText="1"/>
    </xf>
    <xf numFmtId="0" fontId="5" fillId="0" borderId="16" xfId="2" applyFont="1" applyBorder="1" applyAlignment="1">
      <alignment vertical="top" wrapText="1"/>
    </xf>
    <xf numFmtId="0" fontId="2" fillId="0" borderId="0" xfId="2" applyBorder="1" applyAlignment="1"/>
    <xf numFmtId="0" fontId="2" fillId="0" borderId="0" xfId="2" applyFill="1" applyBorder="1" applyAlignment="1"/>
    <xf numFmtId="0" fontId="2" fillId="0" borderId="0" xfId="2" applyFont="1" applyBorder="1" applyAlignment="1"/>
    <xf numFmtId="0" fontId="9" fillId="0" borderId="0" xfId="2" applyFont="1" applyFill="1" applyBorder="1" applyAlignment="1">
      <alignment horizontal="left" vertical="top" wrapText="1"/>
    </xf>
    <xf numFmtId="9" fontId="2" fillId="0" borderId="0" xfId="3" applyFont="1" applyFill="1" applyBorder="1" applyAlignment="1">
      <alignment horizontal="right" vertical="top" wrapText="1"/>
    </xf>
    <xf numFmtId="0" fontId="2" fillId="0" borderId="0" xfId="2" applyFont="1" applyFill="1" applyBorder="1" applyAlignment="1">
      <alignment horizontal="left" vertical="top" wrapText="1"/>
    </xf>
    <xf numFmtId="0" fontId="5" fillId="0" borderId="3" xfId="2" applyFont="1" applyFill="1" applyBorder="1" applyAlignment="1">
      <alignment horizontal="center" vertical="top" wrapText="1"/>
    </xf>
    <xf numFmtId="0" fontId="5" fillId="0" borderId="6" xfId="2" applyFont="1" applyFill="1" applyBorder="1" applyAlignment="1">
      <alignment horizontal="left" vertical="top" wrapText="1"/>
    </xf>
    <xf numFmtId="9" fontId="5" fillId="2" borderId="18" xfId="3" applyFont="1" applyFill="1" applyBorder="1" applyAlignment="1">
      <alignment horizontal="center" vertical="top" wrapText="1"/>
    </xf>
    <xf numFmtId="0" fontId="2" fillId="0" borderId="0" xfId="2" applyBorder="1" applyAlignment="1">
      <alignment wrapText="1"/>
    </xf>
    <xf numFmtId="0" fontId="2" fillId="0" borderId="0" xfId="2" applyFill="1" applyBorder="1" applyAlignment="1">
      <alignment wrapText="1"/>
    </xf>
    <xf numFmtId="0" fontId="2" fillId="0" borderId="0" xfId="2" applyFont="1" applyFill="1" applyBorder="1" applyAlignment="1"/>
    <xf numFmtId="0" fontId="2" fillId="0" borderId="0" xfId="2" applyFont="1" applyFill="1" applyBorder="1" applyAlignment="1">
      <alignment horizontal="center" vertical="top" wrapText="1"/>
    </xf>
    <xf numFmtId="0" fontId="0" fillId="0" borderId="0" xfId="0" applyBorder="1"/>
    <xf numFmtId="0" fontId="0" fillId="0" borderId="0" xfId="0" applyNumberFormat="1"/>
    <xf numFmtId="0" fontId="0" fillId="0" borderId="0" xfId="0" applyAlignment="1"/>
    <xf numFmtId="0" fontId="2" fillId="3" borderId="1" xfId="2" applyFont="1" applyFill="1" applyBorder="1" applyAlignment="1">
      <alignment vertical="top" wrapText="1"/>
    </xf>
    <xf numFmtId="49" fontId="6" fillId="8" borderId="1" xfId="2" applyNumberFormat="1" applyFont="1" applyFill="1" applyBorder="1" applyAlignment="1">
      <alignment vertical="top"/>
    </xf>
    <xf numFmtId="0" fontId="5" fillId="8" borderId="1" xfId="2" applyFont="1" applyFill="1" applyBorder="1" applyAlignment="1">
      <alignment vertical="top" wrapText="1"/>
    </xf>
    <xf numFmtId="9" fontId="6" fillId="8" borderId="1" xfId="5" applyFont="1" applyFill="1" applyBorder="1" applyAlignment="1">
      <alignment vertical="top" wrapText="1"/>
    </xf>
    <xf numFmtId="0" fontId="2" fillId="8" borderId="1" xfId="2" applyFill="1" applyBorder="1" applyAlignment="1">
      <alignment vertical="top"/>
    </xf>
    <xf numFmtId="0" fontId="2" fillId="8" borderId="2" xfId="2" applyFont="1" applyFill="1" applyBorder="1" applyAlignment="1">
      <alignment vertical="top" wrapText="1"/>
    </xf>
    <xf numFmtId="1" fontId="2" fillId="8" borderId="1" xfId="2" applyNumberFormat="1" applyFill="1" applyBorder="1" applyAlignment="1">
      <alignment vertical="top"/>
    </xf>
    <xf numFmtId="0" fontId="5" fillId="8" borderId="6" xfId="2" applyFont="1" applyFill="1" applyBorder="1" applyAlignment="1">
      <alignment vertical="top" wrapText="1"/>
    </xf>
    <xf numFmtId="49" fontId="5" fillId="8" borderId="1" xfId="2" applyNumberFormat="1" applyFont="1" applyFill="1" applyBorder="1" applyAlignment="1">
      <alignment vertical="top"/>
    </xf>
    <xf numFmtId="0" fontId="2" fillId="5" borderId="1" xfId="2" applyFill="1" applyBorder="1" applyAlignment="1">
      <alignment vertical="top"/>
    </xf>
    <xf numFmtId="1" fontId="2" fillId="5" borderId="1" xfId="2" applyNumberFormat="1" applyFill="1" applyBorder="1" applyAlignment="1">
      <alignment vertical="top"/>
    </xf>
    <xf numFmtId="0" fontId="2" fillId="3" borderId="1" xfId="2" applyNumberFormat="1" applyFont="1" applyFill="1" applyBorder="1" applyAlignment="1">
      <alignment vertical="top" wrapText="1"/>
    </xf>
    <xf numFmtId="0" fontId="2" fillId="8" borderId="2" xfId="2" applyNumberFormat="1" applyFill="1" applyBorder="1" applyAlignment="1">
      <alignment vertical="top" wrapText="1"/>
    </xf>
    <xf numFmtId="0" fontId="2" fillId="8" borderId="2" xfId="2" applyNumberFormat="1" applyFont="1" applyFill="1" applyBorder="1" applyAlignment="1">
      <alignment vertical="top" wrapText="1"/>
    </xf>
    <xf numFmtId="0" fontId="4" fillId="8" borderId="2" xfId="2" applyNumberFormat="1" applyFont="1" applyFill="1" applyBorder="1" applyAlignment="1">
      <alignment vertical="top" wrapText="1"/>
    </xf>
    <xf numFmtId="9" fontId="5" fillId="3" borderId="8" xfId="2" applyNumberFormat="1" applyFont="1" applyFill="1" applyBorder="1" applyAlignment="1">
      <alignment vertical="top" wrapText="1"/>
    </xf>
    <xf numFmtId="1" fontId="2" fillId="5" borderId="1" xfId="2" applyNumberFormat="1" applyFill="1" applyBorder="1" applyAlignment="1">
      <alignment vertical="top" textRotation="90"/>
    </xf>
    <xf numFmtId="0" fontId="5" fillId="5" borderId="1" xfId="2" applyFont="1" applyFill="1" applyBorder="1" applyAlignment="1">
      <alignment vertical="top" textRotation="90"/>
    </xf>
    <xf numFmtId="0" fontId="2" fillId="9" borderId="1" xfId="2" applyFont="1" applyFill="1" applyBorder="1" applyAlignment="1" applyProtection="1">
      <alignment vertical="top" wrapText="1"/>
      <protection locked="0"/>
    </xf>
    <xf numFmtId="49" fontId="5" fillId="3" borderId="1" xfId="2" applyNumberFormat="1" applyFont="1" applyFill="1" applyBorder="1" applyAlignment="1">
      <alignment vertical="top" wrapText="1"/>
    </xf>
    <xf numFmtId="165" fontId="2" fillId="3" borderId="1" xfId="2" applyNumberFormat="1" applyFill="1" applyBorder="1" applyAlignment="1">
      <alignment vertical="top"/>
    </xf>
    <xf numFmtId="2" fontId="2" fillId="5" borderId="1" xfId="2" applyNumberFormat="1" applyFill="1" applyBorder="1" applyAlignment="1">
      <alignment vertical="top"/>
    </xf>
    <xf numFmtId="0" fontId="2" fillId="5" borderId="1" xfId="2" applyFill="1" applyBorder="1" applyAlignment="1" applyProtection="1">
      <alignment vertical="top"/>
      <protection locked="0"/>
    </xf>
    <xf numFmtId="0" fontId="2" fillId="5" borderId="1" xfId="2" applyFont="1" applyFill="1" applyBorder="1" applyAlignment="1">
      <alignment vertical="top"/>
    </xf>
    <xf numFmtId="164" fontId="3" fillId="10" borderId="1" xfId="2" applyNumberFormat="1" applyFont="1" applyFill="1" applyBorder="1" applyAlignment="1">
      <alignment vertical="top" wrapText="1"/>
    </xf>
    <xf numFmtId="0" fontId="2" fillId="10" borderId="2" xfId="2" applyNumberFormat="1" applyFont="1" applyFill="1" applyBorder="1" applyAlignment="1">
      <alignment vertical="top" wrapText="1"/>
    </xf>
    <xf numFmtId="0" fontId="5" fillId="10" borderId="1" xfId="2" applyNumberFormat="1" applyFont="1" applyFill="1" applyBorder="1" applyAlignment="1">
      <alignment horizontal="left" vertical="top" wrapText="1"/>
    </xf>
    <xf numFmtId="0" fontId="2" fillId="11" borderId="2" xfId="2" applyNumberFormat="1" applyFill="1" applyBorder="1" applyAlignment="1">
      <alignment vertical="top" wrapText="1"/>
    </xf>
    <xf numFmtId="1" fontId="2" fillId="11" borderId="1" xfId="2" applyNumberFormat="1" applyFill="1" applyBorder="1" applyAlignment="1">
      <alignment vertical="top"/>
    </xf>
    <xf numFmtId="165" fontId="2" fillId="5" borderId="1" xfId="2" applyNumberFormat="1" applyFill="1" applyBorder="1" applyAlignment="1">
      <alignment vertical="top"/>
    </xf>
    <xf numFmtId="0" fontId="2" fillId="5" borderId="0" xfId="2" applyFill="1" applyBorder="1" applyAlignment="1">
      <alignment vertical="top"/>
    </xf>
    <xf numFmtId="0" fontId="2" fillId="5" borderId="0" xfId="2" applyFill="1" applyAlignment="1">
      <alignment vertical="top"/>
    </xf>
    <xf numFmtId="0" fontId="3" fillId="5" borderId="1" xfId="2" applyFont="1" applyFill="1" applyBorder="1" applyAlignment="1">
      <alignment vertical="top" textRotation="90" wrapText="1"/>
    </xf>
    <xf numFmtId="0" fontId="2" fillId="11" borderId="1" xfId="2" applyFill="1" applyBorder="1" applyAlignment="1">
      <alignment vertical="top"/>
    </xf>
    <xf numFmtId="1" fontId="2" fillId="12" borderId="1" xfId="2" applyNumberFormat="1" applyFill="1" applyBorder="1" applyAlignment="1">
      <alignment vertical="top"/>
    </xf>
    <xf numFmtId="0" fontId="2" fillId="5" borderId="1" xfId="2" applyFont="1" applyFill="1" applyBorder="1" applyAlignment="1" applyProtection="1">
      <alignment vertical="top"/>
      <protection locked="0"/>
    </xf>
    <xf numFmtId="1" fontId="2" fillId="3" borderId="1" xfId="2" applyNumberFormat="1" applyFill="1" applyBorder="1" applyAlignment="1">
      <alignment vertical="top"/>
    </xf>
    <xf numFmtId="165" fontId="2" fillId="12" borderId="1" xfId="2" applyNumberFormat="1" applyFill="1" applyBorder="1" applyAlignment="1">
      <alignment vertical="top"/>
    </xf>
    <xf numFmtId="9" fontId="2" fillId="8" borderId="2" xfId="5" applyFont="1" applyFill="1" applyBorder="1" applyAlignment="1">
      <alignment vertical="top" wrapText="1"/>
    </xf>
    <xf numFmtId="9" fontId="0" fillId="0" borderId="0" xfId="5" applyFont="1" applyFill="1"/>
    <xf numFmtId="2" fontId="2" fillId="8" borderId="1" xfId="2" applyNumberFormat="1" applyFill="1" applyBorder="1" applyAlignment="1">
      <alignment vertical="top"/>
    </xf>
    <xf numFmtId="165" fontId="2" fillId="5" borderId="1" xfId="2" applyNumberFormat="1" applyFill="1" applyBorder="1" applyAlignment="1">
      <alignment vertical="top" textRotation="90"/>
    </xf>
    <xf numFmtId="165" fontId="0" fillId="0" borderId="0" xfId="0" applyNumberFormat="1"/>
    <xf numFmtId="1" fontId="2" fillId="11" borderId="2" xfId="2" applyNumberFormat="1" applyFill="1" applyBorder="1" applyAlignment="1">
      <alignment vertical="top" wrapText="1"/>
    </xf>
    <xf numFmtId="1" fontId="2" fillId="8" borderId="2" xfId="2" applyNumberFormat="1" applyFill="1" applyBorder="1" applyAlignment="1">
      <alignment vertical="top" wrapText="1"/>
    </xf>
    <xf numFmtId="1" fontId="0" fillId="0" borderId="0" xfId="0" applyNumberFormat="1"/>
    <xf numFmtId="0" fontId="2" fillId="5" borderId="8" xfId="2" applyFill="1" applyBorder="1" applyAlignment="1">
      <alignment vertical="top"/>
    </xf>
    <xf numFmtId="0" fontId="2" fillId="0" borderId="9" xfId="2" applyFill="1" applyBorder="1" applyAlignment="1">
      <alignment vertical="center" wrapText="1"/>
    </xf>
    <xf numFmtId="9" fontId="5" fillId="13" borderId="18" xfId="3" applyFont="1" applyFill="1" applyBorder="1" applyAlignment="1" applyProtection="1">
      <alignment horizontal="center" vertical="top" wrapText="1"/>
      <protection locked="0"/>
    </xf>
    <xf numFmtId="0" fontId="5" fillId="0" borderId="6" xfId="2" applyFont="1" applyFill="1" applyBorder="1" applyAlignment="1">
      <alignment wrapText="1"/>
    </xf>
    <xf numFmtId="0" fontId="5" fillId="0" borderId="6" xfId="2" applyFont="1" applyFill="1" applyBorder="1" applyAlignment="1">
      <alignment vertical="center" wrapText="1"/>
    </xf>
    <xf numFmtId="0" fontId="5" fillId="0" borderId="19" xfId="2" applyFont="1" applyFill="1" applyBorder="1" applyAlignment="1">
      <alignment horizontal="center" vertical="center" wrapText="1"/>
    </xf>
    <xf numFmtId="0" fontId="17" fillId="0" borderId="0" xfId="0" applyFont="1" applyBorder="1"/>
    <xf numFmtId="0" fontId="19" fillId="0" borderId="8" xfId="0" applyFont="1" applyBorder="1" applyAlignment="1">
      <alignment horizontal="left" vertical="top"/>
    </xf>
    <xf numFmtId="0" fontId="19" fillId="0" borderId="1" xfId="0" applyFont="1" applyBorder="1" applyAlignment="1">
      <alignment vertical="top" wrapText="1"/>
    </xf>
    <xf numFmtId="0" fontId="17" fillId="0" borderId="1" xfId="0" applyFont="1" applyBorder="1" applyAlignment="1">
      <alignment vertical="top" wrapText="1"/>
    </xf>
    <xf numFmtId="0" fontId="19" fillId="0" borderId="1" xfId="0" applyFont="1" applyBorder="1" applyAlignment="1">
      <alignment vertical="top"/>
    </xf>
    <xf numFmtId="0" fontId="19" fillId="0" borderId="1" xfId="0" applyFont="1" applyFill="1" applyBorder="1" applyAlignment="1">
      <alignment vertical="top"/>
    </xf>
    <xf numFmtId="0" fontId="17" fillId="0" borderId="1" xfId="0" applyFont="1" applyFill="1" applyBorder="1" applyAlignment="1">
      <alignment vertical="top"/>
    </xf>
    <xf numFmtId="0" fontId="17" fillId="0" borderId="1" xfId="0" applyFont="1" applyFill="1" applyBorder="1" applyAlignment="1">
      <alignment vertical="top" wrapText="1"/>
    </xf>
    <xf numFmtId="0" fontId="17" fillId="0" borderId="0" xfId="0" applyFont="1"/>
    <xf numFmtId="0" fontId="17" fillId="0" borderId="0" xfId="0" applyFont="1" applyAlignment="1">
      <alignment vertical="top"/>
    </xf>
    <xf numFmtId="49" fontId="19" fillId="0" borderId="1" xfId="0" applyNumberFormat="1" applyFont="1" applyBorder="1" applyAlignment="1" applyProtection="1">
      <alignment horizontal="left" vertical="top"/>
    </xf>
    <xf numFmtId="0" fontId="19" fillId="0" borderId="1" xfId="0" applyFont="1" applyBorder="1" applyAlignment="1" applyProtection="1">
      <alignment horizontal="left" vertical="top"/>
    </xf>
    <xf numFmtId="0" fontId="19" fillId="0" borderId="1" xfId="0" applyFont="1" applyBorder="1" applyAlignment="1" applyProtection="1">
      <alignment horizontal="left" vertical="top" wrapText="1"/>
    </xf>
    <xf numFmtId="49" fontId="22" fillId="0" borderId="1" xfId="0" applyNumberFormat="1" applyFont="1" applyFill="1" applyBorder="1" applyAlignment="1" applyProtection="1">
      <alignment horizontal="right" vertical="top"/>
    </xf>
    <xf numFmtId="0" fontId="22" fillId="0" borderId="1" xfId="0" applyFont="1" applyFill="1" applyBorder="1" applyAlignment="1" applyProtection="1">
      <alignment horizontal="left" vertical="top"/>
    </xf>
    <xf numFmtId="0" fontId="22" fillId="0" borderId="1" xfId="0" applyFont="1" applyFill="1" applyBorder="1" applyAlignment="1" applyProtection="1">
      <alignment vertical="top"/>
    </xf>
    <xf numFmtId="0" fontId="19" fillId="0" borderId="0" xfId="0" applyFont="1" applyAlignment="1">
      <alignment vertical="top"/>
    </xf>
    <xf numFmtId="0" fontId="18" fillId="0" borderId="1" xfId="0" applyFont="1" applyFill="1" applyBorder="1" applyAlignment="1" applyProtection="1">
      <alignment horizontal="left" vertical="top"/>
    </xf>
    <xf numFmtId="49" fontId="19" fillId="0" borderId="1" xfId="0" applyNumberFormat="1" applyFont="1" applyFill="1" applyBorder="1" applyAlignment="1" applyProtection="1">
      <alignment horizontal="right" vertical="top"/>
    </xf>
    <xf numFmtId="0" fontId="19" fillId="0" borderId="1" xfId="0" applyFont="1" applyFill="1" applyBorder="1" applyAlignment="1" applyProtection="1">
      <alignment vertical="top"/>
    </xf>
    <xf numFmtId="49" fontId="17" fillId="0" borderId="1" xfId="0" applyNumberFormat="1" applyFont="1" applyFill="1" applyBorder="1" applyAlignment="1" applyProtection="1">
      <alignment horizontal="right" vertical="top"/>
    </xf>
    <xf numFmtId="0" fontId="17" fillId="0" borderId="1" xfId="0" applyFont="1" applyFill="1" applyBorder="1" applyAlignment="1" applyProtection="1">
      <alignment horizontal="left" vertical="top"/>
    </xf>
    <xf numFmtId="0" fontId="17" fillId="0" borderId="1" xfId="0" applyFont="1" applyFill="1" applyBorder="1" applyAlignment="1" applyProtection="1">
      <alignment horizontal="left" vertical="top" wrapText="1"/>
    </xf>
    <xf numFmtId="0" fontId="17" fillId="4" borderId="1" xfId="0" applyFont="1" applyFill="1" applyBorder="1" applyAlignment="1" applyProtection="1">
      <alignment vertical="top"/>
      <protection locked="0"/>
    </xf>
    <xf numFmtId="49" fontId="17" fillId="0" borderId="1" xfId="0" applyNumberFormat="1" applyFont="1" applyFill="1" applyBorder="1" applyAlignment="1" applyProtection="1">
      <alignment vertical="top" wrapText="1"/>
      <protection locked="0"/>
    </xf>
    <xf numFmtId="0" fontId="22" fillId="0" borderId="1" xfId="0" quotePrefix="1" applyFont="1" applyBorder="1" applyAlignment="1" applyProtection="1">
      <alignment vertical="top"/>
    </xf>
    <xf numFmtId="0" fontId="17" fillId="0" borderId="1" xfId="0" applyNumberFormat="1" applyFont="1" applyFill="1" applyBorder="1" applyAlignment="1" applyProtection="1">
      <alignment horizontal="right" vertical="top"/>
    </xf>
    <xf numFmtId="0" fontId="17" fillId="5" borderId="1" xfId="0" applyFont="1" applyFill="1" applyBorder="1" applyAlignment="1" applyProtection="1">
      <alignment vertical="top"/>
      <protection locked="0"/>
    </xf>
    <xf numFmtId="0" fontId="17" fillId="0" borderId="1" xfId="0" applyNumberFormat="1" applyFont="1" applyFill="1" applyBorder="1" applyAlignment="1" applyProtection="1">
      <alignment vertical="top" wrapText="1"/>
      <protection locked="0"/>
    </xf>
    <xf numFmtId="0" fontId="23" fillId="0" borderId="1" xfId="1" quotePrefix="1" applyFont="1" applyFill="1" applyBorder="1" applyAlignment="1" applyProtection="1">
      <alignment vertical="top"/>
    </xf>
    <xf numFmtId="49" fontId="17" fillId="5" borderId="1" xfId="0" applyNumberFormat="1" applyFont="1" applyFill="1" applyBorder="1" applyAlignment="1" applyProtection="1">
      <alignment vertical="top" wrapText="1"/>
      <protection locked="0"/>
    </xf>
    <xf numFmtId="0" fontId="17" fillId="7" borderId="1" xfId="0" applyNumberFormat="1" applyFont="1" applyFill="1" applyBorder="1" applyAlignment="1" applyProtection="1">
      <alignment horizontal="right" vertical="top"/>
    </xf>
    <xf numFmtId="0" fontId="17" fillId="7" borderId="1" xfId="0" applyFont="1" applyFill="1" applyBorder="1" applyAlignment="1" applyProtection="1">
      <alignment horizontal="left" vertical="top"/>
    </xf>
    <xf numFmtId="0" fontId="17" fillId="7" borderId="1" xfId="0" applyFont="1" applyFill="1" applyBorder="1" applyAlignment="1" applyProtection="1">
      <alignment horizontal="left" vertical="top" wrapText="1"/>
    </xf>
    <xf numFmtId="0" fontId="17" fillId="0" borderId="1" xfId="0" applyFont="1" applyFill="1" applyBorder="1" applyAlignment="1" applyProtection="1">
      <alignment vertical="top"/>
    </xf>
    <xf numFmtId="0" fontId="19" fillId="0" borderId="1" xfId="0" applyFont="1" applyFill="1" applyBorder="1" applyAlignment="1" applyProtection="1">
      <alignment horizontal="left" vertical="top"/>
    </xf>
    <xf numFmtId="0" fontId="19" fillId="0" borderId="1" xfId="0" applyFont="1" applyFill="1" applyBorder="1" applyAlignment="1" applyProtection="1">
      <alignment horizontal="left" vertical="top" wrapText="1"/>
    </xf>
    <xf numFmtId="0" fontId="17" fillId="5" borderId="1" xfId="0" applyFont="1" applyFill="1" applyBorder="1" applyAlignment="1" applyProtection="1">
      <alignment vertical="top" wrapText="1"/>
      <protection locked="0"/>
    </xf>
    <xf numFmtId="0" fontId="17" fillId="0" borderId="1" xfId="0" applyFont="1" applyFill="1" applyBorder="1" applyAlignment="1" applyProtection="1">
      <alignment vertical="top" wrapText="1"/>
      <protection locked="0"/>
    </xf>
    <xf numFmtId="0" fontId="17" fillId="0" borderId="1" xfId="0" applyFont="1" applyFill="1" applyBorder="1" applyAlignment="1" applyProtection="1">
      <alignment vertical="top" wrapText="1"/>
    </xf>
    <xf numFmtId="0" fontId="17" fillId="0" borderId="1" xfId="0" applyFont="1" applyFill="1" applyBorder="1" applyAlignment="1" applyProtection="1">
      <alignment vertical="top"/>
      <protection locked="0"/>
    </xf>
    <xf numFmtId="0" fontId="24" fillId="7" borderId="1" xfId="0" applyFont="1" applyFill="1" applyBorder="1" applyAlignment="1" applyProtection="1">
      <alignment horizontal="left" vertical="top" wrapText="1"/>
    </xf>
    <xf numFmtId="0" fontId="19" fillId="0" borderId="1" xfId="0" applyFont="1" applyFill="1" applyBorder="1" applyAlignment="1" applyProtection="1">
      <alignment vertical="top" wrapText="1"/>
    </xf>
    <xf numFmtId="49" fontId="17" fillId="7" borderId="1" xfId="0" applyNumberFormat="1" applyFont="1" applyFill="1" applyBorder="1" applyAlignment="1" applyProtection="1">
      <alignment horizontal="right" vertical="top"/>
    </xf>
    <xf numFmtId="0" fontId="17" fillId="0" borderId="0" xfId="0" applyFont="1" applyFill="1" applyAlignment="1">
      <alignment vertical="top"/>
    </xf>
    <xf numFmtId="49" fontId="17" fillId="0" borderId="1" xfId="0" applyNumberFormat="1" applyFont="1" applyFill="1" applyBorder="1" applyAlignment="1" applyProtection="1">
      <alignment horizontal="right" vertical="top" wrapText="1"/>
    </xf>
    <xf numFmtId="0" fontId="17" fillId="0" borderId="8" xfId="0" applyFont="1" applyFill="1" applyBorder="1" applyAlignment="1" applyProtection="1">
      <alignment vertical="top"/>
    </xf>
    <xf numFmtId="49" fontId="17" fillId="7" borderId="1" xfId="0" applyNumberFormat="1" applyFont="1" applyFill="1" applyBorder="1" applyAlignment="1" applyProtection="1">
      <alignment horizontal="right" vertical="top" wrapText="1"/>
    </xf>
    <xf numFmtId="49" fontId="17" fillId="0" borderId="6" xfId="0" applyNumberFormat="1" applyFont="1" applyFill="1" applyBorder="1" applyAlignment="1" applyProtection="1">
      <alignment vertical="top" wrapText="1"/>
      <protection locked="0"/>
    </xf>
    <xf numFmtId="49" fontId="17" fillId="5" borderId="6" xfId="0" applyNumberFormat="1" applyFont="1" applyFill="1" applyBorder="1" applyAlignment="1" applyProtection="1">
      <alignment vertical="top" wrapText="1"/>
      <protection locked="0"/>
    </xf>
    <xf numFmtId="0" fontId="17" fillId="0" borderId="6" xfId="0" applyFont="1" applyFill="1" applyBorder="1" applyAlignment="1" applyProtection="1">
      <alignment vertical="top"/>
      <protection locked="0"/>
    </xf>
    <xf numFmtId="0" fontId="17" fillId="0" borderId="11" xfId="0" applyFont="1" applyFill="1" applyBorder="1" applyAlignment="1" applyProtection="1">
      <alignment vertical="top"/>
    </xf>
    <xf numFmtId="49" fontId="17" fillId="0" borderId="1" xfId="0" applyNumberFormat="1" applyFont="1" applyBorder="1" applyAlignment="1" applyProtection="1">
      <alignment horizontal="right" vertical="top"/>
    </xf>
    <xf numFmtId="49" fontId="17" fillId="0" borderId="0" xfId="0" applyNumberFormat="1" applyFont="1" applyFill="1" applyBorder="1" applyAlignment="1" applyProtection="1">
      <alignment horizontal="right" vertical="top" wrapText="1"/>
    </xf>
    <xf numFmtId="0" fontId="17" fillId="0" borderId="0" xfId="0" applyFont="1" applyFill="1" applyBorder="1" applyAlignment="1" applyProtection="1">
      <alignment horizontal="left" vertical="top"/>
    </xf>
    <xf numFmtId="0" fontId="17" fillId="0" borderId="0" xfId="0" applyFont="1" applyFill="1" applyBorder="1" applyAlignment="1" applyProtection="1">
      <alignment horizontal="left" vertical="top" wrapText="1"/>
    </xf>
    <xf numFmtId="0" fontId="17" fillId="0" borderId="0" xfId="0" applyFont="1" applyFill="1" applyBorder="1" applyAlignment="1" applyProtection="1">
      <alignment vertical="top"/>
    </xf>
    <xf numFmtId="49" fontId="17" fillId="0" borderId="0" xfId="0" applyNumberFormat="1" applyFont="1" applyFill="1" applyBorder="1" applyAlignment="1" applyProtection="1">
      <alignment vertical="top" wrapText="1"/>
    </xf>
    <xf numFmtId="49" fontId="22" fillId="0" borderId="29" xfId="0" applyNumberFormat="1" applyFont="1" applyFill="1" applyBorder="1" applyAlignment="1" applyProtection="1">
      <alignment horizontal="right" vertical="top"/>
    </xf>
    <xf numFmtId="0" fontId="22" fillId="0" borderId="29" xfId="0" applyFont="1" applyFill="1" applyBorder="1" applyAlignment="1" applyProtection="1">
      <alignment horizontal="left" vertical="top"/>
    </xf>
    <xf numFmtId="0" fontId="22" fillId="0" borderId="30" xfId="0" applyFont="1" applyFill="1" applyBorder="1" applyAlignment="1" applyProtection="1">
      <alignment horizontal="left" vertical="top"/>
    </xf>
    <xf numFmtId="0" fontId="22" fillId="0" borderId="30" xfId="0" applyFont="1" applyFill="1" applyBorder="1" applyAlignment="1" applyProtection="1">
      <alignment vertical="top"/>
    </xf>
    <xf numFmtId="0" fontId="22" fillId="0" borderId="31" xfId="0" applyFont="1" applyFill="1" applyBorder="1" applyAlignment="1" applyProtection="1">
      <alignment horizontal="left" vertical="top"/>
    </xf>
    <xf numFmtId="0" fontId="19" fillId="0" borderId="2" xfId="0" applyFont="1" applyFill="1" applyBorder="1" applyAlignment="1" applyProtection="1">
      <alignment vertical="top"/>
    </xf>
    <xf numFmtId="0" fontId="19" fillId="7" borderId="1" xfId="0" applyFont="1" applyFill="1" applyBorder="1" applyAlignment="1" applyProtection="1">
      <alignment horizontal="left" vertical="top"/>
    </xf>
    <xf numFmtId="0" fontId="19" fillId="5" borderId="1" xfId="0" applyFont="1" applyFill="1" applyBorder="1" applyAlignment="1" applyProtection="1">
      <alignment vertical="top"/>
      <protection locked="0"/>
    </xf>
    <xf numFmtId="0" fontId="19" fillId="0" borderId="2" xfId="0" applyFont="1" applyFill="1" applyBorder="1" applyAlignment="1" applyProtection="1">
      <alignment vertical="top"/>
      <protection locked="0"/>
    </xf>
    <xf numFmtId="0" fontId="19" fillId="5" borderId="2" xfId="0" applyFont="1" applyFill="1" applyBorder="1" applyAlignment="1" applyProtection="1">
      <alignment vertical="top"/>
      <protection locked="0"/>
    </xf>
    <xf numFmtId="0" fontId="17" fillId="0" borderId="1" xfId="0" applyFont="1" applyFill="1" applyBorder="1" applyAlignment="1" applyProtection="1">
      <alignment horizontal="center" vertical="top"/>
    </xf>
    <xf numFmtId="49" fontId="17" fillId="0" borderId="2" xfId="0" applyNumberFormat="1" applyFont="1" applyFill="1" applyBorder="1" applyAlignment="1" applyProtection="1">
      <alignment vertical="top" wrapText="1"/>
    </xf>
    <xf numFmtId="0" fontId="23" fillId="0" borderId="1" xfId="1" applyFont="1" applyFill="1" applyBorder="1" applyAlignment="1" applyProtection="1">
      <alignment horizontal="left" vertical="top"/>
    </xf>
    <xf numFmtId="0" fontId="17" fillId="5" borderId="1" xfId="0" applyFont="1" applyFill="1" applyBorder="1" applyAlignment="1" applyProtection="1">
      <alignment horizontal="center" vertical="top"/>
      <protection locked="0"/>
    </xf>
    <xf numFmtId="0" fontId="27" fillId="0" borderId="1" xfId="1" applyFont="1" applyFill="1" applyBorder="1" applyAlignment="1" applyProtection="1">
      <alignment vertical="top" wrapText="1"/>
    </xf>
    <xf numFmtId="49" fontId="17" fillId="0" borderId="1" xfId="0" applyNumberFormat="1" applyFont="1" applyFill="1" applyBorder="1" applyAlignment="1" applyProtection="1">
      <alignment vertical="top" wrapText="1"/>
    </xf>
    <xf numFmtId="49" fontId="19" fillId="0" borderId="1" xfId="0" applyNumberFormat="1" applyFont="1" applyFill="1" applyBorder="1" applyAlignment="1" applyProtection="1">
      <alignment horizontal="right" vertical="top" wrapText="1"/>
    </xf>
    <xf numFmtId="0" fontId="17" fillId="0" borderId="1" xfId="0" applyFont="1" applyFill="1" applyBorder="1" applyAlignment="1" applyProtection="1">
      <alignment horizontal="left" vertical="top" wrapText="1"/>
      <protection locked="0"/>
    </xf>
    <xf numFmtId="0" fontId="28" fillId="0" borderId="1" xfId="0" applyFont="1" applyFill="1" applyBorder="1" applyAlignment="1" applyProtection="1">
      <alignment vertical="top"/>
    </xf>
    <xf numFmtId="49" fontId="22" fillId="0" borderId="22" xfId="0" applyNumberFormat="1" applyFont="1" applyFill="1" applyBorder="1" applyAlignment="1" applyProtection="1">
      <alignment horizontal="right" vertical="top"/>
    </xf>
    <xf numFmtId="0" fontId="22" fillId="0" borderId="22" xfId="0" applyFont="1" applyFill="1" applyBorder="1" applyAlignment="1" applyProtection="1">
      <alignment horizontal="left" vertical="top"/>
    </xf>
    <xf numFmtId="0" fontId="22" fillId="0" borderId="23" xfId="0" applyFont="1" applyFill="1" applyBorder="1" applyAlignment="1" applyProtection="1">
      <alignment horizontal="left" vertical="top"/>
    </xf>
    <xf numFmtId="0" fontId="22" fillId="0" borderId="23" xfId="0" applyFont="1" applyFill="1" applyBorder="1" applyAlignment="1" applyProtection="1">
      <alignment vertical="top"/>
    </xf>
    <xf numFmtId="0" fontId="22" fillId="0" borderId="24" xfId="0" applyFont="1" applyFill="1" applyBorder="1" applyAlignment="1" applyProtection="1">
      <alignment horizontal="left" vertical="top"/>
    </xf>
    <xf numFmtId="0" fontId="19" fillId="0" borderId="1" xfId="0" applyFont="1" applyFill="1" applyBorder="1" applyAlignment="1" applyProtection="1">
      <alignment horizontal="center" vertical="top"/>
    </xf>
    <xf numFmtId="0" fontId="27" fillId="0" borderId="1" xfId="1" applyFont="1" applyFill="1" applyBorder="1" applyAlignment="1" applyProtection="1">
      <alignment horizontal="left" vertical="top"/>
    </xf>
    <xf numFmtId="0" fontId="17" fillId="0" borderId="0" xfId="0" applyFont="1" applyFill="1" applyAlignment="1" applyProtection="1">
      <alignment horizontal="left" vertical="top"/>
    </xf>
    <xf numFmtId="0" fontId="17" fillId="0" borderId="3" xfId="0" applyFont="1" applyFill="1" applyBorder="1" applyAlignment="1" applyProtection="1">
      <alignment horizontal="left" vertical="top"/>
    </xf>
    <xf numFmtId="0" fontId="17" fillId="7" borderId="1" xfId="0" applyNumberFormat="1" applyFont="1" applyFill="1" applyBorder="1" applyAlignment="1" applyProtection="1">
      <alignment horizontal="right" vertical="top" wrapText="1"/>
    </xf>
    <xf numFmtId="0" fontId="29" fillId="0" borderId="1" xfId="0" applyFont="1" applyFill="1" applyBorder="1" applyAlignment="1" applyProtection="1">
      <alignment vertical="top"/>
    </xf>
    <xf numFmtId="49" fontId="29" fillId="0" borderId="1" xfId="0" applyNumberFormat="1" applyFont="1" applyFill="1" applyBorder="1" applyAlignment="1" applyProtection="1">
      <alignment vertical="top" wrapText="1"/>
    </xf>
    <xf numFmtId="0" fontId="29" fillId="0" borderId="1" xfId="0" applyFont="1" applyFill="1" applyBorder="1" applyAlignment="1" applyProtection="1">
      <alignment horizontal="left" vertical="top"/>
    </xf>
    <xf numFmtId="0" fontId="17" fillId="7" borderId="0" xfId="0" applyFont="1" applyFill="1" applyAlignment="1" applyProtection="1">
      <alignment horizontal="left" vertical="top"/>
    </xf>
    <xf numFmtId="0" fontId="17" fillId="0" borderId="1" xfId="0" applyNumberFormat="1" applyFont="1" applyFill="1" applyBorder="1" applyAlignment="1" applyProtection="1">
      <alignment horizontal="right" vertical="top" wrapText="1"/>
    </xf>
    <xf numFmtId="0" fontId="29" fillId="0" borderId="0" xfId="0" applyFont="1" applyFill="1" applyBorder="1" applyAlignment="1" applyProtection="1">
      <alignment vertical="top"/>
    </xf>
    <xf numFmtId="49" fontId="29" fillId="0" borderId="0" xfId="0" applyNumberFormat="1" applyFont="1" applyFill="1" applyBorder="1" applyAlignment="1" applyProtection="1">
      <alignment vertical="top" wrapText="1"/>
    </xf>
    <xf numFmtId="0" fontId="29" fillId="0" borderId="0" xfId="0" applyFont="1" applyFill="1" applyBorder="1" applyAlignment="1" applyProtection="1">
      <alignment horizontal="left" vertical="top"/>
    </xf>
    <xf numFmtId="0" fontId="17" fillId="0" borderId="0" xfId="0" applyFont="1" applyFill="1" applyBorder="1" applyAlignment="1">
      <alignment vertical="top"/>
    </xf>
    <xf numFmtId="0" fontId="30" fillId="5" borderId="1" xfId="4" applyFont="1" applyFill="1" applyBorder="1" applyAlignment="1" applyProtection="1">
      <alignment vertical="top"/>
      <protection locked="0"/>
    </xf>
    <xf numFmtId="49" fontId="30" fillId="0" borderId="1" xfId="4" applyNumberFormat="1" applyFont="1" applyFill="1" applyBorder="1" applyAlignment="1" applyProtection="1">
      <alignment vertical="top" wrapText="1"/>
      <protection locked="0"/>
    </xf>
    <xf numFmtId="0" fontId="30" fillId="0" borderId="1" xfId="4" applyFont="1" applyFill="1" applyBorder="1" applyAlignment="1" applyProtection="1">
      <alignment horizontal="left" vertical="top"/>
    </xf>
    <xf numFmtId="0" fontId="17" fillId="7" borderId="1" xfId="0" applyFont="1" applyFill="1" applyBorder="1" applyAlignment="1" applyProtection="1">
      <alignment horizontal="right" vertical="top"/>
    </xf>
    <xf numFmtId="49" fontId="30" fillId="5" borderId="1" xfId="4" applyNumberFormat="1" applyFont="1" applyFill="1" applyBorder="1" applyAlignment="1" applyProtection="1">
      <alignment vertical="top" wrapText="1"/>
      <protection locked="0"/>
    </xf>
    <xf numFmtId="0" fontId="30" fillId="0" borderId="1" xfId="4" applyFont="1" applyFill="1" applyBorder="1" applyAlignment="1" applyProtection="1">
      <alignment vertical="top"/>
    </xf>
    <xf numFmtId="49" fontId="30" fillId="0" borderId="1" xfId="4" applyNumberFormat="1" applyFont="1" applyFill="1" applyBorder="1" applyAlignment="1" applyProtection="1">
      <alignment vertical="top" wrapText="1"/>
    </xf>
    <xf numFmtId="0" fontId="17" fillId="0" borderId="8" xfId="0" applyFont="1" applyFill="1" applyBorder="1" applyAlignment="1" applyProtection="1">
      <alignment horizontal="left" vertical="top"/>
    </xf>
    <xf numFmtId="0" fontId="17" fillId="0" borderId="8" xfId="0" applyFont="1" applyFill="1" applyBorder="1" applyAlignment="1" applyProtection="1">
      <alignment horizontal="left" vertical="top" wrapText="1"/>
    </xf>
    <xf numFmtId="0" fontId="30" fillId="0" borderId="1" xfId="4" applyFont="1" applyFill="1" applyBorder="1" applyAlignment="1" applyProtection="1">
      <alignment horizontal="center" vertical="top"/>
    </xf>
    <xf numFmtId="49" fontId="30" fillId="0" borderId="1" xfId="4" applyNumberFormat="1" applyFont="1" applyFill="1" applyBorder="1" applyAlignment="1" applyProtection="1">
      <alignment horizontal="center" vertical="top" wrapText="1"/>
    </xf>
    <xf numFmtId="0" fontId="30" fillId="0" borderId="8" xfId="4" applyFont="1" applyFill="1" applyBorder="1" applyAlignment="1" applyProtection="1">
      <alignment horizontal="left" vertical="top"/>
    </xf>
    <xf numFmtId="0" fontId="30" fillId="0" borderId="0" xfId="4" applyFont="1" applyFill="1" applyBorder="1" applyAlignment="1" applyProtection="1">
      <alignment vertical="top"/>
    </xf>
    <xf numFmtId="49" fontId="30" fillId="0" borderId="0" xfId="4" applyNumberFormat="1" applyFont="1" applyFill="1" applyBorder="1" applyAlignment="1" applyProtection="1">
      <alignment vertical="top" wrapText="1"/>
    </xf>
    <xf numFmtId="0" fontId="30" fillId="0" borderId="0" xfId="4" applyFont="1" applyFill="1" applyBorder="1" applyAlignment="1" applyProtection="1">
      <alignment horizontal="left" vertical="top"/>
    </xf>
    <xf numFmtId="49" fontId="22" fillId="0" borderId="28" xfId="0" applyNumberFormat="1" applyFont="1" applyFill="1" applyBorder="1" applyAlignment="1" applyProtection="1">
      <alignment horizontal="right" vertical="top"/>
    </xf>
    <xf numFmtId="0" fontId="22" fillId="0" borderId="28" xfId="0" applyFont="1" applyFill="1" applyBorder="1" applyAlignment="1" applyProtection="1">
      <alignment horizontal="left" vertical="top"/>
    </xf>
    <xf numFmtId="0" fontId="17" fillId="0" borderId="28" xfId="0" applyFont="1" applyFill="1" applyBorder="1" applyAlignment="1" applyProtection="1">
      <alignment horizontal="left" vertical="top" wrapText="1"/>
    </xf>
    <xf numFmtId="0" fontId="22" fillId="0" borderId="28" xfId="0" applyFont="1" applyFill="1" applyBorder="1" applyAlignment="1" applyProtection="1">
      <alignment vertical="top"/>
    </xf>
    <xf numFmtId="0" fontId="30" fillId="0" borderId="28" xfId="4" applyFont="1" applyFill="1" applyBorder="1" applyAlignment="1" applyProtection="1">
      <alignment vertical="top"/>
    </xf>
    <xf numFmtId="49" fontId="30" fillId="0" borderId="28" xfId="4" applyNumberFormat="1" applyFont="1" applyFill="1" applyBorder="1" applyAlignment="1" applyProtection="1">
      <alignment vertical="top" wrapText="1"/>
    </xf>
    <xf numFmtId="0" fontId="30" fillId="0" borderId="28" xfId="4" applyFont="1" applyFill="1" applyBorder="1" applyAlignment="1" applyProtection="1">
      <alignment horizontal="left" vertical="top"/>
    </xf>
    <xf numFmtId="0" fontId="17" fillId="0" borderId="0" xfId="0" applyFont="1" applyFill="1" applyAlignment="1" applyProtection="1">
      <alignment horizontal="left" vertical="top" wrapText="1"/>
    </xf>
    <xf numFmtId="49" fontId="17" fillId="0" borderId="0" xfId="0" applyNumberFormat="1" applyFont="1" applyFill="1" applyBorder="1" applyAlignment="1" applyProtection="1">
      <alignment horizontal="right" vertical="top"/>
    </xf>
    <xf numFmtId="0" fontId="17" fillId="0" borderId="0" xfId="0" applyFont="1" applyFill="1" applyBorder="1" applyAlignment="1" applyProtection="1">
      <alignment horizontal="center" vertical="top"/>
    </xf>
    <xf numFmtId="0" fontId="17" fillId="0" borderId="1" xfId="0" applyNumberFormat="1" applyFont="1" applyFill="1" applyBorder="1" applyAlignment="1" applyProtection="1">
      <alignment horizontal="left" vertical="top" wrapText="1"/>
    </xf>
    <xf numFmtId="0" fontId="17" fillId="0" borderId="0" xfId="0" applyFont="1" applyFill="1" applyBorder="1" applyAlignment="1" applyProtection="1">
      <alignment horizontal="left"/>
    </xf>
    <xf numFmtId="0" fontId="17" fillId="0" borderId="0" xfId="0" applyFont="1" applyFill="1" applyBorder="1" applyAlignment="1" applyProtection="1">
      <alignment horizontal="left" wrapText="1"/>
    </xf>
    <xf numFmtId="0" fontId="17" fillId="0" borderId="0" xfId="0" applyFont="1" applyFill="1" applyBorder="1" applyAlignment="1" applyProtection="1">
      <alignment horizontal="center"/>
    </xf>
    <xf numFmtId="0" fontId="17" fillId="5" borderId="1" xfId="0" applyFont="1" applyFill="1" applyBorder="1" applyAlignment="1" applyProtection="1">
      <alignment horizontal="center"/>
      <protection locked="0"/>
    </xf>
    <xf numFmtId="0" fontId="22" fillId="0" borderId="1" xfId="0" applyFont="1" applyFill="1" applyBorder="1" applyAlignment="1" applyProtection="1">
      <alignment horizontal="left" vertical="center"/>
    </xf>
    <xf numFmtId="0" fontId="17" fillId="0" borderId="1" xfId="0" applyFont="1" applyFill="1" applyBorder="1" applyAlignment="1" applyProtection="1">
      <alignment horizontal="left"/>
    </xf>
    <xf numFmtId="0" fontId="22" fillId="0" borderId="1" xfId="0" applyFont="1" applyFill="1" applyBorder="1" applyAlignment="1" applyProtection="1">
      <alignment horizontal="left"/>
    </xf>
    <xf numFmtId="0" fontId="17" fillId="0" borderId="1" xfId="0" applyFont="1" applyFill="1" applyBorder="1" applyAlignment="1" applyProtection="1">
      <alignment horizontal="center"/>
    </xf>
    <xf numFmtId="49" fontId="19" fillId="0" borderId="1" xfId="0" applyNumberFormat="1" applyFont="1" applyBorder="1" applyAlignment="1" applyProtection="1">
      <alignment horizontal="right" vertical="top"/>
    </xf>
    <xf numFmtId="0" fontId="17" fillId="0" borderId="0" xfId="0" applyFont="1" applyFill="1" applyBorder="1"/>
    <xf numFmtId="0" fontId="17" fillId="0" borderId="0" xfId="0" applyNumberFormat="1" applyFont="1" applyFill="1" applyBorder="1" applyAlignment="1" applyProtection="1">
      <alignment horizontal="right" vertical="top"/>
    </xf>
    <xf numFmtId="0" fontId="17" fillId="7" borderId="1" xfId="0" applyFont="1" applyFill="1" applyBorder="1" applyAlignment="1" applyProtection="1">
      <alignment horizontal="center"/>
      <protection locked="0"/>
    </xf>
    <xf numFmtId="0" fontId="17" fillId="0" borderId="1" xfId="0" applyFont="1" applyFill="1" applyBorder="1" applyAlignment="1" applyProtection="1">
      <alignment horizontal="left" vertical="center"/>
    </xf>
    <xf numFmtId="0" fontId="19" fillId="0" borderId="1" xfId="0" applyNumberFormat="1" applyFont="1" applyFill="1" applyBorder="1" applyAlignment="1" applyProtection="1">
      <alignment horizontal="right" vertical="top"/>
    </xf>
    <xf numFmtId="0" fontId="17" fillId="5" borderId="1" xfId="0" applyFont="1" applyFill="1" applyBorder="1" applyAlignment="1" applyProtection="1">
      <protection locked="0"/>
    </xf>
    <xf numFmtId="0" fontId="24" fillId="0" borderId="1" xfId="0" applyFont="1" applyFill="1" applyBorder="1" applyAlignment="1" applyProtection="1">
      <alignment horizontal="left" vertical="top" wrapText="1"/>
    </xf>
    <xf numFmtId="0" fontId="19" fillId="0" borderId="1" xfId="0" applyFont="1" applyFill="1" applyBorder="1" applyAlignment="1" applyProtection="1">
      <alignment horizontal="left"/>
    </xf>
    <xf numFmtId="49" fontId="17" fillId="0" borderId="0" xfId="0" applyNumberFormat="1" applyFont="1" applyFill="1" applyAlignment="1" applyProtection="1">
      <alignment horizontal="right" vertical="top"/>
    </xf>
    <xf numFmtId="0" fontId="17" fillId="0" borderId="0" xfId="0" applyFont="1" applyFill="1" applyAlignment="1" applyProtection="1">
      <alignment horizontal="left"/>
    </xf>
    <xf numFmtId="0" fontId="17" fillId="0" borderId="0" xfId="0" applyFont="1" applyFill="1" applyAlignment="1" applyProtection="1">
      <alignment horizontal="left" wrapText="1"/>
    </xf>
    <xf numFmtId="0" fontId="17" fillId="0" borderId="0" xfId="0" applyFont="1" applyFill="1" applyAlignment="1" applyProtection="1">
      <alignment horizontal="center"/>
    </xf>
    <xf numFmtId="49" fontId="17" fillId="0" borderId="0" xfId="0" applyNumberFormat="1" applyFont="1" applyFill="1" applyAlignment="1" applyProtection="1">
      <alignment vertical="top" wrapText="1"/>
    </xf>
    <xf numFmtId="0" fontId="28" fillId="0" borderId="1" xfId="0" applyFont="1" applyFill="1" applyBorder="1" applyAlignment="1" applyProtection="1">
      <alignment horizontal="left"/>
    </xf>
    <xf numFmtId="0" fontId="19" fillId="0" borderId="1" xfId="0" applyFont="1" applyFill="1" applyBorder="1" applyAlignment="1" applyProtection="1">
      <alignment horizontal="left" vertical="center"/>
    </xf>
    <xf numFmtId="0" fontId="17" fillId="0" borderId="1" xfId="0" applyNumberFormat="1" applyFont="1" applyBorder="1" applyAlignment="1" applyProtection="1">
      <alignment horizontal="right" vertical="top"/>
    </xf>
    <xf numFmtId="0" fontId="22" fillId="0" borderId="28" xfId="0" applyFont="1" applyFill="1" applyBorder="1" applyAlignment="1" applyProtection="1">
      <alignment horizontal="left"/>
    </xf>
    <xf numFmtId="0" fontId="17" fillId="0" borderId="28" xfId="0" applyFont="1" applyFill="1" applyBorder="1" applyAlignment="1" applyProtection="1">
      <alignment horizontal="left" wrapText="1"/>
    </xf>
    <xf numFmtId="0" fontId="17" fillId="0" borderId="28" xfId="0" applyFont="1" applyFill="1" applyBorder="1" applyAlignment="1" applyProtection="1">
      <alignment horizontal="center"/>
    </xf>
    <xf numFmtId="49" fontId="17" fillId="0" borderId="28" xfId="0" applyNumberFormat="1" applyFont="1" applyFill="1" applyBorder="1" applyAlignment="1" applyProtection="1">
      <alignment vertical="top" wrapText="1"/>
    </xf>
    <xf numFmtId="0" fontId="17" fillId="0" borderId="28" xfId="0" applyFont="1" applyFill="1" applyBorder="1" applyAlignment="1" applyProtection="1">
      <alignment horizontal="left"/>
    </xf>
    <xf numFmtId="49" fontId="19" fillId="0" borderId="6" xfId="0" applyNumberFormat="1" applyFont="1" applyFill="1" applyBorder="1" applyAlignment="1" applyProtection="1">
      <alignment horizontal="right" vertical="top"/>
    </xf>
    <xf numFmtId="0" fontId="18" fillId="0" borderId="1" xfId="0" applyFont="1" applyFill="1" applyBorder="1" applyAlignment="1" applyProtection="1">
      <alignment horizontal="left"/>
    </xf>
    <xf numFmtId="0" fontId="17" fillId="0" borderId="2" xfId="0" applyFont="1" applyFill="1" applyBorder="1" applyAlignment="1" applyProtection="1">
      <alignment horizontal="left" wrapText="1"/>
    </xf>
    <xf numFmtId="0" fontId="19" fillId="0" borderId="11" xfId="0" applyFont="1" applyFill="1" applyBorder="1" applyAlignment="1" applyProtection="1">
      <alignment horizontal="left"/>
    </xf>
    <xf numFmtId="0" fontId="17" fillId="0" borderId="1" xfId="0" applyFont="1" applyFill="1" applyBorder="1" applyAlignment="1" applyProtection="1">
      <alignment horizontal="left" wrapText="1"/>
    </xf>
    <xf numFmtId="0" fontId="31" fillId="0" borderId="1" xfId="0" applyNumberFormat="1" applyFont="1" applyFill="1" applyBorder="1" applyAlignment="1" applyProtection="1">
      <alignment horizontal="right" vertical="top"/>
    </xf>
    <xf numFmtId="49" fontId="17" fillId="0" borderId="0" xfId="0" applyNumberFormat="1" applyFont="1" applyFill="1" applyBorder="1" applyAlignment="1" applyProtection="1">
      <alignment horizontal="right"/>
    </xf>
    <xf numFmtId="0" fontId="17" fillId="0" borderId="0" xfId="0" applyFont="1" applyFill="1" applyBorder="1" applyAlignment="1" applyProtection="1">
      <alignment wrapText="1"/>
    </xf>
    <xf numFmtId="49" fontId="17" fillId="0" borderId="0" xfId="0" applyNumberFormat="1" applyFont="1" applyFill="1" applyAlignment="1" applyProtection="1">
      <alignment horizontal="right"/>
    </xf>
    <xf numFmtId="0" fontId="17" fillId="0" borderId="0" xfId="0" applyFont="1" applyFill="1" applyAlignment="1" applyProtection="1">
      <alignment wrapText="1"/>
    </xf>
    <xf numFmtId="49" fontId="17" fillId="0" borderId="0" xfId="0" applyNumberFormat="1" applyFont="1" applyFill="1" applyAlignment="1">
      <alignment horizontal="right"/>
    </xf>
    <xf numFmtId="0" fontId="17" fillId="0" borderId="0" xfId="0" applyFont="1" applyFill="1" applyAlignment="1">
      <alignment horizontal="left"/>
    </xf>
    <xf numFmtId="0" fontId="17" fillId="0" borderId="0" xfId="0" applyFont="1" applyFill="1" applyAlignment="1" applyProtection="1">
      <alignment wrapText="1"/>
      <protection locked="0"/>
    </xf>
    <xf numFmtId="0" fontId="17" fillId="0" borderId="0" xfId="0" applyFont="1" applyFill="1" applyAlignment="1" applyProtection="1">
      <alignment horizontal="center"/>
      <protection locked="0"/>
    </xf>
    <xf numFmtId="49" fontId="17" fillId="0" borderId="0" xfId="0" applyNumberFormat="1" applyFont="1" applyFill="1" applyAlignment="1" applyProtection="1">
      <alignment vertical="top" wrapText="1"/>
      <protection locked="0"/>
    </xf>
    <xf numFmtId="0" fontId="17" fillId="0" borderId="0" xfId="0" applyFont="1" applyFill="1" applyAlignment="1" applyProtection="1">
      <alignment horizontal="left"/>
      <protection locked="0"/>
    </xf>
    <xf numFmtId="0" fontId="19" fillId="0" borderId="1" xfId="0" applyFont="1" applyBorder="1" applyAlignment="1" applyProtection="1">
      <alignment vertical="center"/>
    </xf>
    <xf numFmtId="0" fontId="19" fillId="0" borderId="8" xfId="0" applyFont="1" applyBorder="1" applyAlignment="1" applyProtection="1">
      <alignment vertical="center" wrapText="1"/>
    </xf>
    <xf numFmtId="0" fontId="17" fillId="0" borderId="1" xfId="0" applyFont="1" applyBorder="1" applyAlignment="1">
      <alignment horizontal="left" vertical="top" wrapText="1"/>
    </xf>
    <xf numFmtId="0" fontId="19" fillId="0" borderId="1" xfId="0" applyFont="1" applyBorder="1" applyAlignment="1">
      <alignment horizontal="left" vertical="top" wrapText="1"/>
    </xf>
    <xf numFmtId="0" fontId="32" fillId="0" borderId="0" xfId="0" applyFont="1" applyBorder="1"/>
    <xf numFmtId="0" fontId="16" fillId="0" borderId="9" xfId="0" applyFont="1" applyBorder="1" applyAlignment="1">
      <alignment vertical="top"/>
    </xf>
    <xf numFmtId="0" fontId="17" fillId="0" borderId="0" xfId="0" applyFont="1" applyAlignment="1"/>
    <xf numFmtId="0" fontId="17" fillId="0" borderId="1" xfId="0" applyFont="1" applyBorder="1" applyAlignment="1" applyProtection="1">
      <alignment vertical="top" wrapText="1"/>
    </xf>
    <xf numFmtId="0" fontId="19" fillId="0" borderId="1" xfId="0" applyFont="1" applyBorder="1" applyAlignment="1" applyProtection="1">
      <alignment vertical="top"/>
    </xf>
    <xf numFmtId="49" fontId="19" fillId="0" borderId="1" xfId="0" applyNumberFormat="1" applyFont="1" applyFill="1" applyBorder="1" applyAlignment="1" applyProtection="1">
      <alignment vertical="top"/>
    </xf>
    <xf numFmtId="0" fontId="17" fillId="5" borderId="1" xfId="0" applyFont="1" applyFill="1" applyBorder="1" applyAlignment="1" applyProtection="1">
      <alignment wrapText="1"/>
      <protection locked="0"/>
    </xf>
    <xf numFmtId="0" fontId="21" fillId="5" borderId="1" xfId="0" applyFont="1" applyFill="1" applyBorder="1" applyAlignment="1" applyProtection="1">
      <alignment wrapText="1"/>
      <protection locked="0"/>
    </xf>
    <xf numFmtId="0" fontId="19" fillId="0" borderId="1" xfId="0" applyFont="1" applyFill="1" applyBorder="1" applyAlignment="1">
      <alignment vertical="top" wrapText="1"/>
    </xf>
    <xf numFmtId="0" fontId="17" fillId="0" borderId="1" xfId="0" applyFont="1" applyBorder="1" applyAlignment="1">
      <alignment wrapText="1"/>
    </xf>
    <xf numFmtId="0" fontId="17" fillId="0" borderId="1" xfId="0" applyFont="1" applyBorder="1" applyAlignment="1" applyProtection="1">
      <alignment wrapText="1"/>
      <protection locked="0"/>
    </xf>
    <xf numFmtId="0" fontId="17" fillId="0" borderId="1" xfId="0" applyFont="1" applyBorder="1" applyAlignment="1" applyProtection="1">
      <protection locked="0"/>
    </xf>
    <xf numFmtId="0" fontId="14" fillId="5" borderId="27" xfId="2" applyFont="1" applyFill="1" applyBorder="1" applyAlignment="1">
      <alignment vertical="top"/>
    </xf>
    <xf numFmtId="0" fontId="14" fillId="5" borderId="9" xfId="2" applyFont="1" applyFill="1" applyBorder="1" applyAlignment="1">
      <alignment vertical="top" wrapText="1"/>
    </xf>
    <xf numFmtId="1" fontId="14" fillId="5" borderId="9" xfId="2" applyNumberFormat="1" applyFont="1" applyFill="1" applyBorder="1" applyAlignment="1">
      <alignment vertical="top" wrapText="1"/>
    </xf>
    <xf numFmtId="165" fontId="14" fillId="5" borderId="10" xfId="2" applyNumberFormat="1" applyFont="1" applyFill="1" applyBorder="1" applyAlignment="1">
      <alignment vertical="top" wrapText="1"/>
    </xf>
    <xf numFmtId="0" fontId="5" fillId="0" borderId="16" xfId="2" applyNumberFormat="1" applyFont="1" applyBorder="1" applyAlignment="1">
      <alignment vertical="top" wrapText="1"/>
    </xf>
    <xf numFmtId="0" fontId="18" fillId="0" borderId="1" xfId="0" quotePrefix="1" applyFont="1" applyBorder="1" applyAlignment="1" applyProtection="1">
      <alignment vertical="top"/>
    </xf>
    <xf numFmtId="0" fontId="18" fillId="0" borderId="1" xfId="0" applyFont="1" applyFill="1" applyBorder="1" applyAlignment="1" applyProtection="1">
      <alignment vertical="top"/>
    </xf>
    <xf numFmtId="0" fontId="14" fillId="0" borderId="1" xfId="1" applyFont="1" applyFill="1" applyBorder="1" applyAlignment="1" applyProtection="1">
      <alignment horizontal="left" vertical="top" wrapText="1"/>
    </xf>
    <xf numFmtId="0" fontId="14" fillId="0" borderId="1" xfId="1" applyFont="1" applyFill="1" applyBorder="1" applyAlignment="1" applyProtection="1">
      <alignment vertical="top" wrapText="1"/>
    </xf>
    <xf numFmtId="0" fontId="18" fillId="0" borderId="8" xfId="0" applyFont="1" applyFill="1" applyBorder="1" applyAlignment="1" applyProtection="1">
      <alignment horizontal="left" vertical="top"/>
    </xf>
    <xf numFmtId="49" fontId="18" fillId="0" borderId="1" xfId="0" applyNumberFormat="1" applyFont="1" applyFill="1" applyBorder="1" applyAlignment="1" applyProtection="1">
      <alignment horizontal="left" vertical="top"/>
    </xf>
    <xf numFmtId="0" fontId="18" fillId="0" borderId="1" xfId="0" applyFont="1" applyFill="1" applyBorder="1" applyAlignment="1" applyProtection="1">
      <alignment horizontal="left" vertical="center"/>
    </xf>
    <xf numFmtId="0" fontId="17" fillId="5" borderId="2" xfId="0" applyFont="1" applyFill="1" applyBorder="1" applyAlignment="1" applyProtection="1">
      <alignment vertical="top" wrapText="1"/>
      <protection locked="0"/>
    </xf>
    <xf numFmtId="9" fontId="5" fillId="2" borderId="18" xfId="3" applyFont="1" applyFill="1" applyBorder="1" applyAlignment="1" applyProtection="1">
      <alignment horizontal="center" vertical="top" wrapText="1"/>
    </xf>
    <xf numFmtId="9" fontId="15" fillId="2" borderId="18" xfId="3" applyFont="1" applyFill="1" applyBorder="1" applyAlignment="1" applyProtection="1">
      <alignment horizontal="center" vertical="top" wrapText="1"/>
    </xf>
    <xf numFmtId="9" fontId="5" fillId="0" borderId="18" xfId="3" applyFont="1" applyFill="1" applyBorder="1" applyAlignment="1" applyProtection="1">
      <alignment horizontal="center" vertical="top" wrapText="1"/>
    </xf>
    <xf numFmtId="0" fontId="24" fillId="14" borderId="1" xfId="0" applyFont="1" applyFill="1" applyBorder="1" applyAlignment="1" applyProtection="1">
      <alignment horizontal="left" vertical="top" wrapText="1"/>
    </xf>
    <xf numFmtId="49" fontId="2" fillId="0" borderId="6" xfId="2" applyNumberFormat="1" applyFont="1" applyBorder="1" applyAlignment="1">
      <alignment vertical="top" wrapText="1"/>
    </xf>
    <xf numFmtId="9" fontId="3" fillId="9" borderId="5" xfId="5" applyNumberFormat="1" applyFont="1" applyFill="1" applyBorder="1" applyAlignment="1" applyProtection="1">
      <alignment vertical="top" wrapText="1"/>
      <protection locked="0"/>
    </xf>
    <xf numFmtId="9" fontId="14" fillId="9" borderId="10" xfId="5" applyFont="1" applyFill="1" applyBorder="1" applyAlignment="1">
      <alignment horizontal="left" vertical="top" wrapText="1"/>
    </xf>
    <xf numFmtId="9" fontId="2" fillId="3" borderId="2" xfId="5" applyFont="1" applyFill="1" applyBorder="1" applyAlignment="1">
      <alignment vertical="top" wrapText="1"/>
    </xf>
    <xf numFmtId="0" fontId="2" fillId="8" borderId="1" xfId="2" applyFill="1" applyBorder="1" applyAlignment="1">
      <alignment vertical="top" wrapText="1"/>
    </xf>
    <xf numFmtId="0" fontId="2" fillId="8" borderId="1" xfId="2" applyFont="1" applyFill="1" applyBorder="1" applyAlignment="1">
      <alignment vertical="top" wrapText="1"/>
    </xf>
    <xf numFmtId="0" fontId="2" fillId="8" borderId="1" xfId="2" applyNumberFormat="1" applyFill="1" applyBorder="1" applyAlignment="1">
      <alignment vertical="top" wrapText="1"/>
    </xf>
    <xf numFmtId="0" fontId="2" fillId="9" borderId="1" xfId="2" applyFont="1" applyFill="1" applyBorder="1" applyAlignment="1">
      <alignment vertical="top" wrapText="1"/>
    </xf>
    <xf numFmtId="0" fontId="2" fillId="7" borderId="1" xfId="2" applyFont="1" applyFill="1" applyBorder="1" applyAlignment="1">
      <alignment horizontal="left" vertical="top" textRotation="90"/>
    </xf>
    <xf numFmtId="0" fontId="2" fillId="7" borderId="1" xfId="2" applyFont="1" applyFill="1" applyBorder="1" applyAlignment="1" applyProtection="1">
      <alignment vertical="top" wrapText="1"/>
      <protection locked="0"/>
    </xf>
    <xf numFmtId="0" fontId="4" fillId="7" borderId="1" xfId="2" applyFont="1" applyFill="1" applyBorder="1" applyAlignment="1" applyProtection="1">
      <alignment vertical="top" wrapText="1"/>
      <protection locked="0"/>
    </xf>
    <xf numFmtId="0" fontId="2" fillId="7" borderId="1" xfId="2" applyFill="1" applyBorder="1" applyAlignment="1" applyProtection="1">
      <alignment vertical="top" wrapText="1"/>
      <protection locked="0"/>
    </xf>
    <xf numFmtId="0" fontId="2" fillId="7" borderId="1" xfId="2" applyFont="1" applyFill="1" applyBorder="1" applyAlignment="1">
      <alignment vertical="top" wrapText="1"/>
    </xf>
    <xf numFmtId="0" fontId="2" fillId="7" borderId="1" xfId="2" applyFill="1" applyBorder="1" applyAlignment="1">
      <alignment vertical="top" wrapText="1"/>
    </xf>
    <xf numFmtId="0" fontId="7" fillId="7" borderId="1" xfId="2" applyFont="1" applyFill="1" applyBorder="1" applyAlignment="1">
      <alignment vertical="top" wrapText="1"/>
    </xf>
    <xf numFmtId="9" fontId="0" fillId="0" borderId="0" xfId="5" applyFont="1" applyFill="1" applyBorder="1"/>
    <xf numFmtId="9" fontId="15" fillId="2" borderId="35" xfId="3" applyFont="1" applyFill="1" applyBorder="1" applyAlignment="1" applyProtection="1">
      <alignment horizontal="center" vertical="top" wrapText="1"/>
    </xf>
    <xf numFmtId="9" fontId="5" fillId="9" borderId="2" xfId="5" applyFont="1" applyFill="1" applyBorder="1" applyAlignment="1">
      <alignment horizontal="left" vertical="top" textRotation="90" wrapText="1"/>
    </xf>
    <xf numFmtId="49" fontId="19" fillId="0" borderId="1" xfId="0" applyNumberFormat="1" applyFont="1" applyBorder="1" applyAlignment="1" applyProtection="1">
      <alignment vertical="top" wrapText="1"/>
    </xf>
    <xf numFmtId="0" fontId="5" fillId="0" borderId="17" xfId="2" applyNumberFormat="1" applyFont="1" applyBorder="1" applyAlignment="1">
      <alignment vertical="top" wrapText="1"/>
    </xf>
    <xf numFmtId="164" fontId="5" fillId="0" borderId="16" xfId="2" applyNumberFormat="1" applyFont="1" applyBorder="1" applyAlignment="1">
      <alignment vertical="top" wrapText="1"/>
    </xf>
    <xf numFmtId="9" fontId="2" fillId="0" borderId="14" xfId="5" applyFont="1" applyFill="1" applyBorder="1" applyAlignment="1">
      <alignment vertical="top" wrapText="1"/>
    </xf>
    <xf numFmtId="0" fontId="2" fillId="0" borderId="32" xfId="2" applyFont="1" applyBorder="1" applyAlignment="1">
      <alignment vertical="top"/>
    </xf>
    <xf numFmtId="0" fontId="35" fillId="0" borderId="0" xfId="0" applyFont="1"/>
    <xf numFmtId="0" fontId="27" fillId="0" borderId="0" xfId="0" applyFont="1"/>
    <xf numFmtId="0" fontId="5" fillId="5" borderId="0" xfId="0" applyFont="1" applyFill="1"/>
    <xf numFmtId="0" fontId="2" fillId="0" borderId="4" xfId="0" applyFont="1" applyBorder="1"/>
    <xf numFmtId="0" fontId="2" fillId="0" borderId="8" xfId="0" applyFont="1" applyBorder="1"/>
    <xf numFmtId="0" fontId="2" fillId="0" borderId="7" xfId="0" applyFont="1" applyBorder="1"/>
    <xf numFmtId="0" fontId="2" fillId="0" borderId="26" xfId="0" applyFont="1" applyBorder="1"/>
    <xf numFmtId="0" fontId="2" fillId="0" borderId="13" xfId="0" applyFont="1" applyBorder="1"/>
    <xf numFmtId="0" fontId="2" fillId="0" borderId="12" xfId="0" applyFont="1" applyBorder="1"/>
    <xf numFmtId="0" fontId="2" fillId="0" borderId="27" xfId="0" applyFont="1" applyBorder="1"/>
    <xf numFmtId="0" fontId="2" fillId="0" borderId="11" xfId="0" applyFont="1" applyBorder="1"/>
    <xf numFmtId="0" fontId="2" fillId="0" borderId="10" xfId="0" applyFont="1" applyBorder="1"/>
    <xf numFmtId="0" fontId="2" fillId="5" borderId="4" xfId="0" applyFont="1" applyFill="1" applyBorder="1"/>
    <xf numFmtId="0" fontId="2" fillId="5" borderId="8" xfId="0" applyFont="1" applyFill="1" applyBorder="1"/>
    <xf numFmtId="0" fontId="2" fillId="5" borderId="7" xfId="0" applyFont="1" applyFill="1" applyBorder="1" applyAlignment="1">
      <alignment horizontal="left" vertical="center"/>
    </xf>
    <xf numFmtId="0" fontId="2" fillId="5" borderId="13" xfId="0" applyFont="1" applyFill="1" applyBorder="1"/>
    <xf numFmtId="0" fontId="2" fillId="5" borderId="12" xfId="0" applyFont="1" applyFill="1" applyBorder="1" applyAlignment="1">
      <alignment horizontal="left" vertical="center"/>
    </xf>
    <xf numFmtId="0" fontId="2" fillId="5" borderId="27" xfId="0" applyFont="1" applyFill="1" applyBorder="1"/>
    <xf numFmtId="0" fontId="2" fillId="5" borderId="11" xfId="0" applyFont="1" applyFill="1" applyBorder="1"/>
    <xf numFmtId="0" fontId="2" fillId="5" borderId="10" xfId="0" applyFont="1" applyFill="1" applyBorder="1"/>
    <xf numFmtId="0" fontId="36" fillId="0" borderId="0" xfId="0" applyFont="1" applyAlignment="1">
      <alignment horizontal="left" vertical="center"/>
    </xf>
    <xf numFmtId="0" fontId="17" fillId="0" borderId="0" xfId="0" applyFont="1" applyBorder="1" applyAlignment="1">
      <alignment horizontal="right"/>
    </xf>
    <xf numFmtId="49" fontId="17" fillId="0" borderId="1" xfId="0" applyNumberFormat="1" applyFont="1" applyFill="1" applyBorder="1" applyAlignment="1" applyProtection="1">
      <alignment vertical="top"/>
      <protection locked="0"/>
    </xf>
    <xf numFmtId="0" fontId="17" fillId="5" borderId="1" xfId="0" applyFont="1" applyFill="1" applyBorder="1" applyAlignment="1" applyProtection="1">
      <alignment horizontal="center" vertical="top" wrapText="1"/>
      <protection locked="0"/>
    </xf>
    <xf numFmtId="0" fontId="17" fillId="0" borderId="0" xfId="0" applyFont="1" applyAlignment="1">
      <alignment wrapText="1"/>
    </xf>
    <xf numFmtId="0" fontId="30" fillId="5" borderId="1" xfId="4" applyFont="1" applyFill="1" applyBorder="1" applyAlignment="1" applyProtection="1">
      <alignment vertical="top" wrapText="1"/>
      <protection locked="0"/>
    </xf>
    <xf numFmtId="0" fontId="30" fillId="0" borderId="1" xfId="4" applyFont="1" applyFill="1" applyBorder="1" applyAlignment="1" applyProtection="1">
      <alignment horizontal="left" vertical="top" wrapText="1"/>
    </xf>
    <xf numFmtId="0" fontId="17" fillId="0" borderId="0" xfId="0" applyFont="1" applyFill="1" applyAlignment="1">
      <alignment vertical="top" wrapText="1"/>
    </xf>
    <xf numFmtId="0" fontId="18" fillId="0" borderId="1" xfId="0" applyFont="1" applyFill="1" applyBorder="1" applyAlignment="1" applyProtection="1">
      <alignment horizontal="left" vertical="top" wrapText="1"/>
    </xf>
    <xf numFmtId="0" fontId="17" fillId="4" borderId="1" xfId="0" applyFont="1" applyFill="1" applyBorder="1" applyAlignment="1" applyProtection="1">
      <alignment vertical="top" wrapText="1"/>
      <protection locked="0"/>
    </xf>
    <xf numFmtId="0" fontId="17" fillId="0" borderId="0" xfId="0" applyFont="1" applyAlignment="1">
      <alignment vertical="top" wrapText="1"/>
    </xf>
    <xf numFmtId="0" fontId="37" fillId="5" borderId="26" xfId="0" applyFont="1" applyFill="1" applyBorder="1"/>
    <xf numFmtId="14" fontId="37" fillId="5" borderId="26" xfId="0" applyNumberFormat="1" applyFont="1" applyFill="1" applyBorder="1"/>
    <xf numFmtId="0" fontId="37" fillId="0" borderId="26" xfId="0" applyFont="1" applyBorder="1"/>
    <xf numFmtId="14" fontId="37" fillId="0" borderId="26" xfId="0" applyNumberFormat="1" applyFont="1" applyBorder="1"/>
    <xf numFmtId="2" fontId="0" fillId="0" borderId="0" xfId="0" applyNumberFormat="1"/>
    <xf numFmtId="0" fontId="2" fillId="0" borderId="8" xfId="0" applyFont="1" applyFill="1" applyBorder="1"/>
    <xf numFmtId="0" fontId="2" fillId="0" borderId="13" xfId="0" applyFont="1" applyFill="1" applyBorder="1"/>
    <xf numFmtId="0" fontId="2" fillId="0" borderId="11" xfId="0" applyFont="1" applyFill="1" applyBorder="1"/>
    <xf numFmtId="0" fontId="2" fillId="0" borderId="14" xfId="2" applyFont="1" applyBorder="1" applyAlignment="1">
      <alignment vertical="top"/>
    </xf>
    <xf numFmtId="0" fontId="5" fillId="0" borderId="34" xfId="2" applyFont="1" applyBorder="1" applyAlignment="1">
      <alignment vertical="top" wrapText="1"/>
    </xf>
    <xf numFmtId="0" fontId="2" fillId="0" borderId="4" xfId="0" applyFont="1" applyFill="1" applyBorder="1"/>
    <xf numFmtId="0" fontId="37" fillId="0" borderId="26" xfId="0" applyFont="1" applyFill="1" applyBorder="1"/>
    <xf numFmtId="14" fontId="37" fillId="0" borderId="26" xfId="0" applyNumberFormat="1" applyFont="1" applyFill="1" applyBorder="1"/>
    <xf numFmtId="0" fontId="2" fillId="0" borderId="12" xfId="0" applyFont="1" applyFill="1" applyBorder="1"/>
    <xf numFmtId="9" fontId="3" fillId="9" borderId="1" xfId="5" applyNumberFormat="1" applyFont="1" applyFill="1" applyBorder="1" applyAlignment="1" applyProtection="1">
      <alignment vertical="top" wrapText="1"/>
      <protection locked="0"/>
    </xf>
    <xf numFmtId="0" fontId="17" fillId="0" borderId="0" xfId="0" applyFont="1" applyFill="1"/>
    <xf numFmtId="14" fontId="17" fillId="0" borderId="0" xfId="0" applyNumberFormat="1" applyFont="1" applyFill="1"/>
    <xf numFmtId="0" fontId="19" fillId="0" borderId="0" xfId="0" applyFont="1" applyFill="1" applyAlignment="1">
      <alignment vertical="top"/>
    </xf>
    <xf numFmtId="9" fontId="6" fillId="8" borderId="2" xfId="5" applyFont="1" applyFill="1" applyBorder="1" applyAlignment="1">
      <alignment vertical="top" wrapText="1"/>
    </xf>
    <xf numFmtId="0" fontId="5" fillId="5" borderId="9" xfId="0" applyFont="1" applyFill="1" applyBorder="1"/>
    <xf numFmtId="0" fontId="16" fillId="0" borderId="9" xfId="0" applyFont="1" applyBorder="1" applyAlignment="1">
      <alignment horizontal="left" vertical="top"/>
    </xf>
    <xf numFmtId="0" fontId="19" fillId="0" borderId="1" xfId="0" applyFont="1" applyBorder="1" applyAlignment="1">
      <alignment horizontal="left" vertical="top"/>
    </xf>
    <xf numFmtId="0" fontId="0" fillId="0" borderId="6" xfId="0" applyBorder="1" applyAlignment="1">
      <alignment horizontal="center"/>
    </xf>
    <xf numFmtId="0" fontId="0" fillId="0" borderId="2" xfId="0" applyBorder="1" applyAlignment="1">
      <alignment horizontal="center"/>
    </xf>
    <xf numFmtId="0" fontId="19" fillId="0" borderId="1" xfId="0" applyFont="1" applyBorder="1" applyAlignment="1">
      <alignment vertical="top"/>
    </xf>
    <xf numFmtId="0" fontId="19" fillId="0" borderId="6" xfId="0" applyFont="1" applyBorder="1" applyAlignment="1">
      <alignment vertical="top" wrapText="1"/>
    </xf>
    <xf numFmtId="0" fontId="19" fillId="0" borderId="2" xfId="0" applyFont="1" applyBorder="1" applyAlignment="1">
      <alignment vertical="top" wrapText="1"/>
    </xf>
    <xf numFmtId="0" fontId="19" fillId="0" borderId="1" xfId="0" applyFont="1" applyBorder="1" applyAlignment="1">
      <alignment vertical="top" wrapText="1"/>
    </xf>
    <xf numFmtId="0" fontId="19" fillId="0" borderId="8" xfId="0" applyFont="1" applyBorder="1" applyAlignment="1">
      <alignment vertical="top" wrapText="1"/>
    </xf>
    <xf numFmtId="0" fontId="19" fillId="0" borderId="13" xfId="0" applyFont="1" applyBorder="1" applyAlignment="1">
      <alignment vertical="top" wrapText="1"/>
    </xf>
    <xf numFmtId="0" fontId="19" fillId="0" borderId="11" xfId="0" applyFont="1" applyBorder="1" applyAlignment="1">
      <alignment vertical="top" wrapText="1"/>
    </xf>
    <xf numFmtId="0" fontId="16" fillId="0" borderId="0" xfId="0" applyFont="1" applyBorder="1" applyAlignment="1">
      <alignment vertical="top" wrapText="1"/>
    </xf>
    <xf numFmtId="0" fontId="0" fillId="0" borderId="2" xfId="0" applyBorder="1" applyAlignment="1">
      <alignment vertical="top" wrapText="1"/>
    </xf>
    <xf numFmtId="0" fontId="19" fillId="0" borderId="6" xfId="0" applyFont="1" applyFill="1" applyBorder="1" applyAlignment="1">
      <alignment vertical="top" wrapText="1"/>
    </xf>
    <xf numFmtId="0" fontId="22" fillId="4" borderId="1" xfId="0" applyFont="1" applyFill="1" applyBorder="1" applyAlignment="1" applyProtection="1">
      <alignment horizontal="left" vertical="top"/>
      <protection locked="0"/>
    </xf>
    <xf numFmtId="0" fontId="17" fillId="5" borderId="3" xfId="0" applyFont="1" applyFill="1" applyBorder="1" applyAlignment="1" applyProtection="1">
      <alignment horizontal="left"/>
      <protection locked="0"/>
    </xf>
    <xf numFmtId="0" fontId="17" fillId="5" borderId="2" xfId="0" applyFont="1" applyFill="1" applyBorder="1" applyAlignment="1" applyProtection="1">
      <alignment horizontal="left"/>
      <protection locked="0"/>
    </xf>
    <xf numFmtId="0" fontId="19" fillId="0" borderId="6" xfId="0" applyFont="1" applyFill="1" applyBorder="1" applyAlignment="1" applyProtection="1">
      <alignment horizontal="left" vertical="top"/>
    </xf>
    <xf numFmtId="0" fontId="19" fillId="0" borderId="2" xfId="0" applyFont="1" applyFill="1" applyBorder="1" applyAlignment="1" applyProtection="1">
      <alignment horizontal="left" vertical="top"/>
    </xf>
    <xf numFmtId="0" fontId="19" fillId="0" borderId="1" xfId="0" applyFont="1" applyFill="1" applyBorder="1" applyAlignment="1" applyProtection="1">
      <alignment horizontal="left" vertical="top" wrapText="1"/>
    </xf>
    <xf numFmtId="0" fontId="19" fillId="0" borderId="6" xfId="0" applyFont="1" applyFill="1" applyBorder="1" applyAlignment="1" applyProtection="1">
      <alignment horizontal="left" vertical="top" wrapText="1"/>
    </xf>
    <xf numFmtId="0" fontId="19" fillId="0" borderId="2" xfId="0" applyFont="1" applyFill="1" applyBorder="1" applyAlignment="1" applyProtection="1">
      <alignment horizontal="left" vertical="top" wrapText="1"/>
    </xf>
    <xf numFmtId="0" fontId="17" fillId="0" borderId="6" xfId="0" applyFont="1" applyFill="1" applyBorder="1" applyAlignment="1" applyProtection="1">
      <alignment horizontal="center" vertical="top"/>
    </xf>
    <xf numFmtId="0" fontId="17" fillId="0" borderId="3" xfId="0" applyFont="1" applyFill="1" applyBorder="1" applyAlignment="1" applyProtection="1">
      <alignment horizontal="center" vertical="top"/>
    </xf>
    <xf numFmtId="0" fontId="17" fillId="0" borderId="2" xfId="0" applyFont="1" applyFill="1" applyBorder="1" applyAlignment="1" applyProtection="1">
      <alignment horizontal="center" vertical="top"/>
    </xf>
    <xf numFmtId="49" fontId="16" fillId="0" borderId="9" xfId="0" applyNumberFormat="1" applyFont="1" applyFill="1" applyBorder="1" applyAlignment="1">
      <alignment horizontal="left" vertical="top"/>
    </xf>
    <xf numFmtId="0" fontId="22" fillId="4" borderId="1" xfId="0" applyFont="1" applyFill="1" applyBorder="1" applyAlignment="1" applyProtection="1">
      <alignment vertical="top"/>
      <protection locked="0"/>
    </xf>
    <xf numFmtId="0" fontId="17" fillId="0" borderId="1" xfId="0" applyFont="1" applyFill="1" applyBorder="1" applyAlignment="1" applyProtection="1">
      <alignment horizontal="center" vertical="top"/>
    </xf>
    <xf numFmtId="0" fontId="18" fillId="0" borderId="8" xfId="0" applyFont="1" applyFill="1" applyBorder="1" applyAlignment="1" applyProtection="1">
      <alignment horizontal="left" vertical="top"/>
    </xf>
    <xf numFmtId="0" fontId="22" fillId="0" borderId="11" xfId="0" applyFont="1" applyFill="1" applyBorder="1" applyAlignment="1" applyProtection="1">
      <alignment horizontal="left" vertical="top"/>
    </xf>
    <xf numFmtId="0" fontId="19" fillId="0" borderId="1" xfId="0" applyFont="1" applyFill="1" applyBorder="1" applyAlignment="1" applyProtection="1">
      <alignment horizontal="left" vertical="top"/>
    </xf>
    <xf numFmtId="0" fontId="22" fillId="4" borderId="6" xfId="0" applyFont="1" applyFill="1" applyBorder="1" applyAlignment="1" applyProtection="1">
      <alignment horizontal="left" vertical="top"/>
      <protection locked="0"/>
    </xf>
    <xf numFmtId="0" fontId="22" fillId="4" borderId="3" xfId="0" applyFont="1" applyFill="1" applyBorder="1" applyAlignment="1" applyProtection="1">
      <alignment horizontal="left" vertical="top"/>
      <protection locked="0"/>
    </xf>
    <xf numFmtId="0" fontId="22" fillId="4" borderId="2" xfId="0" applyFont="1" applyFill="1" applyBorder="1" applyAlignment="1" applyProtection="1">
      <alignment horizontal="left" vertical="top"/>
      <protection locked="0"/>
    </xf>
    <xf numFmtId="0" fontId="16" fillId="0" borderId="10" xfId="0" applyFont="1" applyBorder="1" applyAlignment="1" applyProtection="1">
      <alignment horizontal="left" vertical="top" wrapText="1"/>
    </xf>
    <xf numFmtId="0" fontId="16" fillId="0" borderId="27" xfId="0" applyFont="1" applyBorder="1" applyAlignment="1" applyProtection="1">
      <alignment horizontal="left" vertical="top"/>
    </xf>
    <xf numFmtId="164" fontId="14" fillId="10" borderId="11" xfId="2" applyNumberFormat="1" applyFont="1" applyFill="1" applyBorder="1" applyAlignment="1">
      <alignment horizontal="left" vertical="top" wrapText="1"/>
    </xf>
    <xf numFmtId="0" fontId="8" fillId="0" borderId="26" xfId="2" applyFont="1" applyBorder="1" applyAlignment="1">
      <alignment horizontal="left" vertical="top" wrapText="1"/>
    </xf>
    <xf numFmtId="0" fontId="8" fillId="0" borderId="12" xfId="2" applyFont="1" applyBorder="1" applyAlignment="1">
      <alignment horizontal="left" vertical="top" wrapText="1"/>
    </xf>
    <xf numFmtId="0" fontId="8" fillId="0" borderId="27" xfId="2" applyFont="1" applyBorder="1" applyAlignment="1">
      <alignment horizontal="left" vertical="top" wrapText="1"/>
    </xf>
    <xf numFmtId="0" fontId="8" fillId="0" borderId="10" xfId="2" applyFont="1" applyBorder="1" applyAlignment="1">
      <alignment horizontal="left" vertical="top" wrapText="1"/>
    </xf>
    <xf numFmtId="0" fontId="2" fillId="0" borderId="33" xfId="2" applyFont="1" applyBorder="1" applyAlignment="1">
      <alignment vertical="top"/>
    </xf>
    <xf numFmtId="0" fontId="2" fillId="0" borderId="34" xfId="2" applyFont="1" applyBorder="1" applyAlignment="1">
      <alignment vertical="top"/>
    </xf>
    <xf numFmtId="0" fontId="2" fillId="0" borderId="14" xfId="2" applyFont="1" applyBorder="1" applyAlignment="1">
      <alignment vertical="top"/>
    </xf>
    <xf numFmtId="0" fontId="5" fillId="7" borderId="27" xfId="2" applyFont="1" applyFill="1" applyBorder="1" applyAlignment="1">
      <alignment horizontal="center" vertical="top" wrapText="1"/>
    </xf>
    <xf numFmtId="0" fontId="5" fillId="7" borderId="9" xfId="2" applyFont="1" applyFill="1" applyBorder="1" applyAlignment="1">
      <alignment horizontal="center" vertical="top" wrapText="1"/>
    </xf>
    <xf numFmtId="0" fontId="5" fillId="7" borderId="10" xfId="2" applyFont="1" applyFill="1" applyBorder="1" applyAlignment="1">
      <alignment horizontal="center" vertical="top" wrapText="1"/>
    </xf>
    <xf numFmtId="0" fontId="5" fillId="0" borderId="21" xfId="2" applyFont="1" applyFill="1" applyBorder="1" applyAlignment="1">
      <alignment wrapText="1"/>
    </xf>
    <xf numFmtId="0" fontId="5" fillId="0" borderId="20" xfId="2" applyFont="1" applyFill="1" applyBorder="1" applyAlignment="1">
      <alignment wrapText="1"/>
    </xf>
    <xf numFmtId="0" fontId="5" fillId="0" borderId="17" xfId="2" applyFont="1" applyFill="1" applyBorder="1" applyAlignment="1">
      <alignment wrapText="1"/>
    </xf>
    <xf numFmtId="0" fontId="5" fillId="0" borderId="15" xfId="2" applyFont="1" applyFill="1" applyBorder="1" applyAlignment="1">
      <alignment wrapText="1"/>
    </xf>
    <xf numFmtId="0" fontId="5" fillId="0" borderId="0" xfId="2" applyFont="1" applyFill="1" applyBorder="1" applyAlignment="1"/>
    <xf numFmtId="0" fontId="2" fillId="0" borderId="0" xfId="2" applyFill="1" applyBorder="1" applyAlignment="1"/>
  </cellXfs>
  <cellStyles count="6">
    <cellStyle name="Hyperlink" xfId="1" builtinId="8"/>
    <cellStyle name="Normal" xfId="0" builtinId="0"/>
    <cellStyle name="Output" xfId="4" builtinId="21"/>
    <cellStyle name="Percent" xfId="5" builtinId="5"/>
    <cellStyle name="Prozent 2" xfId="3" xr:uid="{00000000-0005-0000-0000-000003000000}"/>
    <cellStyle name="Standard 2" xfId="2" xr:uid="{00000000-0005-0000-0000-000005000000}"/>
  </cellStyles>
  <dxfs count="134">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E2EFDA"/>
      <color rgb="FFEA8B00"/>
      <color rgb="FFFFFFA7"/>
      <color rgb="FFFFFF7D"/>
      <color rgb="FFFFFF9B"/>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8.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strRef>
              <c:f>Auswertungen!$B$3</c:f>
              <c:strCache>
                <c:ptCount val="1"/>
                <c:pt idx="0">
                  <c:v>Selbstbeurteilung Muster AG</c:v>
                </c:pt>
              </c:strCache>
            </c:strRef>
          </c:tx>
          <c:spPr>
            <a:ln w="25400">
              <a:solidFill>
                <a:srgbClr val="0070C0"/>
              </a:solidFill>
            </a:ln>
          </c:spPr>
          <c:marker>
            <c:symbol val="x"/>
            <c:size val="7"/>
            <c:spPr>
              <a:solidFill>
                <a:srgbClr val="0070C0"/>
              </a:solidFill>
              <a:ln w="6350">
                <a:solidFill>
                  <a:srgbClr val="0070C0"/>
                </a:solidFill>
              </a:ln>
            </c:spPr>
          </c:marker>
          <c:cat>
            <c:strRef>
              <c:f>Auswertungen!$A$5:$A$18</c:f>
              <c:strCache>
                <c:ptCount val="14"/>
                <c:pt idx="0">
                  <c:v>1 Leitbild, Sicherheitsziele und Strategien</c:v>
                </c:pt>
                <c:pt idx="1">
                  <c:v>2. Organisation</c:v>
                </c:pt>
                <c:pt idx="2">
                  <c:v>3. Befähigung, Schulung, Kommunikation</c:v>
                </c:pt>
                <c:pt idx="3">
                  <c:v>4. Sicherheitsstandards</c:v>
                </c:pt>
                <c:pt idx="4">
                  <c:v>5. Gefährdungsermittlung, Risikobeurteilung</c:v>
                </c:pt>
                <c:pt idx="5">
                  <c:v>6. Massnahmen</c:v>
                </c:pt>
                <c:pt idx="6">
                  <c:v>7. Notfallorganisation</c:v>
                </c:pt>
                <c:pt idx="7">
                  <c:v>8. Mitwirkung</c:v>
                </c:pt>
                <c:pt idx="8">
                  <c:v>9. Gesundheitsschutz</c:v>
                </c:pt>
                <c:pt idx="9">
                  <c:v>10. Kontrolle</c:v>
                </c:pt>
                <c:pt idx="10">
                  <c:v>11. Absenzenmanagement</c:v>
                </c:pt>
                <c:pt idx="11">
                  <c:v>12 Freizeitsicherheit (Fakultativ)</c:v>
                </c:pt>
                <c:pt idx="12">
                  <c:v>13  BGM: Betriebliches Gesundheitsmanagement (Fakultativ)</c:v>
                </c:pt>
                <c:pt idx="13">
                  <c:v>14 Erweiterung für ISO 45001 (Fakultativ)</c:v>
                </c:pt>
              </c:strCache>
            </c:strRef>
          </c:cat>
          <c:val>
            <c:numRef>
              <c:f>Auswertungen!$C$5:$C$15</c:f>
              <c:numCache>
                <c:formatCode>0%</c:formatCode>
                <c:ptCount val="11"/>
                <c:pt idx="0">
                  <c:v>3.529411764705883E-2</c:v>
                </c:pt>
                <c:pt idx="1">
                  <c:v>0</c:v>
                </c:pt>
                <c:pt idx="2">
                  <c:v>0</c:v>
                </c:pt>
                <c:pt idx="3">
                  <c:v>0</c:v>
                </c:pt>
                <c:pt idx="4">
                  <c:v>3.4090909090909088E-2</c:v>
                </c:pt>
                <c:pt idx="5">
                  <c:v>0</c:v>
                </c:pt>
                <c:pt idx="6">
                  <c:v>0</c:v>
                </c:pt>
                <c:pt idx="7">
                  <c:v>0</c:v>
                </c:pt>
                <c:pt idx="8">
                  <c:v>0.15227272727272725</c:v>
                </c:pt>
                <c:pt idx="9">
                  <c:v>0</c:v>
                </c:pt>
                <c:pt idx="10">
                  <c:v>0</c:v>
                </c:pt>
              </c:numCache>
            </c:numRef>
          </c:val>
          <c:extLst>
            <c:ext xmlns:c16="http://schemas.microsoft.com/office/drawing/2014/chart" uri="{C3380CC4-5D6E-409C-BE32-E72D297353CC}">
              <c16:uniqueId val="{00000000-1415-43D0-8C77-5FDDDCA7FAA3}"/>
            </c:ext>
          </c:extLst>
        </c:ser>
        <c:ser>
          <c:idx val="1"/>
          <c:order val="1"/>
          <c:tx>
            <c:strRef>
              <c:f>Auswertungen!$D$3</c:f>
              <c:strCache>
                <c:ptCount val="1"/>
                <c:pt idx="0">
                  <c:v>Beurteilung Suva</c:v>
                </c:pt>
              </c:strCache>
            </c:strRef>
          </c:tx>
          <c:spPr>
            <a:ln w="25400">
              <a:solidFill>
                <a:srgbClr val="FF0000"/>
              </a:solidFill>
            </a:ln>
          </c:spPr>
          <c:marker>
            <c:symbol val="circle"/>
            <c:size val="7"/>
            <c:spPr>
              <a:solidFill>
                <a:srgbClr val="FF0000"/>
              </a:solidFill>
              <a:ln>
                <a:solidFill>
                  <a:srgbClr val="FF0000"/>
                </a:solidFill>
              </a:ln>
            </c:spPr>
          </c:marker>
          <c:val>
            <c:numRef>
              <c:f>Auswertungen!$E$5:$E$15</c:f>
              <c:numCache>
                <c:formatCode>0%</c:formatCode>
                <c:ptCount val="11"/>
                <c:pt idx="0">
                  <c:v>0</c:v>
                </c:pt>
                <c:pt idx="1">
                  <c:v>0</c:v>
                </c:pt>
                <c:pt idx="2">
                  <c:v>0</c:v>
                </c:pt>
                <c:pt idx="3">
                  <c:v>0</c:v>
                </c:pt>
                <c:pt idx="4">
                  <c:v>3.4090909090909088E-2</c:v>
                </c:pt>
                <c:pt idx="5">
                  <c:v>0</c:v>
                </c:pt>
                <c:pt idx="6">
                  <c:v>0</c:v>
                </c:pt>
                <c:pt idx="7">
                  <c:v>0</c:v>
                </c:pt>
                <c:pt idx="8">
                  <c:v>0.15227272727272725</c:v>
                </c:pt>
                <c:pt idx="9">
                  <c:v>0</c:v>
                </c:pt>
                <c:pt idx="10">
                  <c:v>0</c:v>
                </c:pt>
              </c:numCache>
            </c:numRef>
          </c:val>
          <c:extLst>
            <c:ext xmlns:c16="http://schemas.microsoft.com/office/drawing/2014/chart" uri="{C3380CC4-5D6E-409C-BE32-E72D297353CC}">
              <c16:uniqueId val="{00000001-1415-43D0-8C77-5FDDDCA7FAA3}"/>
            </c:ext>
          </c:extLst>
        </c:ser>
        <c:dLbls>
          <c:showLegendKey val="0"/>
          <c:showVal val="0"/>
          <c:showCatName val="0"/>
          <c:showSerName val="0"/>
          <c:showPercent val="0"/>
          <c:showBubbleSize val="0"/>
        </c:dLbls>
        <c:axId val="412483520"/>
        <c:axId val="412485480"/>
      </c:radarChart>
      <c:catAx>
        <c:axId val="412483520"/>
        <c:scaling>
          <c:orientation val="minMax"/>
        </c:scaling>
        <c:delete val="0"/>
        <c:axPos val="b"/>
        <c:majorGridlines/>
        <c:numFmt formatCode="General" sourceLinked="1"/>
        <c:majorTickMark val="out"/>
        <c:minorTickMark val="none"/>
        <c:tickLblPos val="nextTo"/>
        <c:txPr>
          <a:bodyPr/>
          <a:lstStyle/>
          <a:p>
            <a:pPr>
              <a:defRPr sz="1100" b="1"/>
            </a:pPr>
            <a:endParaRPr lang="de-DE"/>
          </a:p>
        </c:txPr>
        <c:crossAx val="412485480"/>
        <c:crosses val="autoZero"/>
        <c:auto val="1"/>
        <c:lblAlgn val="ctr"/>
        <c:lblOffset val="100"/>
        <c:noMultiLvlLbl val="0"/>
      </c:catAx>
      <c:valAx>
        <c:axId val="412485480"/>
        <c:scaling>
          <c:orientation val="minMax"/>
          <c:max val="1"/>
          <c:min val="0"/>
        </c:scaling>
        <c:delete val="0"/>
        <c:axPos val="l"/>
        <c:majorGridlines>
          <c:spPr>
            <a:ln>
              <a:solidFill>
                <a:schemeClr val="tx1">
                  <a:lumMod val="50000"/>
                  <a:lumOff val="50000"/>
                </a:schemeClr>
              </a:solidFill>
            </a:ln>
          </c:spPr>
        </c:majorGridlines>
        <c:numFmt formatCode="0%" sourceLinked="0"/>
        <c:majorTickMark val="cross"/>
        <c:minorTickMark val="none"/>
        <c:tickLblPos val="none"/>
        <c:spPr>
          <a:ln>
            <a:solidFill>
              <a:schemeClr val="tx1"/>
            </a:solidFill>
          </a:ln>
        </c:spPr>
        <c:txPr>
          <a:bodyPr/>
          <a:lstStyle/>
          <a:p>
            <a:pPr>
              <a:defRPr sz="600"/>
            </a:pPr>
            <a:endParaRPr lang="de-DE"/>
          </a:p>
        </c:txPr>
        <c:crossAx val="412483520"/>
        <c:crosses val="autoZero"/>
        <c:crossBetween val="between"/>
        <c:majorUnit val="0.1"/>
        <c:minorUnit val="5.000000000000001E-2"/>
      </c:valAx>
    </c:plotArea>
    <c:legend>
      <c:legendPos val="b"/>
      <c:overlay val="0"/>
    </c:legend>
    <c:plotVisOnly val="1"/>
    <c:dispBlanksAs val="gap"/>
    <c:showDLblsOverMax val="0"/>
  </c:chart>
  <c:spPr>
    <a:ln>
      <a:noFill/>
    </a:ln>
  </c:sp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strRef>
              <c:f>Auswertungen!$B$3</c:f>
              <c:strCache>
                <c:ptCount val="1"/>
                <c:pt idx="0">
                  <c:v>Selbstbeurteilung Muster AG</c:v>
                </c:pt>
              </c:strCache>
            </c:strRef>
          </c:tx>
          <c:spPr>
            <a:ln w="25400">
              <a:solidFill>
                <a:srgbClr val="0070C0"/>
              </a:solidFill>
            </a:ln>
          </c:spPr>
          <c:marker>
            <c:symbol val="square"/>
            <c:size val="7"/>
            <c:spPr>
              <a:solidFill>
                <a:srgbClr val="0070C0"/>
              </a:solidFill>
            </c:spPr>
          </c:marker>
          <c:cat>
            <c:strRef>
              <c:f>Auswertungen!$A$5:$A$18</c:f>
              <c:strCache>
                <c:ptCount val="14"/>
                <c:pt idx="0">
                  <c:v>1 Leitbild, Sicherheitsziele und Strategien</c:v>
                </c:pt>
                <c:pt idx="1">
                  <c:v>2. Organisation</c:v>
                </c:pt>
                <c:pt idx="2">
                  <c:v>3. Befähigung, Schulung, Kommunikation</c:v>
                </c:pt>
                <c:pt idx="3">
                  <c:v>4. Sicherheitsstandards</c:v>
                </c:pt>
                <c:pt idx="4">
                  <c:v>5. Gefährdungsermittlung, Risikobeurteilung</c:v>
                </c:pt>
                <c:pt idx="5">
                  <c:v>6. Massnahmen</c:v>
                </c:pt>
                <c:pt idx="6">
                  <c:v>7. Notfallorganisation</c:v>
                </c:pt>
                <c:pt idx="7">
                  <c:v>8. Mitwirkung</c:v>
                </c:pt>
                <c:pt idx="8">
                  <c:v>9. Gesundheitsschutz</c:v>
                </c:pt>
                <c:pt idx="9">
                  <c:v>10. Kontrolle</c:v>
                </c:pt>
                <c:pt idx="10">
                  <c:v>11. Absenzenmanagement</c:v>
                </c:pt>
                <c:pt idx="11">
                  <c:v>12 Freizeitsicherheit (Fakultativ)</c:v>
                </c:pt>
                <c:pt idx="12">
                  <c:v>13  BGM: Betriebliches Gesundheitsmanagement (Fakultativ)</c:v>
                </c:pt>
                <c:pt idx="13">
                  <c:v>14 Erweiterung für ISO 45001 (Fakultativ)</c:v>
                </c:pt>
              </c:strCache>
            </c:strRef>
          </c:cat>
          <c:val>
            <c:numRef>
              <c:f>Auswertungen!$C$5:$C$18</c:f>
              <c:numCache>
                <c:formatCode>0%</c:formatCode>
                <c:ptCount val="14"/>
                <c:pt idx="0">
                  <c:v>3.529411764705883E-2</c:v>
                </c:pt>
                <c:pt idx="1">
                  <c:v>0</c:v>
                </c:pt>
                <c:pt idx="2">
                  <c:v>0</c:v>
                </c:pt>
                <c:pt idx="3">
                  <c:v>0</c:v>
                </c:pt>
                <c:pt idx="4">
                  <c:v>3.4090909090909088E-2</c:v>
                </c:pt>
                <c:pt idx="5">
                  <c:v>0</c:v>
                </c:pt>
                <c:pt idx="6">
                  <c:v>0</c:v>
                </c:pt>
                <c:pt idx="7">
                  <c:v>0</c:v>
                </c:pt>
                <c:pt idx="8">
                  <c:v>0.15227272727272725</c:v>
                </c:pt>
                <c:pt idx="9">
                  <c:v>0</c:v>
                </c:pt>
                <c:pt idx="10">
                  <c:v>0</c:v>
                </c:pt>
                <c:pt idx="11">
                  <c:v>0</c:v>
                </c:pt>
                <c:pt idx="12">
                  <c:v>0</c:v>
                </c:pt>
                <c:pt idx="13">
                  <c:v>0</c:v>
                </c:pt>
              </c:numCache>
            </c:numRef>
          </c:val>
          <c:extLst>
            <c:ext xmlns:c16="http://schemas.microsoft.com/office/drawing/2014/chart" uri="{C3380CC4-5D6E-409C-BE32-E72D297353CC}">
              <c16:uniqueId val="{00000000-A479-4CFE-8DB5-6F6B3A3D3C9C}"/>
            </c:ext>
          </c:extLst>
        </c:ser>
        <c:ser>
          <c:idx val="1"/>
          <c:order val="1"/>
          <c:tx>
            <c:strRef>
              <c:f>Auswertungen!$D$3</c:f>
              <c:strCache>
                <c:ptCount val="1"/>
                <c:pt idx="0">
                  <c:v>Beurteilung Suva</c:v>
                </c:pt>
              </c:strCache>
            </c:strRef>
          </c:tx>
          <c:spPr>
            <a:ln w="25400" cap="rnd">
              <a:solidFill>
                <a:srgbClr val="FF0000"/>
              </a:solidFill>
            </a:ln>
          </c:spPr>
          <c:marker>
            <c:symbol val="diamond"/>
            <c:size val="7"/>
            <c:spPr>
              <a:solidFill>
                <a:srgbClr val="FF0000"/>
              </a:solidFill>
              <a:ln cap="rnd">
                <a:solidFill>
                  <a:srgbClr val="FF0000"/>
                </a:solidFill>
              </a:ln>
            </c:spPr>
          </c:marker>
          <c:dPt>
            <c:idx val="3"/>
            <c:marker>
              <c:spPr>
                <a:solidFill>
                  <a:srgbClr val="FF0000"/>
                </a:solidFill>
                <a:ln w="6350" cap="rnd">
                  <a:solidFill>
                    <a:srgbClr val="FF0000"/>
                  </a:solidFill>
                </a:ln>
              </c:spPr>
            </c:marker>
            <c:bubble3D val="0"/>
            <c:extLst>
              <c:ext xmlns:c16="http://schemas.microsoft.com/office/drawing/2014/chart" uri="{C3380CC4-5D6E-409C-BE32-E72D297353CC}">
                <c16:uniqueId val="{00000001-A479-4CFE-8DB5-6F6B3A3D3C9C}"/>
              </c:ext>
            </c:extLst>
          </c:dPt>
          <c:val>
            <c:numRef>
              <c:f>Auswertungen!$E$5:$E$18</c:f>
              <c:numCache>
                <c:formatCode>0%</c:formatCode>
                <c:ptCount val="14"/>
                <c:pt idx="0">
                  <c:v>0</c:v>
                </c:pt>
                <c:pt idx="1">
                  <c:v>0</c:v>
                </c:pt>
                <c:pt idx="2">
                  <c:v>0</c:v>
                </c:pt>
                <c:pt idx="3">
                  <c:v>0</c:v>
                </c:pt>
                <c:pt idx="4">
                  <c:v>3.4090909090909088E-2</c:v>
                </c:pt>
                <c:pt idx="5">
                  <c:v>0</c:v>
                </c:pt>
                <c:pt idx="6">
                  <c:v>0</c:v>
                </c:pt>
                <c:pt idx="7">
                  <c:v>0</c:v>
                </c:pt>
                <c:pt idx="8">
                  <c:v>0.15227272727272725</c:v>
                </c:pt>
                <c:pt idx="9">
                  <c:v>0</c:v>
                </c:pt>
                <c:pt idx="10">
                  <c:v>0</c:v>
                </c:pt>
                <c:pt idx="11">
                  <c:v>0</c:v>
                </c:pt>
                <c:pt idx="12">
                  <c:v>0</c:v>
                </c:pt>
                <c:pt idx="13">
                  <c:v>0</c:v>
                </c:pt>
              </c:numCache>
            </c:numRef>
          </c:val>
          <c:extLst>
            <c:ext xmlns:c16="http://schemas.microsoft.com/office/drawing/2014/chart" uri="{C3380CC4-5D6E-409C-BE32-E72D297353CC}">
              <c16:uniqueId val="{00000002-A479-4CFE-8DB5-6F6B3A3D3C9C}"/>
            </c:ext>
          </c:extLst>
        </c:ser>
        <c:dLbls>
          <c:showLegendKey val="0"/>
          <c:showVal val="0"/>
          <c:showCatName val="0"/>
          <c:showSerName val="0"/>
          <c:showPercent val="0"/>
          <c:showBubbleSize val="0"/>
        </c:dLbls>
        <c:axId val="412483128"/>
        <c:axId val="412488616"/>
      </c:radarChart>
      <c:catAx>
        <c:axId val="412483128"/>
        <c:scaling>
          <c:orientation val="minMax"/>
        </c:scaling>
        <c:delete val="0"/>
        <c:axPos val="b"/>
        <c:majorGridlines/>
        <c:numFmt formatCode="General" sourceLinked="1"/>
        <c:majorTickMark val="out"/>
        <c:minorTickMark val="none"/>
        <c:tickLblPos val="nextTo"/>
        <c:txPr>
          <a:bodyPr/>
          <a:lstStyle/>
          <a:p>
            <a:pPr>
              <a:defRPr sz="1100" b="1"/>
            </a:pPr>
            <a:endParaRPr lang="de-DE"/>
          </a:p>
        </c:txPr>
        <c:crossAx val="412488616"/>
        <c:crosses val="autoZero"/>
        <c:auto val="1"/>
        <c:lblAlgn val="ctr"/>
        <c:lblOffset val="100"/>
        <c:noMultiLvlLbl val="0"/>
      </c:catAx>
      <c:valAx>
        <c:axId val="412488616"/>
        <c:scaling>
          <c:orientation val="minMax"/>
          <c:max val="1"/>
          <c:min val="0"/>
        </c:scaling>
        <c:delete val="0"/>
        <c:axPos val="l"/>
        <c:majorGridlines/>
        <c:numFmt formatCode="0%" sourceLinked="1"/>
        <c:majorTickMark val="cross"/>
        <c:minorTickMark val="none"/>
        <c:tickLblPos val="none"/>
        <c:spPr>
          <a:ln>
            <a:solidFill>
              <a:schemeClr val="tx1"/>
            </a:solidFill>
          </a:ln>
        </c:spPr>
        <c:crossAx val="412483128"/>
        <c:crosses val="autoZero"/>
        <c:crossBetween val="between"/>
        <c:majorUnit val="0.1"/>
        <c:minorUnit val="5.000000000000001E-2"/>
      </c:valAx>
    </c:plotArea>
    <c:legend>
      <c:legendPos val="b"/>
      <c:overlay val="0"/>
    </c:legend>
    <c:plotVisOnly val="1"/>
    <c:dispBlanksAs val="gap"/>
    <c:showDLblsOverMax val="0"/>
  </c:chart>
  <c:spPr>
    <a:ln>
      <a:noFill/>
    </a:ln>
  </c:sp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codeName="Chart2"/>
  <sheetViews>
    <sheetView zoomScale="119" workbookViewId="0" zoomToFit="1"/>
  </sheetViews>
  <pageMargins left="0.7" right="0.7" top="0.78740157499999996" bottom="0.78740157499999996"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B00-000000000000}">
  <sheetPr codeName="Chart3"/>
  <sheetViews>
    <sheetView zoomScale="119" workbookViewId="0" zoomToFit="1"/>
  </sheetViews>
  <pageMargins left="0.7" right="0.7" top="0.78740157499999996" bottom="0.78740157499999996"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9300882" cy="6011155"/>
    <xdr:graphicFrame macro="">
      <xdr:nvGraphicFramePr>
        <xdr:cNvPr id="2" name="Diagramm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9300882" cy="6011155"/>
    <xdr:graphicFrame macro="">
      <xdr:nvGraphicFramePr>
        <xdr:cNvPr id="2" name="Diagramm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9"/>
  <sheetViews>
    <sheetView showGridLines="0" zoomScaleNormal="100" workbookViewId="0">
      <pane ySplit="1" topLeftCell="A2" activePane="bottomLeft" state="frozen"/>
      <selection pane="bottomLeft" activeCell="C8" sqref="C8"/>
    </sheetView>
  </sheetViews>
  <sheetFormatPr defaultColWidth="11.44140625" defaultRowHeight="13.8" x14ac:dyDescent="0.25"/>
  <cols>
    <col min="1" max="1" width="87.88671875" style="77" customWidth="1"/>
    <col min="2" max="16384" width="11.44140625" style="77"/>
  </cols>
  <sheetData>
    <row r="1" spans="1:1" s="249" customFormat="1" ht="30" customHeight="1" x14ac:dyDescent="0.35">
      <c r="A1" s="250" t="s">
        <v>1058</v>
      </c>
    </row>
    <row r="2" spans="1:1" ht="110.25" customHeight="1" x14ac:dyDescent="0.25">
      <c r="A2" s="80" t="s">
        <v>1333</v>
      </c>
    </row>
    <row r="3" spans="1:1" ht="96" customHeight="1" x14ac:dyDescent="0.25">
      <c r="A3" s="247" t="s">
        <v>1331</v>
      </c>
    </row>
    <row r="4" spans="1:1" ht="87" customHeight="1" x14ac:dyDescent="0.25">
      <c r="A4" s="247" t="s">
        <v>1327</v>
      </c>
    </row>
    <row r="5" spans="1:1" ht="38.25" customHeight="1" x14ac:dyDescent="0.25">
      <c r="A5" s="248" t="s">
        <v>1540</v>
      </c>
    </row>
    <row r="6" spans="1:1" ht="83.25" customHeight="1" x14ac:dyDescent="0.25">
      <c r="A6" s="247" t="s">
        <v>1332</v>
      </c>
    </row>
    <row r="7" spans="1:1" ht="130.5" customHeight="1" x14ac:dyDescent="0.25">
      <c r="A7" s="247" t="s">
        <v>1509</v>
      </c>
    </row>
    <row r="8" spans="1:1" ht="111.75" customHeight="1" x14ac:dyDescent="0.25">
      <c r="A8" s="247" t="s">
        <v>1334</v>
      </c>
    </row>
    <row r="9" spans="1:1" x14ac:dyDescent="0.25">
      <c r="A9" s="322" t="s">
        <v>1654</v>
      </c>
    </row>
  </sheetData>
  <sheetProtection selectLockedCells="1"/>
  <pageMargins left="0.70866141732283472" right="0.70866141732283472" top="0.74803149606299213" bottom="0.74803149606299213" header="0.31496062992125984" footer="0.31496062992125984"/>
  <pageSetup paperSize="9" orientation="portrait" r:id="rId1"/>
  <headerFooter>
    <oddHeader>&amp;R&amp;G</oddHeader>
    <oddFooter>&amp;L&amp;"Arial,Standard"&amp;10Selbstbeurteilung Integrierte Sicherheit&amp;R&amp;"Arial,Standard"&amp;10Seite &amp;P von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8"/>
  <dimension ref="A1:C33"/>
  <sheetViews>
    <sheetView showGridLines="0" zoomScaleNormal="100" workbookViewId="0">
      <pane ySplit="2" topLeftCell="A14" activePane="bottomLeft" state="frozen"/>
      <selection pane="bottomLeft" activeCell="C3" sqref="C3"/>
    </sheetView>
  </sheetViews>
  <sheetFormatPr defaultColWidth="11.44140625" defaultRowHeight="14.4" x14ac:dyDescent="0.3"/>
  <cols>
    <col min="1" max="1" width="33" customWidth="1"/>
    <col min="2" max="2" width="21.5546875" customWidth="1"/>
    <col min="3" max="3" width="32.33203125" customWidth="1"/>
    <col min="7" max="7" width="11.5546875" customWidth="1"/>
  </cols>
  <sheetData>
    <row r="1" spans="1:3" s="1" customFormat="1" ht="30" customHeight="1" x14ac:dyDescent="0.3">
      <c r="A1" s="352" t="s">
        <v>302</v>
      </c>
      <c r="B1" s="352"/>
      <c r="C1" s="352"/>
    </row>
    <row r="2" spans="1:3" ht="18.899999999999999" customHeight="1" x14ac:dyDescent="0.3">
      <c r="A2" s="354"/>
      <c r="B2" s="355"/>
      <c r="C2" s="78" t="s">
        <v>739</v>
      </c>
    </row>
    <row r="3" spans="1:3" ht="18.899999999999999" customHeight="1" x14ac:dyDescent="0.3">
      <c r="A3" s="353" t="s">
        <v>750</v>
      </c>
      <c r="B3" s="353"/>
      <c r="C3" s="255" t="s">
        <v>1532</v>
      </c>
    </row>
    <row r="4" spans="1:3" ht="18.899999999999999" customHeight="1" x14ac:dyDescent="0.3">
      <c r="A4" s="353" t="s">
        <v>303</v>
      </c>
      <c r="B4" s="353"/>
      <c r="C4" s="255"/>
    </row>
    <row r="5" spans="1:3" ht="18.899999999999999" customHeight="1" x14ac:dyDescent="0.3">
      <c r="A5" s="353" t="s">
        <v>304</v>
      </c>
      <c r="B5" s="353"/>
      <c r="C5" s="255"/>
    </row>
    <row r="6" spans="1:3" ht="18.899999999999999" customHeight="1" x14ac:dyDescent="0.3">
      <c r="A6" s="353" t="s">
        <v>305</v>
      </c>
      <c r="B6" s="353"/>
      <c r="C6" s="255"/>
    </row>
    <row r="7" spans="1:3" ht="18.899999999999999" customHeight="1" x14ac:dyDescent="0.3">
      <c r="A7" s="353" t="s">
        <v>306</v>
      </c>
      <c r="B7" s="353"/>
      <c r="C7" s="255"/>
    </row>
    <row r="8" spans="1:3" ht="18.899999999999999" customHeight="1" x14ac:dyDescent="0.3">
      <c r="A8" s="353" t="s">
        <v>307</v>
      </c>
      <c r="B8" s="353"/>
      <c r="C8" s="255"/>
    </row>
    <row r="9" spans="1:3" ht="18.899999999999999" customHeight="1" x14ac:dyDescent="0.3">
      <c r="A9" s="353" t="s">
        <v>308</v>
      </c>
      <c r="B9" s="353"/>
      <c r="C9" s="255"/>
    </row>
    <row r="10" spans="1:3" ht="18.899999999999999" customHeight="1" x14ac:dyDescent="0.3">
      <c r="A10" s="353" t="s">
        <v>309</v>
      </c>
      <c r="B10" s="353"/>
      <c r="C10" s="255"/>
    </row>
    <row r="11" spans="1:3" ht="18.899999999999999" customHeight="1" x14ac:dyDescent="0.3">
      <c r="A11" s="353" t="s">
        <v>310</v>
      </c>
      <c r="B11" s="353"/>
      <c r="C11" s="255"/>
    </row>
    <row r="12" spans="1:3" ht="18.899999999999999" customHeight="1" x14ac:dyDescent="0.3">
      <c r="A12" s="356" t="s">
        <v>311</v>
      </c>
      <c r="B12" s="356"/>
      <c r="C12" s="255"/>
    </row>
    <row r="13" spans="1:3" ht="18.899999999999999" customHeight="1" x14ac:dyDescent="0.3">
      <c r="A13" s="356" t="s">
        <v>312</v>
      </c>
      <c r="B13" s="356"/>
      <c r="C13" s="255"/>
    </row>
    <row r="14" spans="1:3" ht="48" customHeight="1" x14ac:dyDescent="0.3">
      <c r="A14" s="357" t="s">
        <v>1330</v>
      </c>
      <c r="B14" s="358"/>
      <c r="C14" s="255"/>
    </row>
    <row r="15" spans="1:3" ht="27.6" x14ac:dyDescent="0.3">
      <c r="A15" s="359" t="s">
        <v>1064</v>
      </c>
      <c r="B15" s="80" t="s">
        <v>714</v>
      </c>
      <c r="C15" s="255"/>
    </row>
    <row r="16" spans="1:3" ht="27.6" x14ac:dyDescent="0.3">
      <c r="A16" s="359"/>
      <c r="B16" s="80" t="s">
        <v>715</v>
      </c>
      <c r="C16" s="255"/>
    </row>
    <row r="17" spans="1:3" ht="27.6" x14ac:dyDescent="0.3">
      <c r="A17" s="359"/>
      <c r="B17" s="80" t="s">
        <v>716</v>
      </c>
      <c r="C17" s="255"/>
    </row>
    <row r="18" spans="1:3" x14ac:dyDescent="0.3">
      <c r="A18" s="356" t="s">
        <v>1547</v>
      </c>
      <c r="B18" s="81" t="s">
        <v>314</v>
      </c>
      <c r="C18" s="256"/>
    </row>
    <row r="19" spans="1:3" x14ac:dyDescent="0.3">
      <c r="A19" s="356"/>
      <c r="B19" s="82" t="s">
        <v>316</v>
      </c>
      <c r="C19" s="256"/>
    </row>
    <row r="20" spans="1:3" x14ac:dyDescent="0.3">
      <c r="A20" s="356"/>
      <c r="B20" s="82" t="s">
        <v>313</v>
      </c>
      <c r="C20" s="256"/>
    </row>
    <row r="21" spans="1:3" x14ac:dyDescent="0.3">
      <c r="A21" s="356"/>
      <c r="B21" s="82" t="s">
        <v>315</v>
      </c>
      <c r="C21" s="256"/>
    </row>
    <row r="22" spans="1:3" x14ac:dyDescent="0.3">
      <c r="A22" s="356"/>
      <c r="B22" s="82" t="s">
        <v>317</v>
      </c>
      <c r="C22" s="256"/>
    </row>
    <row r="23" spans="1:3" x14ac:dyDescent="0.3">
      <c r="A23" s="360" t="s">
        <v>1548</v>
      </c>
      <c r="B23" s="83" t="s">
        <v>322</v>
      </c>
      <c r="C23" s="256"/>
    </row>
    <row r="24" spans="1:3" x14ac:dyDescent="0.3">
      <c r="A24" s="361"/>
      <c r="B24" s="83" t="s">
        <v>313</v>
      </c>
      <c r="C24" s="256"/>
    </row>
    <row r="25" spans="1:3" x14ac:dyDescent="0.3">
      <c r="A25" s="361"/>
      <c r="B25" s="83" t="s">
        <v>315</v>
      </c>
      <c r="C25" s="256"/>
    </row>
    <row r="26" spans="1:3" ht="18.75" customHeight="1" x14ac:dyDescent="0.3">
      <c r="A26" s="362"/>
      <c r="B26" s="83" t="s">
        <v>323</v>
      </c>
      <c r="C26" s="255"/>
    </row>
    <row r="27" spans="1:3" x14ac:dyDescent="0.3">
      <c r="A27" s="359" t="s">
        <v>1549</v>
      </c>
      <c r="B27" s="84" t="s">
        <v>318</v>
      </c>
      <c r="C27" s="255"/>
    </row>
    <row r="28" spans="1:3" ht="41.4" x14ac:dyDescent="0.3">
      <c r="A28" s="359"/>
      <c r="B28" s="84" t="s">
        <v>319</v>
      </c>
      <c r="C28" s="255"/>
    </row>
    <row r="29" spans="1:3" x14ac:dyDescent="0.3">
      <c r="A29" s="359"/>
      <c r="B29" s="84" t="s">
        <v>320</v>
      </c>
      <c r="C29" s="255"/>
    </row>
    <row r="30" spans="1:3" x14ac:dyDescent="0.3">
      <c r="A30" s="359"/>
      <c r="B30" s="84" t="s">
        <v>321</v>
      </c>
      <c r="C30" s="255"/>
    </row>
    <row r="31" spans="1:3" ht="18.899999999999999" customHeight="1" x14ac:dyDescent="0.3">
      <c r="A31" s="356" t="s">
        <v>1550</v>
      </c>
      <c r="B31" s="356"/>
      <c r="C31" s="255"/>
    </row>
    <row r="32" spans="1:3" ht="18.899999999999999" customHeight="1" x14ac:dyDescent="0.3">
      <c r="A32" s="356" t="s">
        <v>1551</v>
      </c>
      <c r="B32" s="356"/>
      <c r="C32" s="255"/>
    </row>
    <row r="33" spans="1:3" ht="18.899999999999999" customHeight="1" x14ac:dyDescent="0.3">
      <c r="A33" s="356" t="s">
        <v>1552</v>
      </c>
      <c r="B33" s="356"/>
      <c r="C33" s="255"/>
    </row>
  </sheetData>
  <sheetProtection sheet="1" objects="1" scenarios="1" selectLockedCells="1"/>
  <mergeCells count="21">
    <mergeCell ref="A31:B31"/>
    <mergeCell ref="A32:B32"/>
    <mergeCell ref="A33:B33"/>
    <mergeCell ref="A14:B14"/>
    <mergeCell ref="A15:A17"/>
    <mergeCell ref="A23:A26"/>
    <mergeCell ref="A18:A22"/>
    <mergeCell ref="A27:A30"/>
    <mergeCell ref="A9:B9"/>
    <mergeCell ref="A10:B10"/>
    <mergeCell ref="A11:B11"/>
    <mergeCell ref="A12:B12"/>
    <mergeCell ref="A13:B13"/>
    <mergeCell ref="A1:C1"/>
    <mergeCell ref="A8:B8"/>
    <mergeCell ref="A3:B3"/>
    <mergeCell ref="A4:B4"/>
    <mergeCell ref="A5:B5"/>
    <mergeCell ref="A6:B6"/>
    <mergeCell ref="A7:B7"/>
    <mergeCell ref="A2:B2"/>
  </mergeCells>
  <pageMargins left="0.70866141732283472" right="0.70866141732283472" top="0.78740157480314965" bottom="0.78740157480314965" header="0.31496062992125984" footer="0.31496062992125984"/>
  <pageSetup paperSize="9" orientation="portrait" r:id="rId1"/>
  <headerFooter>
    <oddHeader>&amp;R&amp;G</oddHeader>
    <oddFooter>&amp;L&amp;"Arial,Standard"&amp;10Selbstbeurteilung Integrierte Sicherheit&amp;R&amp;"Arial,Standard"&amp;10Seite &amp;P von &amp;N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9">
    <pageSetUpPr fitToPage="1"/>
  </sheetPr>
  <dimension ref="A1:B133"/>
  <sheetViews>
    <sheetView zoomScaleNormal="100" zoomScaleSheetLayoutView="80" workbookViewId="0">
      <pane ySplit="2" topLeftCell="A3" activePane="bottomLeft" state="frozen"/>
      <selection pane="bottomLeft" activeCell="A20" sqref="A20"/>
    </sheetView>
  </sheetViews>
  <sheetFormatPr defaultColWidth="11.44140625" defaultRowHeight="13.8" x14ac:dyDescent="0.25"/>
  <cols>
    <col min="1" max="1" width="44" style="251" customWidth="1"/>
    <col min="2" max="2" width="43.33203125" style="251" customWidth="1"/>
    <col min="3" max="16384" width="11.44140625" style="251"/>
  </cols>
  <sheetData>
    <row r="1" spans="1:2" ht="30" customHeight="1" x14ac:dyDescent="0.25">
      <c r="A1" s="363" t="s">
        <v>330</v>
      </c>
      <c r="B1" s="363"/>
    </row>
    <row r="2" spans="1:2" x14ac:dyDescent="0.25">
      <c r="A2" s="79" t="s">
        <v>331</v>
      </c>
      <c r="B2" s="79" t="s">
        <v>332</v>
      </c>
    </row>
    <row r="3" spans="1:2" ht="14.4" x14ac:dyDescent="0.25">
      <c r="A3" s="357" t="s">
        <v>333</v>
      </c>
      <c r="B3" s="364"/>
    </row>
    <row r="4" spans="1:2" x14ac:dyDescent="0.25">
      <c r="A4" s="114"/>
      <c r="B4" s="114"/>
    </row>
    <row r="5" spans="1:2" x14ac:dyDescent="0.25">
      <c r="A5" s="114"/>
      <c r="B5" s="114"/>
    </row>
    <row r="6" spans="1:2" x14ac:dyDescent="0.25">
      <c r="A6" s="114"/>
      <c r="B6" s="114"/>
    </row>
    <row r="7" spans="1:2" x14ac:dyDescent="0.25">
      <c r="A7" s="114"/>
      <c r="B7" s="114"/>
    </row>
    <row r="8" spans="1:2" x14ac:dyDescent="0.25">
      <c r="A8" s="114"/>
      <c r="B8" s="114"/>
    </row>
    <row r="9" spans="1:2" x14ac:dyDescent="0.25">
      <c r="A9" s="114"/>
      <c r="B9" s="114"/>
    </row>
    <row r="10" spans="1:2" x14ac:dyDescent="0.25">
      <c r="A10" s="114"/>
      <c r="B10" s="114"/>
    </row>
    <row r="11" spans="1:2" x14ac:dyDescent="0.25">
      <c r="A11" s="114"/>
      <c r="B11" s="114"/>
    </row>
    <row r="12" spans="1:2" x14ac:dyDescent="0.25">
      <c r="A12" s="114"/>
      <c r="B12" s="114"/>
    </row>
    <row r="13" spans="1:2" x14ac:dyDescent="0.25">
      <c r="A13" s="114"/>
      <c r="B13" s="114"/>
    </row>
    <row r="14" spans="1:2" ht="14.4" x14ac:dyDescent="0.25">
      <c r="A14" s="357" t="s">
        <v>396</v>
      </c>
      <c r="B14" s="364"/>
    </row>
    <row r="15" spans="1:2" x14ac:dyDescent="0.25">
      <c r="A15" s="114"/>
      <c r="B15" s="114"/>
    </row>
    <row r="16" spans="1:2" x14ac:dyDescent="0.25">
      <c r="A16" s="114"/>
      <c r="B16" s="114"/>
    </row>
    <row r="17" spans="1:2" x14ac:dyDescent="0.25">
      <c r="A17" s="114"/>
      <c r="B17" s="114"/>
    </row>
    <row r="18" spans="1:2" x14ac:dyDescent="0.25">
      <c r="A18" s="114"/>
      <c r="B18" s="114"/>
    </row>
    <row r="19" spans="1:2" x14ac:dyDescent="0.25">
      <c r="A19" s="114"/>
      <c r="B19" s="114"/>
    </row>
    <row r="20" spans="1:2" x14ac:dyDescent="0.25">
      <c r="A20" s="114"/>
      <c r="B20" s="114"/>
    </row>
    <row r="21" spans="1:2" x14ac:dyDescent="0.25">
      <c r="A21" s="114"/>
      <c r="B21" s="114"/>
    </row>
    <row r="22" spans="1:2" x14ac:dyDescent="0.25">
      <c r="A22" s="114"/>
      <c r="B22" s="114"/>
    </row>
    <row r="23" spans="1:2" x14ac:dyDescent="0.25">
      <c r="A23" s="114"/>
      <c r="B23" s="114"/>
    </row>
    <row r="24" spans="1:2" x14ac:dyDescent="0.25">
      <c r="A24" s="114"/>
      <c r="B24" s="114"/>
    </row>
    <row r="25" spans="1:2" x14ac:dyDescent="0.25">
      <c r="A25" s="114"/>
      <c r="B25" s="114"/>
    </row>
    <row r="26" spans="1:2" ht="14.4" x14ac:dyDescent="0.25">
      <c r="A26" s="357" t="s">
        <v>334</v>
      </c>
      <c r="B26" s="364"/>
    </row>
    <row r="27" spans="1:2" x14ac:dyDescent="0.25">
      <c r="A27" s="114"/>
      <c r="B27" s="114"/>
    </row>
    <row r="28" spans="1:2" x14ac:dyDescent="0.25">
      <c r="A28" s="114"/>
      <c r="B28" s="114"/>
    </row>
    <row r="29" spans="1:2" x14ac:dyDescent="0.25">
      <c r="A29" s="114"/>
      <c r="B29" s="114"/>
    </row>
    <row r="30" spans="1:2" x14ac:dyDescent="0.25">
      <c r="A30" s="114"/>
      <c r="B30" s="114"/>
    </row>
    <row r="31" spans="1:2" x14ac:dyDescent="0.25">
      <c r="A31" s="114"/>
      <c r="B31" s="114"/>
    </row>
    <row r="32" spans="1:2" x14ac:dyDescent="0.25">
      <c r="A32" s="114"/>
      <c r="B32" s="114"/>
    </row>
    <row r="33" spans="1:2" x14ac:dyDescent="0.25">
      <c r="A33" s="114"/>
      <c r="B33" s="114"/>
    </row>
    <row r="34" spans="1:2" x14ac:dyDescent="0.25">
      <c r="A34" s="114"/>
      <c r="B34" s="114"/>
    </row>
    <row r="35" spans="1:2" x14ac:dyDescent="0.25">
      <c r="A35" s="114"/>
      <c r="B35" s="114"/>
    </row>
    <row r="36" spans="1:2" x14ac:dyDescent="0.25">
      <c r="A36" s="114"/>
      <c r="B36" s="114"/>
    </row>
    <row r="37" spans="1:2" ht="14.4" x14ac:dyDescent="0.25">
      <c r="A37" s="357" t="s">
        <v>13</v>
      </c>
      <c r="B37" s="364"/>
    </row>
    <row r="38" spans="1:2" x14ac:dyDescent="0.25">
      <c r="A38" s="80" t="s">
        <v>18</v>
      </c>
      <c r="B38" s="114"/>
    </row>
    <row r="39" spans="1:2" x14ac:dyDescent="0.25">
      <c r="A39" s="80" t="s">
        <v>335</v>
      </c>
      <c r="B39" s="114"/>
    </row>
    <row r="40" spans="1:2" x14ac:dyDescent="0.25">
      <c r="A40" s="80" t="s">
        <v>336</v>
      </c>
      <c r="B40" s="114"/>
    </row>
    <row r="41" spans="1:2" x14ac:dyDescent="0.25">
      <c r="A41" s="80" t="s">
        <v>337</v>
      </c>
      <c r="B41" s="114"/>
    </row>
    <row r="42" spans="1:2" x14ac:dyDescent="0.25">
      <c r="A42" s="80" t="s">
        <v>338</v>
      </c>
      <c r="B42" s="114"/>
    </row>
    <row r="43" spans="1:2" x14ac:dyDescent="0.25">
      <c r="A43" s="80" t="s">
        <v>339</v>
      </c>
      <c r="B43" s="114"/>
    </row>
    <row r="44" spans="1:2" x14ac:dyDescent="0.25">
      <c r="A44" s="80" t="s">
        <v>340</v>
      </c>
      <c r="B44" s="114"/>
    </row>
    <row r="45" spans="1:2" x14ac:dyDescent="0.25">
      <c r="A45" s="80" t="s">
        <v>1541</v>
      </c>
      <c r="B45" s="114"/>
    </row>
    <row r="46" spans="1:2" x14ac:dyDescent="0.25">
      <c r="A46" s="114"/>
      <c r="B46" s="114"/>
    </row>
    <row r="47" spans="1:2" ht="14.4" x14ac:dyDescent="0.25">
      <c r="A47" s="357" t="s">
        <v>341</v>
      </c>
      <c r="B47" s="364"/>
    </row>
    <row r="48" spans="1:2" x14ac:dyDescent="0.25">
      <c r="A48" s="80" t="s">
        <v>342</v>
      </c>
      <c r="B48" s="114"/>
    </row>
    <row r="49" spans="1:2" x14ac:dyDescent="0.25">
      <c r="A49" s="80" t="s">
        <v>343</v>
      </c>
      <c r="B49" s="114"/>
    </row>
    <row r="50" spans="1:2" x14ac:dyDescent="0.25">
      <c r="A50" s="80" t="s">
        <v>344</v>
      </c>
      <c r="B50" s="114"/>
    </row>
    <row r="51" spans="1:2" x14ac:dyDescent="0.25">
      <c r="A51" s="114"/>
      <c r="B51" s="273"/>
    </row>
    <row r="52" spans="1:2" ht="14.4" x14ac:dyDescent="0.25">
      <c r="A52" s="357" t="s">
        <v>345</v>
      </c>
      <c r="B52" s="364"/>
    </row>
    <row r="53" spans="1:2" x14ac:dyDescent="0.25">
      <c r="A53" s="80" t="s">
        <v>346</v>
      </c>
      <c r="B53" s="114"/>
    </row>
    <row r="54" spans="1:2" x14ac:dyDescent="0.25">
      <c r="A54" s="80" t="s">
        <v>347</v>
      </c>
      <c r="B54" s="114"/>
    </row>
    <row r="55" spans="1:2" x14ac:dyDescent="0.25">
      <c r="A55" s="80" t="s">
        <v>348</v>
      </c>
      <c r="B55" s="114"/>
    </row>
    <row r="56" spans="1:2" x14ac:dyDescent="0.25">
      <c r="A56" s="114"/>
      <c r="B56" s="273"/>
    </row>
    <row r="57" spans="1:2" ht="14.4" x14ac:dyDescent="0.25">
      <c r="A57" s="357" t="s">
        <v>349</v>
      </c>
      <c r="B57" s="364"/>
    </row>
    <row r="58" spans="1:2" x14ac:dyDescent="0.25">
      <c r="A58" s="80" t="s">
        <v>349</v>
      </c>
      <c r="B58" s="114"/>
    </row>
    <row r="59" spans="1:2" x14ac:dyDescent="0.25">
      <c r="A59" s="80" t="s">
        <v>350</v>
      </c>
      <c r="B59" s="114"/>
    </row>
    <row r="60" spans="1:2" x14ac:dyDescent="0.25">
      <c r="A60" s="80" t="s">
        <v>351</v>
      </c>
      <c r="B60" s="114"/>
    </row>
    <row r="61" spans="1:2" x14ac:dyDescent="0.25">
      <c r="A61" s="114"/>
      <c r="B61" s="273"/>
    </row>
    <row r="62" spans="1:2" ht="14.4" x14ac:dyDescent="0.25">
      <c r="A62" s="357" t="s">
        <v>352</v>
      </c>
      <c r="B62" s="364"/>
    </row>
    <row r="63" spans="1:2" x14ac:dyDescent="0.25">
      <c r="A63" s="80" t="s">
        <v>353</v>
      </c>
      <c r="B63" s="114"/>
    </row>
    <row r="64" spans="1:2" x14ac:dyDescent="0.25">
      <c r="A64" s="80" t="s">
        <v>354</v>
      </c>
      <c r="B64" s="114"/>
    </row>
    <row r="65" spans="1:2" x14ac:dyDescent="0.25">
      <c r="A65" s="80" t="s">
        <v>355</v>
      </c>
      <c r="B65" s="114"/>
    </row>
    <row r="66" spans="1:2" x14ac:dyDescent="0.25">
      <c r="A66" s="80" t="s">
        <v>356</v>
      </c>
      <c r="B66" s="114"/>
    </row>
    <row r="67" spans="1:2" x14ac:dyDescent="0.25">
      <c r="A67" s="80" t="s">
        <v>357</v>
      </c>
      <c r="B67" s="114"/>
    </row>
    <row r="68" spans="1:2" x14ac:dyDescent="0.25">
      <c r="A68" s="114"/>
      <c r="B68" s="273"/>
    </row>
    <row r="69" spans="1:2" ht="14.4" x14ac:dyDescent="0.25">
      <c r="A69" s="357" t="s">
        <v>358</v>
      </c>
      <c r="B69" s="364"/>
    </row>
    <row r="70" spans="1:2" x14ac:dyDescent="0.25">
      <c r="A70" s="80" t="s">
        <v>359</v>
      </c>
      <c r="B70" s="114"/>
    </row>
    <row r="71" spans="1:2" x14ac:dyDescent="0.25">
      <c r="A71" s="114"/>
      <c r="B71" s="273"/>
    </row>
    <row r="72" spans="1:2" ht="14.4" x14ac:dyDescent="0.25">
      <c r="A72" s="357" t="s">
        <v>360</v>
      </c>
      <c r="B72" s="364"/>
    </row>
    <row r="73" spans="1:2" x14ac:dyDescent="0.25">
      <c r="A73" s="80" t="s">
        <v>361</v>
      </c>
      <c r="B73" s="114"/>
    </row>
    <row r="74" spans="1:2" x14ac:dyDescent="0.25">
      <c r="A74" s="80" t="s">
        <v>362</v>
      </c>
      <c r="B74" s="114"/>
    </row>
    <row r="75" spans="1:2" x14ac:dyDescent="0.25">
      <c r="A75" s="114"/>
      <c r="B75" s="273"/>
    </row>
    <row r="76" spans="1:2" ht="14.4" x14ac:dyDescent="0.25">
      <c r="A76" s="357" t="s">
        <v>81</v>
      </c>
      <c r="B76" s="364"/>
    </row>
    <row r="77" spans="1:2" x14ac:dyDescent="0.25">
      <c r="A77" s="80" t="s">
        <v>363</v>
      </c>
      <c r="B77" s="114"/>
    </row>
    <row r="78" spans="1:2" x14ac:dyDescent="0.25">
      <c r="A78" s="80" t="s">
        <v>364</v>
      </c>
      <c r="B78" s="114"/>
    </row>
    <row r="79" spans="1:2" x14ac:dyDescent="0.25">
      <c r="A79" s="80" t="s">
        <v>365</v>
      </c>
      <c r="B79" s="114"/>
    </row>
    <row r="80" spans="1:2" x14ac:dyDescent="0.25">
      <c r="A80" s="114"/>
      <c r="B80" s="273"/>
    </row>
    <row r="81" spans="1:2" x14ac:dyDescent="0.25">
      <c r="A81" s="257" t="s">
        <v>366</v>
      </c>
      <c r="B81" s="84"/>
    </row>
    <row r="82" spans="1:2" x14ac:dyDescent="0.25">
      <c r="A82" s="80" t="s">
        <v>367</v>
      </c>
      <c r="B82" s="114"/>
    </row>
    <row r="83" spans="1:2" x14ac:dyDescent="0.25">
      <c r="A83" s="80" t="s">
        <v>368</v>
      </c>
      <c r="B83" s="114"/>
    </row>
    <row r="84" spans="1:2" ht="14.4" x14ac:dyDescent="0.25">
      <c r="A84" s="365" t="s">
        <v>369</v>
      </c>
      <c r="B84" s="364"/>
    </row>
    <row r="85" spans="1:2" x14ac:dyDescent="0.25">
      <c r="A85" s="80" t="s">
        <v>370</v>
      </c>
      <c r="B85" s="114"/>
    </row>
    <row r="86" spans="1:2" x14ac:dyDescent="0.25">
      <c r="A86" s="80" t="s">
        <v>371</v>
      </c>
      <c r="B86" s="114"/>
    </row>
    <row r="87" spans="1:2" x14ac:dyDescent="0.25">
      <c r="A87" s="114"/>
      <c r="B87" s="273"/>
    </row>
    <row r="88" spans="1:2" ht="14.4" x14ac:dyDescent="0.25">
      <c r="A88" s="365" t="s">
        <v>372</v>
      </c>
      <c r="B88" s="364"/>
    </row>
    <row r="89" spans="1:2" x14ac:dyDescent="0.25">
      <c r="A89" s="80" t="s">
        <v>373</v>
      </c>
      <c r="B89" s="114"/>
    </row>
    <row r="90" spans="1:2" x14ac:dyDescent="0.25">
      <c r="A90" s="80" t="s">
        <v>374</v>
      </c>
      <c r="B90" s="114"/>
    </row>
    <row r="91" spans="1:2" x14ac:dyDescent="0.25">
      <c r="A91" s="114"/>
      <c r="B91" s="273"/>
    </row>
    <row r="92" spans="1:2" ht="14.4" x14ac:dyDescent="0.25">
      <c r="A92" s="357" t="s">
        <v>375</v>
      </c>
      <c r="B92" s="364"/>
    </row>
    <row r="93" spans="1:2" x14ac:dyDescent="0.25">
      <c r="A93" s="80" t="s">
        <v>376</v>
      </c>
      <c r="B93" s="114"/>
    </row>
    <row r="94" spans="1:2" x14ac:dyDescent="0.25">
      <c r="A94" s="80" t="s">
        <v>377</v>
      </c>
      <c r="B94" s="114"/>
    </row>
    <row r="95" spans="1:2" x14ac:dyDescent="0.25">
      <c r="A95" s="114"/>
      <c r="B95" s="273"/>
    </row>
    <row r="96" spans="1:2" ht="14.4" x14ac:dyDescent="0.25">
      <c r="A96" s="357" t="s">
        <v>378</v>
      </c>
      <c r="B96" s="364"/>
    </row>
    <row r="97" spans="1:2" x14ac:dyDescent="0.25">
      <c r="A97" s="80" t="s">
        <v>379</v>
      </c>
      <c r="B97" s="114"/>
    </row>
    <row r="98" spans="1:2" x14ac:dyDescent="0.25">
      <c r="A98" s="80" t="s">
        <v>380</v>
      </c>
      <c r="B98" s="114"/>
    </row>
    <row r="99" spans="1:2" x14ac:dyDescent="0.25">
      <c r="A99" s="80" t="s">
        <v>381</v>
      </c>
      <c r="B99" s="114"/>
    </row>
    <row r="100" spans="1:2" ht="14.4" x14ac:dyDescent="0.25">
      <c r="A100" s="357" t="s">
        <v>382</v>
      </c>
      <c r="B100" s="364"/>
    </row>
    <row r="101" spans="1:2" x14ac:dyDescent="0.25">
      <c r="A101" s="80" t="s">
        <v>383</v>
      </c>
      <c r="B101" s="114"/>
    </row>
    <row r="102" spans="1:2" x14ac:dyDescent="0.25">
      <c r="A102" s="80" t="s">
        <v>19</v>
      </c>
      <c r="B102" s="114"/>
    </row>
    <row r="103" spans="1:2" x14ac:dyDescent="0.25">
      <c r="A103" s="80" t="s">
        <v>384</v>
      </c>
      <c r="B103" s="114"/>
    </row>
    <row r="104" spans="1:2" x14ac:dyDescent="0.25">
      <c r="A104" s="80" t="s">
        <v>385</v>
      </c>
      <c r="B104" s="114"/>
    </row>
    <row r="105" spans="1:2" x14ac:dyDescent="0.25">
      <c r="A105" s="114"/>
      <c r="B105" s="114"/>
    </row>
    <row r="106" spans="1:2" x14ac:dyDescent="0.25">
      <c r="A106" s="79" t="s">
        <v>386</v>
      </c>
      <c r="B106" s="80"/>
    </row>
    <row r="107" spans="1:2" x14ac:dyDescent="0.25">
      <c r="A107" s="80" t="s">
        <v>14</v>
      </c>
      <c r="B107" s="114"/>
    </row>
    <row r="108" spans="1:2" x14ac:dyDescent="0.25">
      <c r="A108" s="80" t="s">
        <v>119</v>
      </c>
      <c r="B108" s="114"/>
    </row>
    <row r="109" spans="1:2" x14ac:dyDescent="0.25">
      <c r="A109" s="114"/>
      <c r="B109" s="273"/>
    </row>
    <row r="110" spans="1:2" x14ac:dyDescent="0.25">
      <c r="A110" s="79" t="s">
        <v>387</v>
      </c>
      <c r="B110" s="80"/>
    </row>
    <row r="111" spans="1:2" x14ac:dyDescent="0.25">
      <c r="A111" s="80" t="s">
        <v>388</v>
      </c>
      <c r="B111" s="114"/>
    </row>
    <row r="112" spans="1:2" x14ac:dyDescent="0.25">
      <c r="A112" s="80" t="s">
        <v>389</v>
      </c>
      <c r="B112" s="114"/>
    </row>
    <row r="113" spans="1:2" x14ac:dyDescent="0.25">
      <c r="A113" s="80" t="s">
        <v>390</v>
      </c>
      <c r="B113" s="114"/>
    </row>
    <row r="114" spans="1:2" x14ac:dyDescent="0.25">
      <c r="A114" s="114"/>
      <c r="B114" s="273"/>
    </row>
    <row r="115" spans="1:2" x14ac:dyDescent="0.25">
      <c r="A115" s="79" t="s">
        <v>391</v>
      </c>
      <c r="B115" s="80"/>
    </row>
    <row r="116" spans="1:2" x14ac:dyDescent="0.25">
      <c r="A116" s="80" t="s">
        <v>392</v>
      </c>
      <c r="B116" s="114"/>
    </row>
    <row r="117" spans="1:2" x14ac:dyDescent="0.25">
      <c r="A117" s="80" t="s">
        <v>393</v>
      </c>
      <c r="B117" s="114"/>
    </row>
    <row r="118" spans="1:2" x14ac:dyDescent="0.25">
      <c r="A118" s="80" t="s">
        <v>394</v>
      </c>
      <c r="B118" s="114"/>
    </row>
    <row r="119" spans="1:2" x14ac:dyDescent="0.25">
      <c r="A119" s="258" t="s">
        <v>395</v>
      </c>
      <c r="B119" s="255"/>
    </row>
    <row r="120" spans="1:2" x14ac:dyDescent="0.25">
      <c r="A120" s="114"/>
      <c r="B120" s="273"/>
    </row>
    <row r="121" spans="1:2" ht="14.4" x14ac:dyDescent="0.25">
      <c r="A121" s="357" t="s">
        <v>998</v>
      </c>
      <c r="B121" s="364"/>
    </row>
    <row r="122" spans="1:2" x14ac:dyDescent="0.25">
      <c r="A122" s="259"/>
      <c r="B122" s="259"/>
    </row>
    <row r="123" spans="1:2" x14ac:dyDescent="0.25">
      <c r="A123" s="259"/>
      <c r="B123" s="259"/>
    </row>
    <row r="124" spans="1:2" x14ac:dyDescent="0.25">
      <c r="A124" s="259"/>
      <c r="B124" s="259"/>
    </row>
    <row r="125" spans="1:2" x14ac:dyDescent="0.25">
      <c r="A125" s="259"/>
      <c r="B125" s="259"/>
    </row>
    <row r="126" spans="1:2" x14ac:dyDescent="0.25">
      <c r="A126" s="259"/>
      <c r="B126" s="259"/>
    </row>
    <row r="127" spans="1:2" x14ac:dyDescent="0.25">
      <c r="A127" s="259"/>
      <c r="B127" s="259"/>
    </row>
    <row r="128" spans="1:2" x14ac:dyDescent="0.25">
      <c r="A128" s="260"/>
      <c r="B128" s="260"/>
    </row>
    <row r="129" spans="1:2" x14ac:dyDescent="0.25">
      <c r="A129" s="260"/>
      <c r="B129" s="260"/>
    </row>
    <row r="130" spans="1:2" x14ac:dyDescent="0.25">
      <c r="A130" s="260"/>
      <c r="B130" s="260"/>
    </row>
    <row r="131" spans="1:2" x14ac:dyDescent="0.25">
      <c r="A131" s="260"/>
      <c r="B131" s="260"/>
    </row>
    <row r="132" spans="1:2" x14ac:dyDescent="0.25">
      <c r="A132" s="260"/>
      <c r="B132" s="260"/>
    </row>
    <row r="133" spans="1:2" x14ac:dyDescent="0.25">
      <c r="A133" s="260"/>
      <c r="B133" s="260"/>
    </row>
  </sheetData>
  <sheetProtection sheet="1" objects="1" scenarios="1" selectLockedCells="1"/>
  <mergeCells count="18">
    <mergeCell ref="A92:B92"/>
    <mergeCell ref="A96:B96"/>
    <mergeCell ref="A100:B100"/>
    <mergeCell ref="A121:B121"/>
    <mergeCell ref="A3:B3"/>
    <mergeCell ref="A14:B14"/>
    <mergeCell ref="A26:B26"/>
    <mergeCell ref="A62:B62"/>
    <mergeCell ref="A76:B76"/>
    <mergeCell ref="A72:B72"/>
    <mergeCell ref="A69:B69"/>
    <mergeCell ref="A88:B88"/>
    <mergeCell ref="A84:B84"/>
    <mergeCell ref="A1:B1"/>
    <mergeCell ref="A37:B37"/>
    <mergeCell ref="A47:B47"/>
    <mergeCell ref="A52:B52"/>
    <mergeCell ref="A57:B57"/>
  </mergeCells>
  <pageMargins left="0.70866141732283472" right="0.70866141732283472" top="0.78740157480314965" bottom="0.78740157480314965" header="0.31496062992125984" footer="0.31496062992125984"/>
  <pageSetup paperSize="9" scale="99" fitToHeight="0" orientation="portrait" r:id="rId1"/>
  <headerFooter>
    <oddHeader>&amp;R&amp;G</oddHeader>
    <oddFooter>&amp;L&amp;"Arial,Standard"&amp;10Selbstbeurteilung Integrierte Sicherheit&amp;R&amp;"Arial,Standard"&amp;10Seite &amp;P von &amp;N</oddFooter>
  </headerFooter>
  <rowBreaks count="1" manualBreakCount="1">
    <brk id="36" max="16383" man="1"/>
  </rowBreaks>
  <legacyDrawingHF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
  <dimension ref="A1:I712"/>
  <sheetViews>
    <sheetView tabSelected="1" zoomScale="85" zoomScaleNormal="85" workbookViewId="0">
      <pane ySplit="2" topLeftCell="A3" activePane="bottomLeft" state="frozen"/>
      <selection pane="bottomLeft" activeCell="F9" sqref="F9"/>
    </sheetView>
  </sheetViews>
  <sheetFormatPr defaultColWidth="11.44140625" defaultRowHeight="13.8" outlineLevelCol="1" x14ac:dyDescent="0.25"/>
  <cols>
    <col min="1" max="1" width="10.33203125" style="239" bestFit="1" customWidth="1"/>
    <col min="2" max="2" width="3.109375" style="240" customWidth="1"/>
    <col min="3" max="3" width="64.88671875" style="241" customWidth="1"/>
    <col min="4" max="5" width="4.5546875" style="242" customWidth="1" outlineLevel="1"/>
    <col min="6" max="6" width="42.44140625" style="243" customWidth="1" outlineLevel="1"/>
    <col min="7" max="7" width="12.6640625" style="244" customWidth="1" outlineLevel="1"/>
    <col min="8" max="16384" width="11.44140625" style="85"/>
  </cols>
  <sheetData>
    <row r="1" spans="1:9" s="86" customFormat="1" ht="30" customHeight="1" x14ac:dyDescent="0.3">
      <c r="A1" s="377" t="s">
        <v>1328</v>
      </c>
      <c r="B1" s="377"/>
      <c r="C1" s="377"/>
      <c r="D1" s="377"/>
      <c r="E1" s="377"/>
      <c r="F1" s="377"/>
      <c r="G1" s="377"/>
    </row>
    <row r="2" spans="1:9" s="86" customFormat="1" ht="27.6" x14ac:dyDescent="0.3">
      <c r="A2" s="87" t="s">
        <v>12</v>
      </c>
      <c r="B2" s="88"/>
      <c r="C2" s="89" t="s">
        <v>5</v>
      </c>
      <c r="D2" s="253" t="s">
        <v>2</v>
      </c>
      <c r="E2" s="253" t="s">
        <v>3</v>
      </c>
      <c r="F2" s="296" t="s">
        <v>300</v>
      </c>
      <c r="G2" s="119" t="s">
        <v>738</v>
      </c>
      <c r="H2" s="121"/>
      <c r="I2" s="121"/>
    </row>
    <row r="3" spans="1:9" s="93" customFormat="1" ht="17.399999999999999" x14ac:dyDescent="0.3">
      <c r="A3" s="90" t="s">
        <v>25</v>
      </c>
      <c r="B3" s="91" t="s">
        <v>4</v>
      </c>
      <c r="C3" s="91"/>
      <c r="D3" s="92"/>
      <c r="E3" s="92"/>
      <c r="F3" s="92"/>
      <c r="G3" s="92"/>
      <c r="H3" s="349"/>
      <c r="I3" s="349"/>
    </row>
    <row r="4" spans="1:9" s="93" customFormat="1" ht="18.75" customHeight="1" x14ac:dyDescent="0.3">
      <c r="A4" s="90"/>
      <c r="B4" s="94" t="s">
        <v>1445</v>
      </c>
      <c r="C4" s="94"/>
      <c r="D4" s="378"/>
      <c r="E4" s="378"/>
      <c r="F4" s="378"/>
      <c r="G4" s="92"/>
      <c r="H4" s="349"/>
      <c r="I4" s="349"/>
    </row>
    <row r="5" spans="1:9" s="93" customFormat="1" x14ac:dyDescent="0.3">
      <c r="A5" s="95" t="s">
        <v>26</v>
      </c>
      <c r="B5" s="382" t="s">
        <v>10</v>
      </c>
      <c r="C5" s="382"/>
      <c r="D5" s="96"/>
      <c r="E5" s="96"/>
      <c r="F5" s="96"/>
      <c r="G5" s="96"/>
      <c r="H5" s="349"/>
      <c r="I5" s="349"/>
    </row>
    <row r="6" spans="1:9" s="86" customFormat="1" ht="15.6" x14ac:dyDescent="0.3">
      <c r="A6" s="97" t="s">
        <v>29</v>
      </c>
      <c r="B6" s="98"/>
      <c r="C6" s="99" t="s">
        <v>0</v>
      </c>
      <c r="D6" s="100" t="s">
        <v>1656</v>
      </c>
      <c r="E6" s="100"/>
      <c r="F6" s="101"/>
      <c r="G6" s="266" t="s">
        <v>661</v>
      </c>
      <c r="H6" s="121"/>
      <c r="I6" s="121"/>
    </row>
    <row r="7" spans="1:9" s="86" customFormat="1" ht="27.6" x14ac:dyDescent="0.3">
      <c r="A7" s="103" t="s">
        <v>754</v>
      </c>
      <c r="B7" s="98"/>
      <c r="C7" s="99" t="s">
        <v>1</v>
      </c>
      <c r="D7" s="100"/>
      <c r="E7" s="104" t="s">
        <v>1656</v>
      </c>
      <c r="F7" s="105"/>
      <c r="G7" s="102"/>
      <c r="H7" s="121"/>
      <c r="I7" s="121"/>
    </row>
    <row r="8" spans="1:9" s="86" customFormat="1" ht="41.4" x14ac:dyDescent="0.3">
      <c r="A8" s="103" t="s">
        <v>755</v>
      </c>
      <c r="B8" s="98"/>
      <c r="C8" s="99" t="s">
        <v>6</v>
      </c>
      <c r="D8" s="100" t="s">
        <v>1656</v>
      </c>
      <c r="E8" s="104"/>
      <c r="F8" s="101" t="s">
        <v>1657</v>
      </c>
      <c r="G8" s="106"/>
      <c r="H8" s="121"/>
      <c r="I8" s="121"/>
    </row>
    <row r="9" spans="1:9" s="86" customFormat="1" ht="27.6" x14ac:dyDescent="0.3">
      <c r="A9" s="103" t="s">
        <v>756</v>
      </c>
      <c r="B9" s="98"/>
      <c r="C9" s="99" t="s">
        <v>297</v>
      </c>
      <c r="D9" s="100"/>
      <c r="E9" s="104"/>
      <c r="F9" s="101"/>
      <c r="G9" s="106"/>
      <c r="H9" s="121"/>
      <c r="I9" s="121"/>
    </row>
    <row r="10" spans="1:9" s="86" customFormat="1" ht="41.4" x14ac:dyDescent="0.3">
      <c r="A10" s="103" t="s">
        <v>757</v>
      </c>
      <c r="B10" s="98"/>
      <c r="C10" s="99" t="s">
        <v>981</v>
      </c>
      <c r="D10" s="100"/>
      <c r="E10" s="104"/>
      <c r="F10" s="107"/>
      <c r="G10" s="106"/>
      <c r="H10" s="121"/>
      <c r="I10" s="121"/>
    </row>
    <row r="11" spans="1:9" s="86" customFormat="1" ht="27.6" x14ac:dyDescent="0.3">
      <c r="A11" s="103" t="s">
        <v>740</v>
      </c>
      <c r="B11" s="98"/>
      <c r="C11" s="99" t="s">
        <v>743</v>
      </c>
      <c r="D11" s="100"/>
      <c r="E11" s="104"/>
      <c r="F11" s="101"/>
      <c r="G11" s="267" t="s">
        <v>662</v>
      </c>
      <c r="H11" s="121"/>
      <c r="I11" s="121"/>
    </row>
    <row r="12" spans="1:9" s="86" customFormat="1" x14ac:dyDescent="0.3">
      <c r="A12" s="103" t="s">
        <v>758</v>
      </c>
      <c r="B12" s="98"/>
      <c r="C12" s="98" t="s">
        <v>500</v>
      </c>
      <c r="D12" s="100"/>
      <c r="E12" s="104"/>
      <c r="F12" s="323"/>
      <c r="G12" s="106"/>
      <c r="H12" s="121"/>
      <c r="I12" s="121"/>
    </row>
    <row r="13" spans="1:9" s="86" customFormat="1" ht="56.4" x14ac:dyDescent="0.3">
      <c r="A13" s="108" t="s">
        <v>759</v>
      </c>
      <c r="B13" s="109"/>
      <c r="C13" s="110" t="s">
        <v>1633</v>
      </c>
      <c r="D13" s="100"/>
      <c r="E13" s="104"/>
      <c r="F13" s="104"/>
      <c r="G13" s="106"/>
      <c r="H13" s="121"/>
      <c r="I13" s="121"/>
    </row>
    <row r="14" spans="1:9" s="93" customFormat="1" ht="28.8" x14ac:dyDescent="0.3">
      <c r="A14" s="108" t="s">
        <v>760</v>
      </c>
      <c r="B14" s="109"/>
      <c r="C14" s="118" t="s">
        <v>978</v>
      </c>
      <c r="D14" s="100"/>
      <c r="E14" s="104"/>
      <c r="F14" s="104"/>
      <c r="G14" s="111"/>
      <c r="H14" s="349"/>
      <c r="I14" s="349"/>
    </row>
    <row r="15" spans="1:9" s="86" customFormat="1" x14ac:dyDescent="0.3">
      <c r="A15" s="95" t="s">
        <v>27</v>
      </c>
      <c r="B15" s="112" t="s">
        <v>7</v>
      </c>
      <c r="C15" s="113"/>
      <c r="D15" s="100"/>
      <c r="E15" s="114"/>
      <c r="F15" s="115"/>
      <c r="G15" s="116"/>
      <c r="H15" s="121"/>
      <c r="I15" s="121"/>
    </row>
    <row r="16" spans="1:9" s="86" customFormat="1" ht="41.4" x14ac:dyDescent="0.3">
      <c r="A16" s="97" t="s">
        <v>28</v>
      </c>
      <c r="B16" s="98"/>
      <c r="C16" s="99" t="s">
        <v>8</v>
      </c>
      <c r="D16" s="100"/>
      <c r="E16" s="104"/>
      <c r="F16" s="101"/>
      <c r="G16" s="92"/>
      <c r="H16" s="121"/>
      <c r="I16" s="121"/>
    </row>
    <row r="17" spans="1:9" s="86" customFormat="1" ht="27.6" x14ac:dyDescent="0.3">
      <c r="A17" s="103" t="s">
        <v>761</v>
      </c>
      <c r="B17" s="98"/>
      <c r="C17" s="99" t="s">
        <v>693</v>
      </c>
      <c r="D17" s="100"/>
      <c r="E17" s="104"/>
      <c r="F17" s="101"/>
      <c r="G17" s="111"/>
      <c r="H17" s="121"/>
      <c r="I17" s="121"/>
    </row>
    <row r="18" spans="1:9" s="86" customFormat="1" ht="27.6" x14ac:dyDescent="0.3">
      <c r="A18" s="103" t="s">
        <v>762</v>
      </c>
      <c r="B18" s="98"/>
      <c r="C18" s="99" t="s">
        <v>9</v>
      </c>
      <c r="D18" s="100"/>
      <c r="E18" s="104"/>
      <c r="F18" s="101"/>
      <c r="G18" s="111"/>
    </row>
    <row r="19" spans="1:9" s="86" customFormat="1" ht="27.6" x14ac:dyDescent="0.3">
      <c r="A19" s="103" t="s">
        <v>763</v>
      </c>
      <c r="B19" s="98"/>
      <c r="C19" s="99" t="s">
        <v>298</v>
      </c>
      <c r="D19" s="100"/>
      <c r="E19" s="104"/>
      <c r="F19" s="101"/>
      <c r="G19" s="111"/>
    </row>
    <row r="20" spans="1:9" s="331" customFormat="1" ht="31.5" customHeight="1" x14ac:dyDescent="0.3">
      <c r="A20" s="163" t="s">
        <v>764</v>
      </c>
      <c r="B20" s="110"/>
      <c r="C20" s="110" t="s">
        <v>1065</v>
      </c>
      <c r="D20" s="330"/>
      <c r="E20" s="114"/>
      <c r="F20" s="115"/>
      <c r="G20" s="116"/>
    </row>
    <row r="21" spans="1:9" s="86" customFormat="1" ht="14.4" x14ac:dyDescent="0.3">
      <c r="A21" s="108" t="s">
        <v>765</v>
      </c>
      <c r="B21" s="109"/>
      <c r="C21" s="118" t="s">
        <v>1066</v>
      </c>
      <c r="D21" s="100"/>
      <c r="E21" s="104"/>
      <c r="F21" s="101"/>
      <c r="G21" s="111"/>
    </row>
    <row r="22" spans="1:9" s="86" customFormat="1" ht="14.4" x14ac:dyDescent="0.3">
      <c r="A22" s="108" t="s">
        <v>766</v>
      </c>
      <c r="B22" s="109"/>
      <c r="C22" s="118" t="s">
        <v>1067</v>
      </c>
      <c r="D22" s="100"/>
      <c r="E22" s="104"/>
      <c r="F22" s="101"/>
      <c r="G22" s="111"/>
    </row>
    <row r="23" spans="1:9" s="86" customFormat="1" ht="14.4" x14ac:dyDescent="0.3">
      <c r="A23" s="108" t="s">
        <v>767</v>
      </c>
      <c r="B23" s="109"/>
      <c r="C23" s="118" t="s">
        <v>1068</v>
      </c>
      <c r="D23" s="100"/>
      <c r="E23" s="104"/>
      <c r="F23" s="101"/>
      <c r="G23" s="111"/>
    </row>
    <row r="24" spans="1:9" s="86" customFormat="1" ht="14.4" x14ac:dyDescent="0.3">
      <c r="A24" s="108" t="s">
        <v>768</v>
      </c>
      <c r="B24" s="109"/>
      <c r="C24" s="118" t="s">
        <v>1069</v>
      </c>
      <c r="D24" s="100"/>
      <c r="E24" s="104"/>
      <c r="F24" s="101"/>
      <c r="G24" s="111"/>
    </row>
    <row r="25" spans="1:9" s="86" customFormat="1" ht="14.4" x14ac:dyDescent="0.3">
      <c r="A25" s="108" t="s">
        <v>769</v>
      </c>
      <c r="B25" s="109"/>
      <c r="C25" s="118" t="s">
        <v>1070</v>
      </c>
      <c r="D25" s="100"/>
      <c r="E25" s="104"/>
      <c r="F25" s="101"/>
      <c r="G25" s="111"/>
    </row>
    <row r="26" spans="1:9" s="86" customFormat="1" ht="14.4" x14ac:dyDescent="0.3">
      <c r="A26" s="108" t="s">
        <v>770</v>
      </c>
      <c r="B26" s="109"/>
      <c r="C26" s="118" t="s">
        <v>1071</v>
      </c>
      <c r="D26" s="100"/>
      <c r="E26" s="104"/>
      <c r="F26" s="101"/>
      <c r="G26" s="111"/>
    </row>
    <row r="27" spans="1:9" s="86" customFormat="1" ht="14.4" x14ac:dyDescent="0.3">
      <c r="A27" s="108" t="s">
        <v>771</v>
      </c>
      <c r="B27" s="109"/>
      <c r="C27" s="118" t="s">
        <v>1072</v>
      </c>
      <c r="D27" s="100"/>
      <c r="E27" s="104"/>
      <c r="F27" s="101"/>
      <c r="G27" s="111"/>
    </row>
    <row r="28" spans="1:9" s="86" customFormat="1" ht="14.4" x14ac:dyDescent="0.3">
      <c r="A28" s="108" t="s">
        <v>772</v>
      </c>
      <c r="B28" s="109"/>
      <c r="C28" s="118" t="s">
        <v>1073</v>
      </c>
      <c r="D28" s="100"/>
      <c r="E28" s="104"/>
      <c r="F28" s="107"/>
      <c r="G28" s="111"/>
    </row>
    <row r="29" spans="1:9" s="86" customFormat="1" x14ac:dyDescent="0.3">
      <c r="A29" s="95" t="s">
        <v>299</v>
      </c>
      <c r="B29" s="112" t="s">
        <v>281</v>
      </c>
      <c r="C29" s="112"/>
      <c r="D29" s="119"/>
      <c r="E29" s="119"/>
      <c r="F29" s="119"/>
      <c r="G29" s="119"/>
    </row>
    <row r="30" spans="1:9" s="121" customFormat="1" ht="56.4" x14ac:dyDescent="0.3">
      <c r="A30" s="120" t="s">
        <v>324</v>
      </c>
      <c r="B30" s="109"/>
      <c r="C30" s="110" t="s">
        <v>1074</v>
      </c>
      <c r="D30" s="104"/>
      <c r="E30" s="104"/>
      <c r="F30" s="117"/>
      <c r="G30" s="111"/>
    </row>
    <row r="31" spans="1:9" s="121" customFormat="1" ht="14.4" x14ac:dyDescent="0.3">
      <c r="A31" s="108" t="s">
        <v>773</v>
      </c>
      <c r="B31" s="109"/>
      <c r="C31" s="118" t="s">
        <v>1075</v>
      </c>
      <c r="D31" s="104"/>
      <c r="E31" s="104"/>
      <c r="F31" s="101"/>
      <c r="G31" s="111"/>
    </row>
    <row r="32" spans="1:9" s="121" customFormat="1" ht="18" customHeight="1" x14ac:dyDescent="0.3">
      <c r="A32" s="108" t="s">
        <v>774</v>
      </c>
      <c r="B32" s="109"/>
      <c r="C32" s="118" t="s">
        <v>1076</v>
      </c>
      <c r="D32" s="104"/>
      <c r="E32" s="104"/>
      <c r="F32" s="107"/>
      <c r="G32" s="111"/>
    </row>
    <row r="33" spans="1:7" s="121" customFormat="1" ht="42" x14ac:dyDescent="0.3">
      <c r="A33" s="108" t="s">
        <v>325</v>
      </c>
      <c r="B33" s="109"/>
      <c r="C33" s="110" t="s">
        <v>1077</v>
      </c>
      <c r="D33" s="104"/>
      <c r="E33" s="104"/>
      <c r="F33" s="101"/>
      <c r="G33" s="111"/>
    </row>
    <row r="34" spans="1:7" s="121" customFormat="1" ht="14.4" x14ac:dyDescent="0.3">
      <c r="A34" s="108" t="s">
        <v>775</v>
      </c>
      <c r="B34" s="109"/>
      <c r="C34" s="110" t="s">
        <v>1078</v>
      </c>
      <c r="D34" s="104"/>
      <c r="E34" s="104"/>
      <c r="F34" s="101"/>
      <c r="G34" s="111"/>
    </row>
    <row r="35" spans="1:7" s="121" customFormat="1" ht="14.4" x14ac:dyDescent="0.3">
      <c r="A35" s="108" t="s">
        <v>776</v>
      </c>
      <c r="B35" s="109"/>
      <c r="C35" s="110" t="s">
        <v>1079</v>
      </c>
      <c r="D35" s="104"/>
      <c r="E35" s="104"/>
      <c r="F35" s="117"/>
      <c r="G35" s="111"/>
    </row>
    <row r="36" spans="1:7" s="121" customFormat="1" ht="14.4" x14ac:dyDescent="0.3">
      <c r="A36" s="108" t="s">
        <v>777</v>
      </c>
      <c r="B36" s="109"/>
      <c r="C36" s="110" t="s">
        <v>1080</v>
      </c>
      <c r="D36" s="104"/>
      <c r="E36" s="104"/>
      <c r="F36" s="101"/>
      <c r="G36" s="111"/>
    </row>
    <row r="37" spans="1:7" s="121" customFormat="1" ht="14.4" x14ac:dyDescent="0.3">
      <c r="A37" s="108" t="s">
        <v>778</v>
      </c>
      <c r="B37" s="109"/>
      <c r="C37" s="110" t="s">
        <v>1081</v>
      </c>
      <c r="D37" s="104"/>
      <c r="E37" s="104"/>
      <c r="F37" s="101"/>
      <c r="G37" s="111"/>
    </row>
    <row r="38" spans="1:7" s="121" customFormat="1" ht="14.4" x14ac:dyDescent="0.3">
      <c r="A38" s="108" t="s">
        <v>779</v>
      </c>
      <c r="B38" s="109"/>
      <c r="C38" s="110" t="s">
        <v>1082</v>
      </c>
      <c r="D38" s="104"/>
      <c r="E38" s="104"/>
      <c r="F38" s="101"/>
      <c r="G38" s="111"/>
    </row>
    <row r="39" spans="1:7" s="121" customFormat="1" ht="14.4" x14ac:dyDescent="0.3">
      <c r="A39" s="108" t="s">
        <v>780</v>
      </c>
      <c r="B39" s="109"/>
      <c r="C39" s="110" t="s">
        <v>1083</v>
      </c>
      <c r="D39" s="104"/>
      <c r="E39" s="104"/>
      <c r="F39" s="101"/>
      <c r="G39" s="111"/>
    </row>
    <row r="40" spans="1:7" s="121" customFormat="1" ht="14.4" x14ac:dyDescent="0.3">
      <c r="A40" s="108" t="s">
        <v>781</v>
      </c>
      <c r="B40" s="109"/>
      <c r="C40" s="118" t="s">
        <v>979</v>
      </c>
      <c r="D40" s="104"/>
      <c r="E40" s="104"/>
      <c r="F40" s="107"/>
      <c r="G40" s="111"/>
    </row>
    <row r="41" spans="1:7" s="121" customFormat="1" ht="41.4" x14ac:dyDescent="0.3">
      <c r="A41" s="122" t="s">
        <v>280</v>
      </c>
      <c r="B41" s="98"/>
      <c r="C41" s="99" t="s">
        <v>278</v>
      </c>
      <c r="D41" s="104"/>
      <c r="E41" s="104"/>
      <c r="F41" s="101"/>
      <c r="G41" s="111"/>
    </row>
    <row r="42" spans="1:7" s="121" customFormat="1" x14ac:dyDescent="0.3">
      <c r="A42" s="95" t="s">
        <v>301</v>
      </c>
      <c r="B42" s="371" t="s">
        <v>17</v>
      </c>
      <c r="C42" s="371"/>
      <c r="D42" s="111"/>
      <c r="E42" s="111"/>
      <c r="F42" s="111"/>
      <c r="G42" s="123"/>
    </row>
    <row r="43" spans="1:7" s="121" customFormat="1" ht="76.2" x14ac:dyDescent="0.3">
      <c r="A43" s="124" t="s">
        <v>326</v>
      </c>
      <c r="B43" s="109"/>
      <c r="C43" s="110" t="s">
        <v>1084</v>
      </c>
      <c r="D43" s="104"/>
      <c r="E43" s="104"/>
      <c r="F43" s="125"/>
      <c r="G43" s="267" t="s">
        <v>663</v>
      </c>
    </row>
    <row r="44" spans="1:7" s="121" customFormat="1" ht="15" customHeight="1" x14ac:dyDescent="0.3">
      <c r="A44" s="120" t="s">
        <v>782</v>
      </c>
      <c r="B44" s="109"/>
      <c r="C44" s="118" t="s">
        <v>980</v>
      </c>
      <c r="D44" s="104"/>
      <c r="E44" s="104"/>
      <c r="F44" s="125"/>
      <c r="G44" s="92"/>
    </row>
    <row r="45" spans="1:7" s="121" customFormat="1" ht="15" customHeight="1" x14ac:dyDescent="0.3">
      <c r="A45" s="120" t="s">
        <v>783</v>
      </c>
      <c r="B45" s="109"/>
      <c r="C45" s="110" t="s">
        <v>1085</v>
      </c>
      <c r="D45" s="104"/>
      <c r="E45" s="104"/>
      <c r="F45" s="125"/>
      <c r="G45" s="92"/>
    </row>
    <row r="46" spans="1:7" s="121" customFormat="1" ht="15" customHeight="1" x14ac:dyDescent="0.3">
      <c r="A46" s="120" t="s">
        <v>784</v>
      </c>
      <c r="B46" s="109"/>
      <c r="C46" s="118" t="s">
        <v>968</v>
      </c>
      <c r="D46" s="104"/>
      <c r="E46" s="104"/>
      <c r="F46" s="125"/>
      <c r="G46" s="92"/>
    </row>
    <row r="47" spans="1:7" s="121" customFormat="1" ht="15" customHeight="1" x14ac:dyDescent="0.3">
      <c r="A47" s="120" t="s">
        <v>785</v>
      </c>
      <c r="B47" s="109"/>
      <c r="C47" s="118" t="s">
        <v>969</v>
      </c>
      <c r="D47" s="104"/>
      <c r="E47" s="104"/>
      <c r="F47" s="125"/>
      <c r="G47" s="92"/>
    </row>
    <row r="48" spans="1:7" s="121" customFormat="1" ht="17.399999999999999" x14ac:dyDescent="0.3">
      <c r="A48" s="120" t="s">
        <v>786</v>
      </c>
      <c r="B48" s="109"/>
      <c r="C48" s="110" t="s">
        <v>1086</v>
      </c>
      <c r="D48" s="104"/>
      <c r="E48" s="104"/>
      <c r="F48" s="126"/>
      <c r="G48" s="92"/>
    </row>
    <row r="49" spans="1:7" s="121" customFormat="1" ht="45.75" customHeight="1" x14ac:dyDescent="0.3">
      <c r="A49" s="124" t="s">
        <v>327</v>
      </c>
      <c r="B49" s="109"/>
      <c r="C49" s="110" t="s">
        <v>1087</v>
      </c>
      <c r="D49" s="104"/>
      <c r="E49" s="104"/>
      <c r="F49" s="127"/>
      <c r="G49" s="92"/>
    </row>
    <row r="50" spans="1:7" s="121" customFormat="1" ht="15" customHeight="1" x14ac:dyDescent="0.3">
      <c r="A50" s="120" t="s">
        <v>787</v>
      </c>
      <c r="B50" s="109"/>
      <c r="C50" s="110" t="s">
        <v>1088</v>
      </c>
      <c r="D50" s="104"/>
      <c r="E50" s="104"/>
      <c r="F50" s="125"/>
      <c r="G50" s="92"/>
    </row>
    <row r="51" spans="1:7" s="121" customFormat="1" ht="15" customHeight="1" x14ac:dyDescent="0.3">
      <c r="A51" s="120" t="s">
        <v>788</v>
      </c>
      <c r="B51" s="109"/>
      <c r="C51" s="110" t="s">
        <v>1085</v>
      </c>
      <c r="D51" s="104"/>
      <c r="E51" s="104"/>
      <c r="F51" s="125"/>
      <c r="G51" s="92"/>
    </row>
    <row r="52" spans="1:7" s="121" customFormat="1" ht="17.399999999999999" x14ac:dyDescent="0.3">
      <c r="A52" s="120" t="s">
        <v>789</v>
      </c>
      <c r="B52" s="109"/>
      <c r="C52" s="110" t="s">
        <v>1089</v>
      </c>
      <c r="D52" s="104"/>
      <c r="E52" s="104"/>
      <c r="F52" s="126"/>
      <c r="G52" s="92"/>
    </row>
    <row r="53" spans="1:7" s="121" customFormat="1" ht="27.6" x14ac:dyDescent="0.3">
      <c r="A53" s="122" t="s">
        <v>971</v>
      </c>
      <c r="B53" s="98"/>
      <c r="C53" s="99" t="s">
        <v>970</v>
      </c>
      <c r="D53" s="104"/>
      <c r="E53" s="104"/>
      <c r="F53" s="101"/>
      <c r="G53" s="128"/>
    </row>
    <row r="54" spans="1:7" s="121" customFormat="1" ht="28.2" x14ac:dyDescent="0.3">
      <c r="A54" s="97" t="s">
        <v>328</v>
      </c>
      <c r="B54" s="98"/>
      <c r="C54" s="99" t="s">
        <v>1090</v>
      </c>
      <c r="D54" s="104"/>
      <c r="E54" s="104"/>
      <c r="F54" s="101"/>
      <c r="G54" s="111"/>
    </row>
    <row r="55" spans="1:7" s="121" customFormat="1" ht="31.5" customHeight="1" x14ac:dyDescent="0.3">
      <c r="A55" s="122" t="s">
        <v>972</v>
      </c>
      <c r="B55" s="98"/>
      <c r="C55" s="99" t="s">
        <v>277</v>
      </c>
      <c r="D55" s="104"/>
      <c r="E55" s="104"/>
      <c r="F55" s="107"/>
      <c r="G55" s="111"/>
    </row>
    <row r="56" spans="1:7" s="121" customFormat="1" x14ac:dyDescent="0.3">
      <c r="A56" s="122" t="s">
        <v>276</v>
      </c>
      <c r="B56" s="382" t="s">
        <v>275</v>
      </c>
      <c r="C56" s="382"/>
      <c r="D56" s="111"/>
      <c r="E56" s="111"/>
      <c r="F56" s="111"/>
      <c r="G56" s="111"/>
    </row>
    <row r="57" spans="1:7" s="121" customFormat="1" ht="27.6" x14ac:dyDescent="0.3">
      <c r="A57" s="122" t="s">
        <v>329</v>
      </c>
      <c r="B57" s="98"/>
      <c r="C57" s="99" t="s">
        <v>274</v>
      </c>
      <c r="D57" s="104"/>
      <c r="E57" s="104"/>
      <c r="F57" s="101"/>
      <c r="G57" s="92"/>
    </row>
    <row r="58" spans="1:7" s="121" customFormat="1" ht="27.6" x14ac:dyDescent="0.3">
      <c r="A58" s="103" t="s">
        <v>790</v>
      </c>
      <c r="B58" s="98"/>
      <c r="C58" s="99" t="s">
        <v>273</v>
      </c>
      <c r="D58" s="104"/>
      <c r="E58" s="104"/>
      <c r="F58" s="101"/>
      <c r="G58" s="111"/>
    </row>
    <row r="59" spans="1:7" s="121" customFormat="1" ht="27.6" x14ac:dyDescent="0.3">
      <c r="A59" s="103" t="s">
        <v>791</v>
      </c>
      <c r="B59" s="98"/>
      <c r="C59" s="99" t="s">
        <v>1591</v>
      </c>
      <c r="D59" s="104"/>
      <c r="E59" s="104"/>
      <c r="F59" s="101"/>
      <c r="G59" s="111"/>
    </row>
    <row r="60" spans="1:7" s="121" customFormat="1" ht="42" x14ac:dyDescent="0.3">
      <c r="A60" s="122" t="s">
        <v>973</v>
      </c>
      <c r="B60" s="98"/>
      <c r="C60" s="99" t="s">
        <v>1091</v>
      </c>
      <c r="D60" s="104"/>
      <c r="E60" s="104"/>
      <c r="F60" s="117"/>
      <c r="G60" s="111"/>
    </row>
    <row r="61" spans="1:7" s="121" customFormat="1" ht="42" x14ac:dyDescent="0.3">
      <c r="A61" s="129" t="s">
        <v>441</v>
      </c>
      <c r="B61" s="98"/>
      <c r="C61" s="99" t="s">
        <v>1092</v>
      </c>
      <c r="D61" s="104"/>
      <c r="E61" s="104"/>
      <c r="F61" s="101"/>
      <c r="G61" s="111"/>
    </row>
    <row r="62" spans="1:7" s="121" customFormat="1" ht="55.2" x14ac:dyDescent="0.3">
      <c r="A62" s="122" t="s">
        <v>792</v>
      </c>
      <c r="B62" s="98"/>
      <c r="C62" s="99" t="s">
        <v>1528</v>
      </c>
      <c r="D62" s="104"/>
      <c r="E62" s="104"/>
      <c r="F62" s="107"/>
      <c r="G62" s="111"/>
    </row>
    <row r="63" spans="1:7" s="121" customFormat="1" ht="55.2" x14ac:dyDescent="0.3">
      <c r="A63" s="103" t="s">
        <v>974</v>
      </c>
      <c r="B63" s="98"/>
      <c r="C63" s="99" t="s">
        <v>1588</v>
      </c>
      <c r="D63" s="104"/>
      <c r="E63" s="104"/>
      <c r="F63" s="107"/>
      <c r="G63" s="92"/>
    </row>
    <row r="64" spans="1:7" s="121" customFormat="1" ht="14.4" thickBot="1" x14ac:dyDescent="0.35">
      <c r="A64" s="130"/>
      <c r="B64" s="131"/>
      <c r="C64" s="132"/>
      <c r="D64" s="133"/>
      <c r="E64" s="133"/>
      <c r="F64" s="134"/>
      <c r="G64" s="131"/>
    </row>
    <row r="65" spans="1:7" s="121" customFormat="1" ht="17.399999999999999" x14ac:dyDescent="0.3">
      <c r="A65" s="135" t="s">
        <v>397</v>
      </c>
      <c r="B65" s="136" t="s">
        <v>272</v>
      </c>
      <c r="C65" s="137"/>
      <c r="D65" s="138"/>
      <c r="E65" s="138"/>
      <c r="F65" s="138"/>
      <c r="G65" s="139"/>
    </row>
    <row r="66" spans="1:7" s="121" customFormat="1" ht="17.399999999999999" x14ac:dyDescent="0.3">
      <c r="A66" s="90"/>
      <c r="B66" s="94" t="s">
        <v>1444</v>
      </c>
      <c r="C66" s="94"/>
      <c r="D66" s="366"/>
      <c r="E66" s="366"/>
      <c r="F66" s="366"/>
      <c r="G66" s="91"/>
    </row>
    <row r="67" spans="1:7" s="121" customFormat="1" x14ac:dyDescent="0.3">
      <c r="A67" s="95" t="s">
        <v>398</v>
      </c>
      <c r="B67" s="112" t="s">
        <v>271</v>
      </c>
      <c r="C67" s="112"/>
      <c r="D67" s="96"/>
      <c r="E67" s="96"/>
      <c r="F67" s="140"/>
      <c r="G67" s="112"/>
    </row>
    <row r="68" spans="1:7" s="121" customFormat="1" x14ac:dyDescent="0.3">
      <c r="A68" s="97" t="s">
        <v>270</v>
      </c>
      <c r="B68" s="112"/>
      <c r="C68" s="112" t="s">
        <v>269</v>
      </c>
      <c r="D68" s="96"/>
      <c r="E68" s="96"/>
      <c r="F68" s="140"/>
      <c r="G68" s="112"/>
    </row>
    <row r="69" spans="1:7" s="121" customFormat="1" ht="33" customHeight="1" x14ac:dyDescent="0.3">
      <c r="A69" s="120" t="s">
        <v>709</v>
      </c>
      <c r="B69" s="141"/>
      <c r="C69" s="110" t="s">
        <v>1093</v>
      </c>
      <c r="D69" s="142"/>
      <c r="E69" s="142"/>
      <c r="F69" s="143"/>
      <c r="G69" s="94" t="s">
        <v>664</v>
      </c>
    </row>
    <row r="70" spans="1:7" s="121" customFormat="1" ht="14.4" x14ac:dyDescent="0.3">
      <c r="A70" s="120" t="s">
        <v>744</v>
      </c>
      <c r="B70" s="141"/>
      <c r="C70" s="110" t="s">
        <v>1094</v>
      </c>
      <c r="D70" s="142"/>
      <c r="E70" s="142"/>
      <c r="F70" s="143"/>
      <c r="G70" s="112"/>
    </row>
    <row r="71" spans="1:7" s="121" customFormat="1" ht="14.4" x14ac:dyDescent="0.3">
      <c r="A71" s="120" t="s">
        <v>745</v>
      </c>
      <c r="B71" s="141"/>
      <c r="C71" s="110" t="s">
        <v>1095</v>
      </c>
      <c r="D71" s="142"/>
      <c r="E71" s="142"/>
      <c r="F71" s="143"/>
      <c r="G71" s="112"/>
    </row>
    <row r="72" spans="1:7" s="121" customFormat="1" ht="14.4" x14ac:dyDescent="0.3">
      <c r="A72" s="120" t="s">
        <v>746</v>
      </c>
      <c r="B72" s="141"/>
      <c r="C72" s="110" t="s">
        <v>1096</v>
      </c>
      <c r="D72" s="142"/>
      <c r="E72" s="142"/>
      <c r="F72" s="143"/>
      <c r="G72" s="112"/>
    </row>
    <row r="73" spans="1:7" s="121" customFormat="1" ht="14.4" x14ac:dyDescent="0.3">
      <c r="A73" s="120" t="s">
        <v>747</v>
      </c>
      <c r="B73" s="141"/>
      <c r="C73" s="110" t="s">
        <v>1498</v>
      </c>
      <c r="D73" s="142"/>
      <c r="E73" s="142"/>
      <c r="F73" s="143"/>
      <c r="G73" s="112"/>
    </row>
    <row r="74" spans="1:7" s="121" customFormat="1" ht="14.4" x14ac:dyDescent="0.3">
      <c r="A74" s="120" t="s">
        <v>748</v>
      </c>
      <c r="B74" s="141"/>
      <c r="C74" s="110" t="s">
        <v>1097</v>
      </c>
      <c r="D74" s="142"/>
      <c r="E74" s="142"/>
      <c r="F74" s="144"/>
      <c r="G74" s="112"/>
    </row>
    <row r="75" spans="1:7" s="121" customFormat="1" x14ac:dyDescent="0.3">
      <c r="A75" s="97" t="s">
        <v>268</v>
      </c>
      <c r="B75" s="98"/>
      <c r="C75" s="112" t="s">
        <v>267</v>
      </c>
      <c r="D75" s="145"/>
      <c r="E75" s="145"/>
      <c r="F75" s="146"/>
      <c r="G75" s="147"/>
    </row>
    <row r="76" spans="1:7" s="121" customFormat="1" ht="27.6" x14ac:dyDescent="0.3">
      <c r="A76" s="97" t="s">
        <v>440</v>
      </c>
      <c r="B76" s="98"/>
      <c r="C76" s="99" t="s">
        <v>266</v>
      </c>
      <c r="D76" s="148"/>
      <c r="E76" s="148"/>
      <c r="F76" s="101"/>
      <c r="G76" s="98"/>
    </row>
    <row r="77" spans="1:7" s="121" customFormat="1" ht="33.75" customHeight="1" x14ac:dyDescent="0.3">
      <c r="A77" s="120" t="s">
        <v>399</v>
      </c>
      <c r="B77" s="109"/>
      <c r="C77" s="110" t="s">
        <v>1098</v>
      </c>
      <c r="D77" s="148"/>
      <c r="E77" s="148"/>
      <c r="F77" s="101"/>
      <c r="G77" s="268" t="s">
        <v>753</v>
      </c>
    </row>
    <row r="78" spans="1:7" s="121" customFormat="1" ht="14.4" x14ac:dyDescent="0.3">
      <c r="A78" s="120" t="s">
        <v>400</v>
      </c>
      <c r="B78" s="109"/>
      <c r="C78" s="118" t="s">
        <v>975</v>
      </c>
      <c r="D78" s="148"/>
      <c r="E78" s="148"/>
      <c r="F78" s="101"/>
      <c r="G78" s="147"/>
    </row>
    <row r="79" spans="1:7" s="121" customFormat="1" ht="14.4" x14ac:dyDescent="0.3">
      <c r="A79" s="120" t="s">
        <v>401</v>
      </c>
      <c r="B79" s="109"/>
      <c r="C79" s="110" t="s">
        <v>1099</v>
      </c>
      <c r="D79" s="104"/>
      <c r="E79" s="104"/>
      <c r="F79" s="101"/>
      <c r="G79" s="147"/>
    </row>
    <row r="80" spans="1:7" s="121" customFormat="1" ht="15.6" x14ac:dyDescent="0.3">
      <c r="A80" s="120" t="s">
        <v>402</v>
      </c>
      <c r="B80" s="109"/>
      <c r="C80" s="110" t="s">
        <v>1100</v>
      </c>
      <c r="D80" s="148"/>
      <c r="E80" s="148"/>
      <c r="F80" s="101"/>
      <c r="G80" s="268" t="s">
        <v>668</v>
      </c>
    </row>
    <row r="81" spans="1:7" s="121" customFormat="1" ht="14.4" x14ac:dyDescent="0.3">
      <c r="A81" s="120" t="s">
        <v>403</v>
      </c>
      <c r="B81" s="109"/>
      <c r="C81" s="110" t="s">
        <v>1101</v>
      </c>
      <c r="D81" s="148"/>
      <c r="E81" s="148"/>
      <c r="F81" s="101"/>
      <c r="G81" s="147"/>
    </row>
    <row r="82" spans="1:7" s="121" customFormat="1" ht="14.4" x14ac:dyDescent="0.3">
      <c r="A82" s="120" t="s">
        <v>404</v>
      </c>
      <c r="B82" s="109"/>
      <c r="C82" s="110" t="s">
        <v>1102</v>
      </c>
      <c r="D82" s="148"/>
      <c r="E82" s="148"/>
      <c r="F82" s="101"/>
      <c r="G82" s="147"/>
    </row>
    <row r="83" spans="1:7" s="121" customFormat="1" ht="14.4" x14ac:dyDescent="0.3">
      <c r="A83" s="120" t="s">
        <v>405</v>
      </c>
      <c r="B83" s="109"/>
      <c r="C83" s="110" t="s">
        <v>1103</v>
      </c>
      <c r="D83" s="148"/>
      <c r="E83" s="148"/>
      <c r="F83" s="101"/>
      <c r="G83" s="147"/>
    </row>
    <row r="84" spans="1:7" s="121" customFormat="1" ht="14.4" x14ac:dyDescent="0.3">
      <c r="A84" s="120" t="s">
        <v>406</v>
      </c>
      <c r="B84" s="109"/>
      <c r="C84" s="110" t="s">
        <v>1104</v>
      </c>
      <c r="D84" s="148"/>
      <c r="E84" s="148"/>
      <c r="F84" s="107"/>
      <c r="G84" s="98"/>
    </row>
    <row r="85" spans="1:7" s="121" customFormat="1" ht="45.75" customHeight="1" x14ac:dyDescent="0.3">
      <c r="A85" s="124" t="s">
        <v>407</v>
      </c>
      <c r="B85" s="109"/>
      <c r="C85" s="110" t="s">
        <v>1105</v>
      </c>
      <c r="D85" s="104"/>
      <c r="E85" s="104"/>
      <c r="F85" s="101"/>
      <c r="G85" s="98"/>
    </row>
    <row r="86" spans="1:7" s="121" customFormat="1" ht="15" customHeight="1" x14ac:dyDescent="0.3">
      <c r="A86" s="124" t="s">
        <v>409</v>
      </c>
      <c r="B86" s="109"/>
      <c r="C86" s="110" t="s">
        <v>1106</v>
      </c>
      <c r="D86" s="104"/>
      <c r="E86" s="104"/>
      <c r="F86" s="101"/>
      <c r="G86" s="269" t="s">
        <v>720</v>
      </c>
    </row>
    <row r="87" spans="1:7" s="121" customFormat="1" ht="15" customHeight="1" x14ac:dyDescent="0.3">
      <c r="A87" s="124" t="s">
        <v>410</v>
      </c>
      <c r="B87" s="109"/>
      <c r="C87" s="110" t="s">
        <v>1107</v>
      </c>
      <c r="D87" s="104"/>
      <c r="E87" s="104"/>
      <c r="F87" s="101"/>
      <c r="G87" s="149"/>
    </row>
    <row r="88" spans="1:7" s="121" customFormat="1" ht="15" customHeight="1" x14ac:dyDescent="0.3">
      <c r="A88" s="124" t="s">
        <v>411</v>
      </c>
      <c r="B88" s="109"/>
      <c r="C88" s="110" t="s">
        <v>1108</v>
      </c>
      <c r="D88" s="104"/>
      <c r="E88" s="104"/>
      <c r="F88" s="101"/>
      <c r="G88" s="149"/>
    </row>
    <row r="89" spans="1:7" s="121" customFormat="1" ht="15" customHeight="1" x14ac:dyDescent="0.3">
      <c r="A89" s="124" t="s">
        <v>412</v>
      </c>
      <c r="B89" s="109"/>
      <c r="C89" s="110" t="s">
        <v>1109</v>
      </c>
      <c r="D89" s="104"/>
      <c r="E89" s="104"/>
      <c r="F89" s="101"/>
      <c r="G89" s="149"/>
    </row>
    <row r="90" spans="1:7" s="121" customFormat="1" ht="15" customHeight="1" x14ac:dyDescent="0.3">
      <c r="A90" s="124" t="s">
        <v>413</v>
      </c>
      <c r="B90" s="109"/>
      <c r="C90" s="110" t="s">
        <v>1110</v>
      </c>
      <c r="D90" s="104"/>
      <c r="E90" s="104"/>
      <c r="F90" s="101"/>
      <c r="G90" s="149"/>
    </row>
    <row r="91" spans="1:7" s="121" customFormat="1" ht="15" customHeight="1" x14ac:dyDescent="0.3">
      <c r="A91" s="124" t="s">
        <v>414</v>
      </c>
      <c r="B91" s="109"/>
      <c r="C91" s="118" t="s">
        <v>976</v>
      </c>
      <c r="D91" s="104"/>
      <c r="E91" s="104"/>
      <c r="F91" s="101"/>
      <c r="G91" s="149"/>
    </row>
    <row r="92" spans="1:7" s="121" customFormat="1" ht="28.2" x14ac:dyDescent="0.3">
      <c r="A92" s="124" t="s">
        <v>415</v>
      </c>
      <c r="B92" s="109"/>
      <c r="C92" s="110" t="s">
        <v>1111</v>
      </c>
      <c r="D92" s="104"/>
      <c r="E92" s="104"/>
      <c r="F92" s="107"/>
      <c r="G92" s="149"/>
    </row>
    <row r="93" spans="1:7" s="121" customFormat="1" x14ac:dyDescent="0.3">
      <c r="A93" s="122" t="s">
        <v>265</v>
      </c>
      <c r="B93" s="98"/>
      <c r="C93" s="112" t="s">
        <v>264</v>
      </c>
      <c r="D93" s="111"/>
      <c r="E93" s="111"/>
      <c r="F93" s="150"/>
      <c r="G93" s="98"/>
    </row>
    <row r="94" spans="1:7" s="121" customFormat="1" ht="42" x14ac:dyDescent="0.3">
      <c r="A94" s="124" t="s">
        <v>408</v>
      </c>
      <c r="B94" s="109"/>
      <c r="C94" s="110" t="s">
        <v>1112</v>
      </c>
      <c r="D94" s="104"/>
      <c r="E94" s="104"/>
      <c r="F94" s="101"/>
      <c r="G94" s="98"/>
    </row>
    <row r="95" spans="1:7" s="121" customFormat="1" ht="14.4" x14ac:dyDescent="0.3">
      <c r="A95" s="124" t="s">
        <v>416</v>
      </c>
      <c r="B95" s="109"/>
      <c r="C95" s="110" t="s">
        <v>1113</v>
      </c>
      <c r="D95" s="104"/>
      <c r="E95" s="104"/>
      <c r="F95" s="101"/>
      <c r="G95" s="98"/>
    </row>
    <row r="96" spans="1:7" s="121" customFormat="1" ht="14.4" x14ac:dyDescent="0.3">
      <c r="A96" s="124" t="s">
        <v>417</v>
      </c>
      <c r="B96" s="109"/>
      <c r="C96" s="110" t="s">
        <v>1114</v>
      </c>
      <c r="D96" s="104"/>
      <c r="E96" s="104"/>
      <c r="F96" s="101"/>
      <c r="G96" s="98"/>
    </row>
    <row r="97" spans="1:7" s="121" customFormat="1" ht="28.2" x14ac:dyDescent="0.3">
      <c r="A97" s="124" t="s">
        <v>977</v>
      </c>
      <c r="B97" s="109"/>
      <c r="C97" s="110" t="s">
        <v>1115</v>
      </c>
      <c r="D97" s="104"/>
      <c r="E97" s="104"/>
      <c r="F97" s="107"/>
      <c r="G97" s="98"/>
    </row>
    <row r="98" spans="1:7" s="121" customFormat="1" ht="41.4" x14ac:dyDescent="0.3">
      <c r="A98" s="122" t="s">
        <v>418</v>
      </c>
      <c r="B98" s="98"/>
      <c r="C98" s="99" t="s">
        <v>419</v>
      </c>
      <c r="D98" s="104"/>
      <c r="E98" s="104"/>
      <c r="F98" s="101"/>
      <c r="G98" s="98"/>
    </row>
    <row r="99" spans="1:7" s="121" customFormat="1" ht="41.4" x14ac:dyDescent="0.3">
      <c r="A99" s="122" t="s">
        <v>420</v>
      </c>
      <c r="B99" s="98"/>
      <c r="C99" s="99" t="s">
        <v>463</v>
      </c>
      <c r="D99" s="104"/>
      <c r="E99" s="104"/>
      <c r="F99" s="101"/>
      <c r="G99" s="98"/>
    </row>
    <row r="100" spans="1:7" s="121" customFormat="1" x14ac:dyDescent="0.3">
      <c r="A100" s="122" t="s">
        <v>658</v>
      </c>
      <c r="B100" s="98"/>
      <c r="C100" s="99" t="s">
        <v>1499</v>
      </c>
      <c r="D100" s="104"/>
      <c r="E100" s="104"/>
      <c r="F100" s="101"/>
      <c r="G100" s="98"/>
    </row>
    <row r="101" spans="1:7" s="121" customFormat="1" x14ac:dyDescent="0.3">
      <c r="A101" s="122" t="s">
        <v>429</v>
      </c>
      <c r="B101" s="98"/>
      <c r="C101" s="99" t="s">
        <v>263</v>
      </c>
      <c r="D101" s="104"/>
      <c r="E101" s="104"/>
      <c r="F101" s="101"/>
      <c r="G101" s="98"/>
    </row>
    <row r="102" spans="1:7" s="121" customFormat="1" ht="18.75" customHeight="1" x14ac:dyDescent="0.3">
      <c r="A102" s="122" t="s">
        <v>430</v>
      </c>
      <c r="B102" s="98"/>
      <c r="C102" s="99" t="s">
        <v>262</v>
      </c>
      <c r="D102" s="104"/>
      <c r="E102" s="104"/>
      <c r="F102" s="101"/>
      <c r="G102" s="98"/>
    </row>
    <row r="103" spans="1:7" s="121" customFormat="1" ht="17.25" customHeight="1" x14ac:dyDescent="0.3">
      <c r="A103" s="122" t="s">
        <v>431</v>
      </c>
      <c r="B103" s="98"/>
      <c r="C103" s="99" t="s">
        <v>261</v>
      </c>
      <c r="D103" s="104"/>
      <c r="E103" s="104"/>
      <c r="F103" s="101"/>
      <c r="G103" s="98"/>
    </row>
    <row r="104" spans="1:7" s="121" customFormat="1" ht="27.6" x14ac:dyDescent="0.3">
      <c r="A104" s="122" t="s">
        <v>432</v>
      </c>
      <c r="B104" s="98"/>
      <c r="C104" s="99" t="s">
        <v>260</v>
      </c>
      <c r="D104" s="104"/>
      <c r="E104" s="104"/>
      <c r="F104" s="101"/>
      <c r="G104" s="270" t="s">
        <v>721</v>
      </c>
    </row>
    <row r="105" spans="1:7" s="121" customFormat="1" x14ac:dyDescent="0.3">
      <c r="A105" s="122" t="s">
        <v>259</v>
      </c>
      <c r="B105" s="98"/>
      <c r="C105" s="113" t="s">
        <v>258</v>
      </c>
      <c r="D105" s="111"/>
      <c r="E105" s="111"/>
      <c r="F105" s="150"/>
      <c r="G105" s="98"/>
    </row>
    <row r="106" spans="1:7" s="121" customFormat="1" ht="27.6" x14ac:dyDescent="0.3">
      <c r="A106" s="122" t="s">
        <v>433</v>
      </c>
      <c r="B106" s="98"/>
      <c r="C106" s="99" t="s">
        <v>1046</v>
      </c>
      <c r="D106" s="104"/>
      <c r="E106" s="104"/>
      <c r="F106" s="101"/>
      <c r="G106" s="380" t="s">
        <v>722</v>
      </c>
    </row>
    <row r="107" spans="1:7" s="121" customFormat="1" ht="41.4" x14ac:dyDescent="0.3">
      <c r="A107" s="122" t="s">
        <v>434</v>
      </c>
      <c r="B107" s="98"/>
      <c r="C107" s="99" t="s">
        <v>257</v>
      </c>
      <c r="D107" s="104"/>
      <c r="E107" s="104"/>
      <c r="F107" s="107"/>
      <c r="G107" s="381"/>
    </row>
    <row r="108" spans="1:7" s="121" customFormat="1" x14ac:dyDescent="0.3">
      <c r="A108" s="151" t="s">
        <v>421</v>
      </c>
      <c r="B108" s="112" t="s">
        <v>13</v>
      </c>
      <c r="C108" s="99"/>
      <c r="D108" s="111"/>
      <c r="E108" s="111"/>
      <c r="F108" s="150"/>
      <c r="G108" s="98"/>
    </row>
    <row r="109" spans="1:7" s="121" customFormat="1" x14ac:dyDescent="0.3">
      <c r="A109" s="122" t="s">
        <v>256</v>
      </c>
      <c r="B109" s="98"/>
      <c r="C109" s="113" t="s">
        <v>255</v>
      </c>
      <c r="D109" s="111"/>
      <c r="E109" s="111"/>
      <c r="F109" s="150"/>
      <c r="G109" s="98"/>
    </row>
    <row r="110" spans="1:7" s="121" customFormat="1" ht="27.6" x14ac:dyDescent="0.3">
      <c r="A110" s="122" t="s">
        <v>435</v>
      </c>
      <c r="B110" s="98"/>
      <c r="C110" s="99" t="s">
        <v>422</v>
      </c>
      <c r="D110" s="104"/>
      <c r="E110" s="104"/>
      <c r="F110" s="101"/>
      <c r="G110" s="98"/>
    </row>
    <row r="111" spans="1:7" s="121" customFormat="1" ht="49.5" customHeight="1" x14ac:dyDescent="0.3">
      <c r="A111" s="122" t="s">
        <v>436</v>
      </c>
      <c r="B111" s="98"/>
      <c r="C111" s="99" t="s">
        <v>254</v>
      </c>
      <c r="D111" s="104"/>
      <c r="E111" s="104"/>
      <c r="F111" s="101"/>
      <c r="G111" s="98"/>
    </row>
    <row r="112" spans="1:7" s="121" customFormat="1" ht="15.6" x14ac:dyDescent="0.3">
      <c r="A112" s="122" t="s">
        <v>437</v>
      </c>
      <c r="B112" s="98"/>
      <c r="C112" s="99" t="s">
        <v>253</v>
      </c>
      <c r="D112" s="104"/>
      <c r="E112" s="104"/>
      <c r="F112" s="101"/>
      <c r="G112" s="94" t="s">
        <v>730</v>
      </c>
    </row>
    <row r="113" spans="1:7" s="121" customFormat="1" ht="42" x14ac:dyDescent="0.3">
      <c r="A113" s="124" t="s">
        <v>423</v>
      </c>
      <c r="B113" s="109"/>
      <c r="C113" s="110" t="s">
        <v>1116</v>
      </c>
      <c r="D113" s="104"/>
      <c r="E113" s="104"/>
      <c r="F113" s="101"/>
      <c r="G113" s="98"/>
    </row>
    <row r="114" spans="1:7" s="121" customFormat="1" ht="14.4" x14ac:dyDescent="0.3">
      <c r="A114" s="124" t="s">
        <v>424</v>
      </c>
      <c r="B114" s="109"/>
      <c r="C114" s="110" t="s">
        <v>1117</v>
      </c>
      <c r="D114" s="104"/>
      <c r="E114" s="104"/>
      <c r="F114" s="101"/>
      <c r="G114" s="98"/>
    </row>
    <row r="115" spans="1:7" s="121" customFormat="1" ht="14.4" x14ac:dyDescent="0.3">
      <c r="A115" s="124" t="s">
        <v>425</v>
      </c>
      <c r="B115" s="109"/>
      <c r="C115" s="110" t="s">
        <v>1118</v>
      </c>
      <c r="D115" s="104"/>
      <c r="E115" s="104"/>
      <c r="F115" s="101"/>
      <c r="G115" s="98"/>
    </row>
    <row r="116" spans="1:7" s="121" customFormat="1" ht="14.4" x14ac:dyDescent="0.3">
      <c r="A116" s="124" t="s">
        <v>426</v>
      </c>
      <c r="B116" s="109"/>
      <c r="C116" s="110" t="s">
        <v>1119</v>
      </c>
      <c r="D116" s="104"/>
      <c r="E116" s="104"/>
      <c r="F116" s="101"/>
      <c r="G116" s="98"/>
    </row>
    <row r="117" spans="1:7" s="121" customFormat="1" ht="14.4" x14ac:dyDescent="0.3">
      <c r="A117" s="124" t="s">
        <v>427</v>
      </c>
      <c r="B117" s="109"/>
      <c r="C117" s="110" t="s">
        <v>1120</v>
      </c>
      <c r="D117" s="104"/>
      <c r="E117" s="104"/>
      <c r="F117" s="107"/>
      <c r="G117" s="98"/>
    </row>
    <row r="118" spans="1:7" s="121" customFormat="1" ht="27.6" x14ac:dyDescent="0.3">
      <c r="A118" s="122" t="s">
        <v>438</v>
      </c>
      <c r="B118" s="98"/>
      <c r="C118" s="99" t="s">
        <v>252</v>
      </c>
      <c r="D118" s="104"/>
      <c r="E118" s="104"/>
      <c r="F118" s="101"/>
      <c r="G118" s="98"/>
    </row>
    <row r="119" spans="1:7" s="121" customFormat="1" ht="33" customHeight="1" x14ac:dyDescent="0.3">
      <c r="A119" s="122" t="s">
        <v>439</v>
      </c>
      <c r="B119" s="98"/>
      <c r="C119" s="99" t="s">
        <v>1047</v>
      </c>
      <c r="D119" s="104"/>
      <c r="E119" s="104"/>
      <c r="F119" s="101"/>
      <c r="G119" s="98"/>
    </row>
    <row r="120" spans="1:7" s="121" customFormat="1" ht="27.6" x14ac:dyDescent="0.3">
      <c r="A120" s="122" t="s">
        <v>428</v>
      </c>
      <c r="B120" s="98"/>
      <c r="C120" s="152" t="s">
        <v>251</v>
      </c>
      <c r="D120" s="104"/>
      <c r="E120" s="104"/>
      <c r="F120" s="101"/>
      <c r="G120" s="98"/>
    </row>
    <row r="121" spans="1:7" s="121" customFormat="1" x14ac:dyDescent="0.3">
      <c r="A121" s="122" t="s">
        <v>250</v>
      </c>
      <c r="B121" s="98"/>
      <c r="C121" s="113" t="s">
        <v>249</v>
      </c>
      <c r="D121" s="111"/>
      <c r="E121" s="111"/>
      <c r="F121" s="150"/>
      <c r="G121" s="98"/>
    </row>
    <row r="122" spans="1:7" s="121" customFormat="1" ht="27.6" x14ac:dyDescent="0.3">
      <c r="A122" s="122" t="s">
        <v>444</v>
      </c>
      <c r="B122" s="98"/>
      <c r="C122" s="99" t="s">
        <v>1062</v>
      </c>
      <c r="D122" s="104"/>
      <c r="E122" s="104"/>
      <c r="F122" s="107"/>
      <c r="G122" s="94" t="s">
        <v>734</v>
      </c>
    </row>
    <row r="123" spans="1:7" s="121" customFormat="1" ht="27.6" x14ac:dyDescent="0.3">
      <c r="A123" s="122" t="s">
        <v>445</v>
      </c>
      <c r="B123" s="98"/>
      <c r="C123" s="99" t="s">
        <v>1601</v>
      </c>
      <c r="D123" s="104"/>
      <c r="E123" s="104"/>
      <c r="F123" s="101"/>
      <c r="G123" s="98"/>
    </row>
    <row r="124" spans="1:7" s="121" customFormat="1" ht="31.5" customHeight="1" x14ac:dyDescent="0.3">
      <c r="A124" s="122" t="s">
        <v>446</v>
      </c>
      <c r="B124" s="98"/>
      <c r="C124" s="99" t="s">
        <v>248</v>
      </c>
      <c r="D124" s="104"/>
      <c r="E124" s="104"/>
      <c r="F124" s="101"/>
      <c r="G124" s="98"/>
    </row>
    <row r="125" spans="1:7" s="121" customFormat="1" x14ac:dyDescent="0.3">
      <c r="A125" s="122" t="s">
        <v>247</v>
      </c>
      <c r="B125" s="98"/>
      <c r="C125" s="112" t="s">
        <v>246</v>
      </c>
      <c r="D125" s="111"/>
      <c r="E125" s="111"/>
      <c r="F125" s="150"/>
      <c r="G125" s="98"/>
    </row>
    <row r="126" spans="1:7" s="121" customFormat="1" ht="41.4" x14ac:dyDescent="0.3">
      <c r="A126" s="122" t="s">
        <v>448</v>
      </c>
      <c r="B126" s="98"/>
      <c r="C126" s="99" t="s">
        <v>442</v>
      </c>
      <c r="D126" s="104"/>
      <c r="E126" s="104"/>
      <c r="F126" s="101"/>
      <c r="G126" s="267" t="s">
        <v>733</v>
      </c>
    </row>
    <row r="127" spans="1:7" s="121" customFormat="1" ht="41.4" x14ac:dyDescent="0.3">
      <c r="A127" s="122" t="s">
        <v>447</v>
      </c>
      <c r="B127" s="98"/>
      <c r="C127" s="99" t="s">
        <v>982</v>
      </c>
      <c r="D127" s="104"/>
      <c r="E127" s="104"/>
      <c r="F127" s="107"/>
      <c r="G127" s="153"/>
    </row>
    <row r="128" spans="1:7" s="121" customFormat="1" ht="27.6" x14ac:dyDescent="0.3">
      <c r="A128" s="122" t="s">
        <v>449</v>
      </c>
      <c r="B128" s="98"/>
      <c r="C128" s="99" t="s">
        <v>983</v>
      </c>
      <c r="D128" s="104"/>
      <c r="E128" s="104"/>
      <c r="F128" s="107"/>
      <c r="G128" s="153"/>
    </row>
    <row r="129" spans="1:7" s="121" customFormat="1" x14ac:dyDescent="0.3">
      <c r="A129" s="151" t="s">
        <v>245</v>
      </c>
      <c r="B129" s="112" t="s">
        <v>244</v>
      </c>
      <c r="C129" s="99"/>
      <c r="D129" s="111"/>
      <c r="E129" s="111"/>
      <c r="F129" s="150"/>
      <c r="G129" s="98"/>
    </row>
    <row r="130" spans="1:7" s="121" customFormat="1" x14ac:dyDescent="0.3">
      <c r="A130" s="122" t="s">
        <v>243</v>
      </c>
      <c r="B130" s="98"/>
      <c r="C130" s="113" t="s">
        <v>242</v>
      </c>
      <c r="D130" s="111"/>
      <c r="E130" s="111"/>
      <c r="F130" s="150"/>
      <c r="G130" s="98"/>
    </row>
    <row r="131" spans="1:7" s="121" customFormat="1" ht="27.6" x14ac:dyDescent="0.3">
      <c r="A131" s="122" t="s">
        <v>443</v>
      </c>
      <c r="B131" s="98"/>
      <c r="C131" s="99" t="s">
        <v>241</v>
      </c>
      <c r="D131" s="104"/>
      <c r="E131" s="104"/>
      <c r="F131" s="101"/>
      <c r="G131" s="98"/>
    </row>
    <row r="132" spans="1:7" s="121" customFormat="1" ht="27.6" x14ac:dyDescent="0.3">
      <c r="A132" s="122" t="s">
        <v>450</v>
      </c>
      <c r="B132" s="98"/>
      <c r="C132" s="99" t="s">
        <v>240</v>
      </c>
      <c r="D132" s="104"/>
      <c r="E132" s="104"/>
      <c r="F132" s="101"/>
      <c r="G132" s="98"/>
    </row>
    <row r="133" spans="1:7" s="121" customFormat="1" ht="27.6" x14ac:dyDescent="0.3">
      <c r="A133" s="122" t="s">
        <v>451</v>
      </c>
      <c r="B133" s="98"/>
      <c r="C133" s="99" t="s">
        <v>239</v>
      </c>
      <c r="D133" s="104"/>
      <c r="E133" s="104"/>
      <c r="F133" s="101"/>
      <c r="G133" s="98"/>
    </row>
    <row r="134" spans="1:7" s="121" customFormat="1" ht="49.5" customHeight="1" x14ac:dyDescent="0.3">
      <c r="A134" s="122" t="s">
        <v>452</v>
      </c>
      <c r="B134" s="98"/>
      <c r="C134" s="99" t="s">
        <v>985</v>
      </c>
      <c r="D134" s="104"/>
      <c r="E134" s="104"/>
      <c r="F134" s="107"/>
      <c r="G134" s="98"/>
    </row>
    <row r="135" spans="1:7" s="121" customFormat="1" x14ac:dyDescent="0.3">
      <c r="A135" s="122" t="s">
        <v>238</v>
      </c>
      <c r="B135" s="98"/>
      <c r="C135" s="113" t="s">
        <v>237</v>
      </c>
      <c r="D135" s="111"/>
      <c r="E135" s="111"/>
      <c r="F135" s="150"/>
      <c r="G135" s="98"/>
    </row>
    <row r="136" spans="1:7" s="121" customFormat="1" ht="27.6" x14ac:dyDescent="0.3">
      <c r="A136" s="122" t="s">
        <v>454</v>
      </c>
      <c r="B136" s="112"/>
      <c r="C136" s="99" t="s">
        <v>453</v>
      </c>
      <c r="D136" s="104"/>
      <c r="E136" s="104"/>
      <c r="F136" s="101"/>
      <c r="G136" s="98"/>
    </row>
    <row r="137" spans="1:7" s="121" customFormat="1" ht="41.4" x14ac:dyDescent="0.3">
      <c r="A137" s="122" t="s">
        <v>456</v>
      </c>
      <c r="B137" s="98"/>
      <c r="C137" s="99" t="s">
        <v>236</v>
      </c>
      <c r="D137" s="104"/>
      <c r="E137" s="104"/>
      <c r="F137" s="101"/>
      <c r="G137" s="98"/>
    </row>
    <row r="138" spans="1:7" s="121" customFormat="1" ht="27.6" x14ac:dyDescent="0.3">
      <c r="A138" s="122" t="s">
        <v>457</v>
      </c>
      <c r="B138" s="98"/>
      <c r="C138" s="99" t="s">
        <v>235</v>
      </c>
      <c r="D138" s="104"/>
      <c r="E138" s="104"/>
      <c r="F138" s="101"/>
      <c r="G138" s="98"/>
    </row>
    <row r="139" spans="1:7" s="121" customFormat="1" ht="27.6" x14ac:dyDescent="0.3">
      <c r="A139" s="122" t="s">
        <v>455</v>
      </c>
      <c r="B139" s="98"/>
      <c r="C139" s="99" t="s">
        <v>234</v>
      </c>
      <c r="D139" s="104"/>
      <c r="E139" s="104"/>
      <c r="F139" s="101"/>
      <c r="G139" s="98"/>
    </row>
    <row r="140" spans="1:7" s="121" customFormat="1" ht="45" customHeight="1" x14ac:dyDescent="0.3">
      <c r="A140" s="122" t="s">
        <v>458</v>
      </c>
      <c r="B140" s="98"/>
      <c r="C140" s="99" t="s">
        <v>233</v>
      </c>
      <c r="D140" s="104"/>
      <c r="E140" s="104"/>
      <c r="F140" s="107"/>
      <c r="G140" s="98"/>
    </row>
    <row r="141" spans="1:7" s="121" customFormat="1" x14ac:dyDescent="0.3">
      <c r="A141" s="122" t="s">
        <v>232</v>
      </c>
      <c r="B141" s="98"/>
      <c r="C141" s="113" t="s">
        <v>231</v>
      </c>
      <c r="D141" s="111"/>
      <c r="E141" s="111"/>
      <c r="F141" s="150"/>
      <c r="G141" s="98"/>
    </row>
    <row r="142" spans="1:7" s="121" customFormat="1" ht="27.6" x14ac:dyDescent="0.3">
      <c r="A142" s="122" t="s">
        <v>459</v>
      </c>
      <c r="B142" s="98"/>
      <c r="C142" s="99" t="s">
        <v>694</v>
      </c>
      <c r="D142" s="104"/>
      <c r="E142" s="104"/>
      <c r="F142" s="101"/>
      <c r="G142" s="98"/>
    </row>
    <row r="143" spans="1:7" s="121" customFormat="1" ht="27.6" x14ac:dyDescent="0.3">
      <c r="A143" s="122" t="s">
        <v>460</v>
      </c>
      <c r="B143" s="98"/>
      <c r="C143" s="99" t="s">
        <v>230</v>
      </c>
      <c r="D143" s="104"/>
      <c r="E143" s="104"/>
      <c r="F143" s="101"/>
      <c r="G143" s="94" t="s">
        <v>741</v>
      </c>
    </row>
    <row r="144" spans="1:7" s="121" customFormat="1" ht="41.4" x14ac:dyDescent="0.3">
      <c r="A144" s="122" t="s">
        <v>461</v>
      </c>
      <c r="B144" s="98"/>
      <c r="C144" s="99" t="s">
        <v>1048</v>
      </c>
      <c r="D144" s="104"/>
      <c r="E144" s="104"/>
      <c r="F144" s="101"/>
      <c r="G144" s="98"/>
    </row>
    <row r="145" spans="1:7" s="121" customFormat="1" ht="55.2" x14ac:dyDescent="0.3">
      <c r="A145" s="122" t="s">
        <v>462</v>
      </c>
      <c r="B145" s="98"/>
      <c r="C145" s="99" t="s">
        <v>986</v>
      </c>
      <c r="D145" s="104"/>
      <c r="E145" s="104"/>
      <c r="F145" s="107"/>
      <c r="G145" s="98"/>
    </row>
    <row r="146" spans="1:7" s="121" customFormat="1" ht="14.4" thickBot="1" x14ac:dyDescent="0.35">
      <c r="A146" s="130"/>
      <c r="B146" s="131"/>
      <c r="C146" s="132"/>
      <c r="D146" s="133"/>
      <c r="E146" s="133"/>
      <c r="F146" s="134"/>
      <c r="G146" s="131"/>
    </row>
    <row r="147" spans="1:7" s="121" customFormat="1" ht="17.399999999999999" x14ac:dyDescent="0.3">
      <c r="A147" s="154" t="s">
        <v>229</v>
      </c>
      <c r="B147" s="155" t="s">
        <v>228</v>
      </c>
      <c r="C147" s="156"/>
      <c r="D147" s="157"/>
      <c r="E147" s="157"/>
      <c r="F147" s="157"/>
      <c r="G147" s="158"/>
    </row>
    <row r="148" spans="1:7" s="121" customFormat="1" ht="17.399999999999999" x14ac:dyDescent="0.3">
      <c r="A148" s="90"/>
      <c r="B148" s="94" t="s">
        <v>1443</v>
      </c>
      <c r="C148" s="94"/>
      <c r="D148" s="383"/>
      <c r="E148" s="384"/>
      <c r="F148" s="385"/>
      <c r="G148" s="91"/>
    </row>
    <row r="149" spans="1:7" s="121" customFormat="1" x14ac:dyDescent="0.3">
      <c r="A149" s="95" t="s">
        <v>227</v>
      </c>
      <c r="B149" s="112" t="s">
        <v>226</v>
      </c>
      <c r="C149" s="112"/>
      <c r="D149" s="159"/>
      <c r="E149" s="159"/>
      <c r="F149" s="159"/>
      <c r="G149" s="112"/>
    </row>
    <row r="150" spans="1:7" s="121" customFormat="1" x14ac:dyDescent="0.3">
      <c r="A150" s="97" t="s">
        <v>545</v>
      </c>
      <c r="B150" s="98"/>
      <c r="C150" s="99" t="s">
        <v>225</v>
      </c>
      <c r="D150" s="148"/>
      <c r="E150" s="148"/>
      <c r="F150" s="101"/>
      <c r="G150" s="147"/>
    </row>
    <row r="151" spans="1:7" s="121" customFormat="1" ht="27.6" x14ac:dyDescent="0.3">
      <c r="A151" s="97" t="s">
        <v>546</v>
      </c>
      <c r="B151" s="98"/>
      <c r="C151" s="99" t="s">
        <v>224</v>
      </c>
      <c r="D151" s="148"/>
      <c r="E151" s="148"/>
      <c r="F151" s="101"/>
      <c r="G151" s="160"/>
    </row>
    <row r="152" spans="1:7" s="121" customFormat="1" ht="27.6" x14ac:dyDescent="0.3">
      <c r="A152" s="97" t="s">
        <v>547</v>
      </c>
      <c r="B152" s="98"/>
      <c r="C152" s="99" t="s">
        <v>987</v>
      </c>
      <c r="D152" s="148"/>
      <c r="E152" s="148"/>
      <c r="F152" s="107"/>
      <c r="G152" s="147"/>
    </row>
    <row r="153" spans="1:7" s="121" customFormat="1" ht="27.6" x14ac:dyDescent="0.3">
      <c r="A153" s="97" t="s">
        <v>548</v>
      </c>
      <c r="B153" s="98"/>
      <c r="C153" s="99" t="s">
        <v>659</v>
      </c>
      <c r="D153" s="148"/>
      <c r="E153" s="148"/>
      <c r="F153" s="101"/>
      <c r="G153" s="98"/>
    </row>
    <row r="154" spans="1:7" s="121" customFormat="1" ht="27.6" x14ac:dyDescent="0.3">
      <c r="A154" s="97" t="s">
        <v>549</v>
      </c>
      <c r="B154" s="98"/>
      <c r="C154" s="99" t="s">
        <v>223</v>
      </c>
      <c r="D154" s="104"/>
      <c r="E154" s="104"/>
      <c r="F154" s="101"/>
      <c r="G154" s="91"/>
    </row>
    <row r="155" spans="1:7" s="121" customFormat="1" ht="27.6" x14ac:dyDescent="0.3">
      <c r="A155" s="97" t="s">
        <v>550</v>
      </c>
      <c r="B155" s="98"/>
      <c r="C155" s="99" t="s">
        <v>222</v>
      </c>
      <c r="D155" s="148"/>
      <c r="E155" s="148"/>
      <c r="F155" s="101"/>
      <c r="G155" s="98"/>
    </row>
    <row r="156" spans="1:7" s="121" customFormat="1" x14ac:dyDescent="0.3">
      <c r="A156" s="95" t="s">
        <v>221</v>
      </c>
      <c r="B156" s="112" t="s">
        <v>220</v>
      </c>
      <c r="C156" s="99"/>
      <c r="D156" s="145"/>
      <c r="E156" s="145"/>
      <c r="F156" s="150"/>
      <c r="G156" s="98"/>
    </row>
    <row r="157" spans="1:7" s="121" customFormat="1" ht="42" x14ac:dyDescent="0.3">
      <c r="A157" s="120" t="s">
        <v>466</v>
      </c>
      <c r="B157" s="109"/>
      <c r="C157" s="110" t="s">
        <v>1121</v>
      </c>
      <c r="D157" s="148"/>
      <c r="E157" s="148"/>
      <c r="F157" s="101"/>
      <c r="G157" s="98"/>
    </row>
    <row r="158" spans="1:7" s="121" customFormat="1" ht="14.4" x14ac:dyDescent="0.3">
      <c r="A158" s="120" t="s">
        <v>467</v>
      </c>
      <c r="B158" s="109"/>
      <c r="C158" s="110" t="s">
        <v>1122</v>
      </c>
      <c r="D158" s="148"/>
      <c r="E158" s="148"/>
      <c r="F158" s="101"/>
      <c r="G158" s="98"/>
    </row>
    <row r="159" spans="1:7" s="121" customFormat="1" ht="14.4" x14ac:dyDescent="0.3">
      <c r="A159" s="120" t="s">
        <v>468</v>
      </c>
      <c r="B159" s="109"/>
      <c r="C159" s="110" t="s">
        <v>1123</v>
      </c>
      <c r="D159" s="148"/>
      <c r="E159" s="148"/>
      <c r="F159" s="101"/>
      <c r="G159" s="98"/>
    </row>
    <row r="160" spans="1:7" s="121" customFormat="1" ht="27.6" x14ac:dyDescent="0.3">
      <c r="A160" s="122" t="s">
        <v>464</v>
      </c>
      <c r="B160" s="98"/>
      <c r="C160" s="99" t="s">
        <v>219</v>
      </c>
      <c r="D160" s="104"/>
      <c r="E160" s="104"/>
      <c r="F160" s="101"/>
      <c r="G160" s="94" t="s">
        <v>669</v>
      </c>
    </row>
    <row r="161" spans="1:7" s="121" customFormat="1" ht="42" x14ac:dyDescent="0.3">
      <c r="A161" s="124" t="s">
        <v>469</v>
      </c>
      <c r="B161" s="109"/>
      <c r="C161" s="110" t="s">
        <v>1124</v>
      </c>
      <c r="D161" s="104"/>
      <c r="E161" s="104"/>
      <c r="F161" s="101"/>
      <c r="G161" s="98"/>
    </row>
    <row r="162" spans="1:7" s="121" customFormat="1" ht="14.4" x14ac:dyDescent="0.3">
      <c r="A162" s="124" t="s">
        <v>470</v>
      </c>
      <c r="B162" s="109"/>
      <c r="C162" s="110" t="s">
        <v>1125</v>
      </c>
      <c r="D162" s="104"/>
      <c r="E162" s="104"/>
      <c r="F162" s="101"/>
      <c r="G162" s="98"/>
    </row>
    <row r="163" spans="1:7" s="121" customFormat="1" ht="14.4" x14ac:dyDescent="0.3">
      <c r="A163" s="124" t="s">
        <v>471</v>
      </c>
      <c r="B163" s="109"/>
      <c r="C163" s="110" t="s">
        <v>1126</v>
      </c>
      <c r="D163" s="104"/>
      <c r="E163" s="104"/>
      <c r="F163" s="101"/>
      <c r="G163" s="98"/>
    </row>
    <row r="164" spans="1:7" s="121" customFormat="1" ht="42" x14ac:dyDescent="0.3">
      <c r="A164" s="124" t="s">
        <v>472</v>
      </c>
      <c r="B164" s="109"/>
      <c r="C164" s="110" t="s">
        <v>1127</v>
      </c>
      <c r="D164" s="104"/>
      <c r="E164" s="104"/>
      <c r="F164" s="101"/>
      <c r="G164" s="91"/>
    </row>
    <row r="165" spans="1:7" s="121" customFormat="1" ht="14.4" x14ac:dyDescent="0.3">
      <c r="A165" s="124" t="s">
        <v>473</v>
      </c>
      <c r="B165" s="109"/>
      <c r="C165" s="118" t="s">
        <v>988</v>
      </c>
      <c r="D165" s="104"/>
      <c r="E165" s="104"/>
      <c r="F165" s="101"/>
      <c r="G165" s="98"/>
    </row>
    <row r="166" spans="1:7" s="121" customFormat="1" ht="14.4" x14ac:dyDescent="0.3">
      <c r="A166" s="124" t="s">
        <v>474</v>
      </c>
      <c r="B166" s="109"/>
      <c r="C166" s="110" t="s">
        <v>1123</v>
      </c>
      <c r="D166" s="104"/>
      <c r="E166" s="104"/>
      <c r="F166" s="101"/>
      <c r="G166" s="98"/>
    </row>
    <row r="167" spans="1:7" s="121" customFormat="1" ht="27.6" x14ac:dyDescent="0.3">
      <c r="A167" s="122" t="s">
        <v>465</v>
      </c>
      <c r="B167" s="98"/>
      <c r="C167" s="99" t="s">
        <v>218</v>
      </c>
      <c r="D167" s="104"/>
      <c r="E167" s="104"/>
      <c r="F167" s="101"/>
      <c r="G167" s="94" t="s">
        <v>670</v>
      </c>
    </row>
    <row r="168" spans="1:7" s="121" customFormat="1" x14ac:dyDescent="0.3">
      <c r="A168" s="151" t="s">
        <v>217</v>
      </c>
      <c r="B168" s="112" t="s">
        <v>216</v>
      </c>
      <c r="C168" s="161"/>
      <c r="D168" s="111"/>
      <c r="E168" s="111"/>
      <c r="F168" s="150"/>
      <c r="G168" s="98"/>
    </row>
    <row r="169" spans="1:7" s="121" customFormat="1" ht="27.6" x14ac:dyDescent="0.3">
      <c r="A169" s="122" t="s">
        <v>475</v>
      </c>
      <c r="B169" s="98"/>
      <c r="C169" s="99" t="s">
        <v>215</v>
      </c>
      <c r="D169" s="104"/>
      <c r="E169" s="104"/>
      <c r="F169" s="101"/>
      <c r="G169" s="98"/>
    </row>
    <row r="170" spans="1:7" s="121" customFormat="1" ht="27.6" x14ac:dyDescent="0.3">
      <c r="A170" s="122" t="s">
        <v>476</v>
      </c>
      <c r="B170" s="98"/>
      <c r="C170" s="99" t="s">
        <v>214</v>
      </c>
      <c r="D170" s="104"/>
      <c r="E170" s="104"/>
      <c r="F170" s="101"/>
      <c r="G170" s="98"/>
    </row>
    <row r="171" spans="1:7" s="121" customFormat="1" x14ac:dyDescent="0.3">
      <c r="A171" s="122" t="s">
        <v>477</v>
      </c>
      <c r="B171" s="98"/>
      <c r="C171" s="99" t="s">
        <v>213</v>
      </c>
      <c r="D171" s="104"/>
      <c r="E171" s="104"/>
      <c r="F171" s="101"/>
      <c r="G171" s="161"/>
    </row>
    <row r="172" spans="1:7" s="328" customFormat="1" ht="53.25" customHeight="1" x14ac:dyDescent="0.3">
      <c r="A172" s="122" t="s">
        <v>478</v>
      </c>
      <c r="B172" s="99"/>
      <c r="C172" s="99" t="s">
        <v>1128</v>
      </c>
      <c r="D172" s="114"/>
      <c r="E172" s="114"/>
      <c r="F172" s="101"/>
      <c r="G172" s="329" t="s">
        <v>671</v>
      </c>
    </row>
    <row r="173" spans="1:7" s="121" customFormat="1" ht="30.75" customHeight="1" x14ac:dyDescent="0.3">
      <c r="A173" s="122" t="s">
        <v>479</v>
      </c>
      <c r="B173" s="98"/>
      <c r="C173" s="99" t="s">
        <v>212</v>
      </c>
      <c r="D173" s="104"/>
      <c r="E173" s="104"/>
      <c r="F173" s="101"/>
      <c r="G173" s="98"/>
    </row>
    <row r="174" spans="1:7" s="121" customFormat="1" x14ac:dyDescent="0.3">
      <c r="A174" s="151" t="s">
        <v>211</v>
      </c>
      <c r="B174" s="112" t="s">
        <v>210</v>
      </c>
      <c r="C174" s="161"/>
      <c r="D174" s="111"/>
      <c r="E174" s="111"/>
      <c r="F174" s="150"/>
      <c r="G174" s="98"/>
    </row>
    <row r="175" spans="1:7" s="121" customFormat="1" ht="27.6" x14ac:dyDescent="0.3">
      <c r="A175" s="122" t="s">
        <v>480</v>
      </c>
      <c r="B175" s="98"/>
      <c r="C175" s="99" t="s">
        <v>209</v>
      </c>
      <c r="D175" s="104"/>
      <c r="E175" s="104"/>
      <c r="F175" s="101"/>
      <c r="G175" s="98"/>
    </row>
    <row r="176" spans="1:7" s="121" customFormat="1" ht="27.6" x14ac:dyDescent="0.3">
      <c r="A176" s="122" t="s">
        <v>481</v>
      </c>
      <c r="B176" s="98"/>
      <c r="C176" s="99" t="s">
        <v>208</v>
      </c>
      <c r="D176" s="104"/>
      <c r="E176" s="104"/>
      <c r="F176" s="101"/>
      <c r="G176" s="98"/>
    </row>
    <row r="177" spans="1:7" s="121" customFormat="1" ht="27.6" x14ac:dyDescent="0.3">
      <c r="A177" s="122" t="s">
        <v>482</v>
      </c>
      <c r="B177" s="98"/>
      <c r="C177" s="99" t="s">
        <v>207</v>
      </c>
      <c r="D177" s="104"/>
      <c r="E177" s="104"/>
      <c r="F177" s="101"/>
      <c r="G177" s="98"/>
    </row>
    <row r="178" spans="1:7" s="328" customFormat="1" ht="30.75" customHeight="1" x14ac:dyDescent="0.3">
      <c r="A178" s="122" t="s">
        <v>483</v>
      </c>
      <c r="B178" s="99"/>
      <c r="C178" s="99" t="s">
        <v>989</v>
      </c>
      <c r="D178" s="114"/>
      <c r="E178" s="114"/>
      <c r="F178" s="107"/>
      <c r="G178" s="99"/>
    </row>
    <row r="179" spans="1:7" s="121" customFormat="1" x14ac:dyDescent="0.3">
      <c r="A179" s="151" t="s">
        <v>206</v>
      </c>
      <c r="B179" s="112" t="s">
        <v>205</v>
      </c>
      <c r="C179" s="99"/>
      <c r="D179" s="111"/>
      <c r="E179" s="111"/>
      <c r="F179" s="150"/>
      <c r="G179" s="98"/>
    </row>
    <row r="180" spans="1:7" s="121" customFormat="1" ht="27.6" x14ac:dyDescent="0.3">
      <c r="A180" s="122" t="s">
        <v>485</v>
      </c>
      <c r="B180" s="98"/>
      <c r="C180" s="99" t="s">
        <v>204</v>
      </c>
      <c r="D180" s="104"/>
      <c r="E180" s="104"/>
      <c r="F180" s="101"/>
      <c r="G180" s="98"/>
    </row>
    <row r="181" spans="1:7" s="121" customFormat="1" ht="41.4" x14ac:dyDescent="0.3">
      <c r="A181" s="122" t="s">
        <v>486</v>
      </c>
      <c r="B181" s="98"/>
      <c r="C181" s="99" t="s">
        <v>203</v>
      </c>
      <c r="D181" s="104"/>
      <c r="E181" s="104"/>
      <c r="F181" s="101"/>
      <c r="G181" s="98"/>
    </row>
    <row r="182" spans="1:7" s="121" customFormat="1" ht="27.6" x14ac:dyDescent="0.3">
      <c r="A182" s="122" t="s">
        <v>487</v>
      </c>
      <c r="B182" s="98"/>
      <c r="C182" s="99" t="s">
        <v>202</v>
      </c>
      <c r="D182" s="104"/>
      <c r="E182" s="104"/>
      <c r="F182" s="101"/>
      <c r="G182" s="98"/>
    </row>
    <row r="183" spans="1:7" s="121" customFormat="1" ht="50.4" x14ac:dyDescent="0.3">
      <c r="A183" s="122" t="s">
        <v>488</v>
      </c>
      <c r="B183" s="98"/>
      <c r="C183" s="99" t="s">
        <v>1129</v>
      </c>
      <c r="D183" s="104"/>
      <c r="E183" s="104"/>
      <c r="F183" s="101"/>
      <c r="G183" s="98"/>
    </row>
    <row r="184" spans="1:7" s="121" customFormat="1" ht="27.6" x14ac:dyDescent="0.3">
      <c r="A184" s="122" t="s">
        <v>489</v>
      </c>
      <c r="B184" s="98"/>
      <c r="C184" s="99" t="s">
        <v>484</v>
      </c>
      <c r="D184" s="104"/>
      <c r="E184" s="104"/>
      <c r="F184" s="101"/>
      <c r="G184" s="98"/>
    </row>
    <row r="185" spans="1:7" s="121" customFormat="1" ht="44.25" customHeight="1" x14ac:dyDescent="0.3">
      <c r="A185" s="122" t="s">
        <v>490</v>
      </c>
      <c r="B185" s="98"/>
      <c r="C185" s="99" t="s">
        <v>1130</v>
      </c>
      <c r="D185" s="104"/>
      <c r="E185" s="104"/>
      <c r="F185" s="101"/>
      <c r="G185" s="98"/>
    </row>
    <row r="186" spans="1:7" s="121" customFormat="1" x14ac:dyDescent="0.3">
      <c r="A186" s="151" t="s">
        <v>201</v>
      </c>
      <c r="B186" s="112" t="s">
        <v>31</v>
      </c>
      <c r="C186" s="99"/>
      <c r="D186" s="111"/>
      <c r="E186" s="111"/>
      <c r="F186" s="150"/>
      <c r="G186" s="98"/>
    </row>
    <row r="187" spans="1:7" s="121" customFormat="1" ht="17.25" customHeight="1" x14ac:dyDescent="0.3">
      <c r="A187" s="122" t="s">
        <v>491</v>
      </c>
      <c r="B187" s="98"/>
      <c r="C187" s="99" t="s">
        <v>695</v>
      </c>
      <c r="D187" s="104"/>
      <c r="E187" s="104"/>
      <c r="F187" s="101"/>
      <c r="G187" s="94" t="s">
        <v>672</v>
      </c>
    </row>
    <row r="188" spans="1:7" s="121" customFormat="1" ht="27.6" x14ac:dyDescent="0.3">
      <c r="A188" s="122" t="s">
        <v>492</v>
      </c>
      <c r="B188" s="98"/>
      <c r="C188" s="99" t="s">
        <v>200</v>
      </c>
      <c r="D188" s="104"/>
      <c r="E188" s="104"/>
      <c r="F188" s="101"/>
      <c r="G188" s="98"/>
    </row>
    <row r="189" spans="1:7" s="121" customFormat="1" ht="27.6" x14ac:dyDescent="0.3">
      <c r="A189" s="122" t="s">
        <v>493</v>
      </c>
      <c r="B189" s="98"/>
      <c r="C189" s="99" t="s">
        <v>199</v>
      </c>
      <c r="D189" s="104"/>
      <c r="E189" s="104"/>
      <c r="F189" s="107"/>
      <c r="G189" s="98"/>
    </row>
    <row r="190" spans="1:7" s="121" customFormat="1" ht="27.6" x14ac:dyDescent="0.3">
      <c r="A190" s="122" t="s">
        <v>494</v>
      </c>
      <c r="B190" s="98"/>
      <c r="C190" s="99" t="s">
        <v>198</v>
      </c>
      <c r="D190" s="104"/>
      <c r="E190" s="104"/>
      <c r="F190" s="101"/>
      <c r="G190" s="98"/>
    </row>
    <row r="191" spans="1:7" s="121" customFormat="1" x14ac:dyDescent="0.3">
      <c r="A191" s="122" t="s">
        <v>495</v>
      </c>
      <c r="B191" s="98"/>
      <c r="C191" s="99" t="s">
        <v>197</v>
      </c>
      <c r="D191" s="104"/>
      <c r="E191" s="104"/>
      <c r="F191" s="101"/>
      <c r="G191" s="98"/>
    </row>
    <row r="192" spans="1:7" s="121" customFormat="1" ht="27.6" x14ac:dyDescent="0.3">
      <c r="A192" s="122" t="s">
        <v>496</v>
      </c>
      <c r="B192" s="98"/>
      <c r="C192" s="99" t="s">
        <v>196</v>
      </c>
      <c r="D192" s="104"/>
      <c r="E192" s="104"/>
      <c r="F192" s="107"/>
      <c r="G192" s="98"/>
    </row>
    <row r="193" spans="1:7" s="121" customFormat="1" x14ac:dyDescent="0.3">
      <c r="A193" s="151" t="s">
        <v>195</v>
      </c>
      <c r="B193" s="112" t="s">
        <v>194</v>
      </c>
      <c r="C193" s="113"/>
      <c r="D193" s="111"/>
      <c r="E193" s="111"/>
      <c r="F193" s="150"/>
      <c r="G193" s="98"/>
    </row>
    <row r="194" spans="1:7" s="121" customFormat="1" ht="27.6" x14ac:dyDescent="0.3">
      <c r="A194" s="122" t="s">
        <v>497</v>
      </c>
      <c r="B194" s="98"/>
      <c r="C194" s="99" t="s">
        <v>193</v>
      </c>
      <c r="D194" s="104"/>
      <c r="E194" s="104"/>
      <c r="F194" s="101"/>
      <c r="G194" s="91"/>
    </row>
    <row r="195" spans="1:7" s="121" customFormat="1" ht="41.4" x14ac:dyDescent="0.3">
      <c r="A195" s="122" t="s">
        <v>498</v>
      </c>
      <c r="B195" s="98"/>
      <c r="C195" s="99" t="s">
        <v>990</v>
      </c>
      <c r="D195" s="104"/>
      <c r="E195" s="104"/>
      <c r="F195" s="107"/>
      <c r="G195" s="98"/>
    </row>
    <row r="196" spans="1:7" s="121" customFormat="1" ht="41.4" x14ac:dyDescent="0.3">
      <c r="A196" s="122" t="s">
        <v>499</v>
      </c>
      <c r="B196" s="98"/>
      <c r="C196" s="99" t="s">
        <v>192</v>
      </c>
      <c r="D196" s="104"/>
      <c r="E196" s="104"/>
      <c r="F196" s="107"/>
      <c r="G196" s="98"/>
    </row>
    <row r="197" spans="1:7" s="121" customFormat="1" x14ac:dyDescent="0.3">
      <c r="A197" s="151" t="s">
        <v>191</v>
      </c>
      <c r="B197" s="112" t="s">
        <v>190</v>
      </c>
      <c r="C197" s="162"/>
      <c r="D197" s="111"/>
      <c r="E197" s="111"/>
      <c r="F197" s="150"/>
      <c r="G197" s="98"/>
    </row>
    <row r="198" spans="1:7" s="121" customFormat="1" ht="42" x14ac:dyDescent="0.3">
      <c r="A198" s="124" t="s">
        <v>1017</v>
      </c>
      <c r="B198" s="109"/>
      <c r="C198" s="110" t="s">
        <v>1131</v>
      </c>
      <c r="D198" s="104"/>
      <c r="E198" s="104"/>
      <c r="F198" s="101"/>
      <c r="G198" s="98"/>
    </row>
    <row r="199" spans="1:7" s="121" customFormat="1" ht="14.4" x14ac:dyDescent="0.3">
      <c r="A199" s="163" t="s">
        <v>1019</v>
      </c>
      <c r="B199" s="109"/>
      <c r="C199" s="110" t="s">
        <v>1132</v>
      </c>
      <c r="D199" s="104"/>
      <c r="E199" s="104"/>
      <c r="F199" s="101"/>
      <c r="G199" s="98"/>
    </row>
    <row r="200" spans="1:7" s="121" customFormat="1" ht="14.4" x14ac:dyDescent="0.3">
      <c r="A200" s="163" t="s">
        <v>1020</v>
      </c>
      <c r="B200" s="109"/>
      <c r="C200" s="110" t="s">
        <v>1133</v>
      </c>
      <c r="D200" s="104"/>
      <c r="E200" s="104"/>
      <c r="F200" s="101"/>
      <c r="G200" s="98"/>
    </row>
    <row r="201" spans="1:7" s="121" customFormat="1" ht="14.4" x14ac:dyDescent="0.3">
      <c r="A201" s="163" t="s">
        <v>1021</v>
      </c>
      <c r="B201" s="109"/>
      <c r="C201" s="110" t="s">
        <v>1134</v>
      </c>
      <c r="D201" s="104"/>
      <c r="E201" s="104"/>
      <c r="F201" s="101"/>
      <c r="G201" s="98"/>
    </row>
    <row r="202" spans="1:7" s="121" customFormat="1" ht="14.4" x14ac:dyDescent="0.3">
      <c r="A202" s="163" t="s">
        <v>1022</v>
      </c>
      <c r="B202" s="109"/>
      <c r="C202" s="110" t="s">
        <v>1135</v>
      </c>
      <c r="D202" s="104"/>
      <c r="E202" s="104"/>
      <c r="F202" s="101"/>
      <c r="G202" s="98"/>
    </row>
    <row r="203" spans="1:7" s="121" customFormat="1" ht="14.4" x14ac:dyDescent="0.3">
      <c r="A203" s="163" t="s">
        <v>1023</v>
      </c>
      <c r="B203" s="109"/>
      <c r="C203" s="110" t="s">
        <v>1136</v>
      </c>
      <c r="D203" s="104"/>
      <c r="E203" s="104"/>
      <c r="F203" s="101"/>
      <c r="G203" s="98"/>
    </row>
    <row r="204" spans="1:7" s="121" customFormat="1" ht="14.4" x14ac:dyDescent="0.3">
      <c r="A204" s="163" t="s">
        <v>1024</v>
      </c>
      <c r="B204" s="109"/>
      <c r="C204" s="110" t="s">
        <v>1137</v>
      </c>
      <c r="D204" s="104"/>
      <c r="E204" s="104"/>
      <c r="F204" s="101"/>
      <c r="G204" s="98"/>
    </row>
    <row r="205" spans="1:7" s="121" customFormat="1" ht="14.4" x14ac:dyDescent="0.3">
      <c r="A205" s="163" t="s">
        <v>1025</v>
      </c>
      <c r="B205" s="109"/>
      <c r="C205" s="110" t="s">
        <v>1138</v>
      </c>
      <c r="D205" s="104"/>
      <c r="E205" s="104"/>
      <c r="F205" s="101"/>
      <c r="G205" s="98"/>
    </row>
    <row r="206" spans="1:7" s="121" customFormat="1" ht="14.4" x14ac:dyDescent="0.3">
      <c r="A206" s="163" t="s">
        <v>1026</v>
      </c>
      <c r="B206" s="109"/>
      <c r="C206" s="110" t="s">
        <v>1139</v>
      </c>
      <c r="D206" s="104"/>
      <c r="E206" s="104"/>
      <c r="F206" s="101"/>
      <c r="G206" s="98"/>
    </row>
    <row r="207" spans="1:7" s="121" customFormat="1" ht="14.4" x14ac:dyDescent="0.3">
      <c r="A207" s="163" t="s">
        <v>1027</v>
      </c>
      <c r="B207" s="109"/>
      <c r="C207" s="110" t="s">
        <v>1140</v>
      </c>
      <c r="D207" s="104"/>
      <c r="E207" s="104"/>
      <c r="F207" s="101"/>
      <c r="G207" s="98"/>
    </row>
    <row r="208" spans="1:7" s="121" customFormat="1" ht="14.4" x14ac:dyDescent="0.3">
      <c r="A208" s="163" t="s">
        <v>1028</v>
      </c>
      <c r="B208" s="109"/>
      <c r="C208" s="110" t="s">
        <v>1141</v>
      </c>
      <c r="D208" s="104"/>
      <c r="E208" s="104"/>
      <c r="F208" s="101"/>
      <c r="G208" s="98"/>
    </row>
    <row r="209" spans="1:7" s="121" customFormat="1" ht="14.4" x14ac:dyDescent="0.3">
      <c r="A209" s="163" t="s">
        <v>1029</v>
      </c>
      <c r="B209" s="109"/>
      <c r="C209" s="110" t="s">
        <v>1142</v>
      </c>
      <c r="D209" s="104"/>
      <c r="E209" s="104"/>
      <c r="F209" s="101"/>
      <c r="G209" s="98"/>
    </row>
    <row r="210" spans="1:7" s="121" customFormat="1" ht="14.4" x14ac:dyDescent="0.3">
      <c r="A210" s="163" t="s">
        <v>1030</v>
      </c>
      <c r="B210" s="109"/>
      <c r="C210" s="110" t="s">
        <v>1143</v>
      </c>
      <c r="D210" s="104"/>
      <c r="E210" s="104"/>
      <c r="F210" s="101"/>
      <c r="G210" s="98"/>
    </row>
    <row r="211" spans="1:7" s="121" customFormat="1" ht="14.4" x14ac:dyDescent="0.3">
      <c r="A211" s="163" t="s">
        <v>1031</v>
      </c>
      <c r="B211" s="109"/>
      <c r="C211" s="110" t="s">
        <v>1144</v>
      </c>
      <c r="D211" s="104"/>
      <c r="E211" s="104"/>
      <c r="F211" s="101"/>
      <c r="G211" s="98"/>
    </row>
    <row r="212" spans="1:7" s="121" customFormat="1" ht="14.4" x14ac:dyDescent="0.3">
      <c r="A212" s="163" t="s">
        <v>1032</v>
      </c>
      <c r="B212" s="109"/>
      <c r="C212" s="110" t="s">
        <v>1145</v>
      </c>
      <c r="D212" s="104"/>
      <c r="E212" s="104"/>
      <c r="F212" s="101"/>
      <c r="G212" s="98"/>
    </row>
    <row r="213" spans="1:7" s="121" customFormat="1" ht="14.4" x14ac:dyDescent="0.3">
      <c r="A213" s="163" t="s">
        <v>1033</v>
      </c>
      <c r="B213" s="109"/>
      <c r="C213" s="110" t="s">
        <v>1146</v>
      </c>
      <c r="D213" s="104"/>
      <c r="E213" s="104"/>
      <c r="F213" s="101"/>
      <c r="G213" s="98"/>
    </row>
    <row r="214" spans="1:7" s="121" customFormat="1" ht="15.6" x14ac:dyDescent="0.3">
      <c r="A214" s="163" t="s">
        <v>1034</v>
      </c>
      <c r="B214" s="109"/>
      <c r="C214" s="110" t="s">
        <v>1147</v>
      </c>
      <c r="D214" s="104"/>
      <c r="E214" s="104"/>
      <c r="F214" s="101"/>
      <c r="G214" s="94" t="s">
        <v>673</v>
      </c>
    </row>
    <row r="215" spans="1:7" s="121" customFormat="1" ht="14.4" x14ac:dyDescent="0.3">
      <c r="A215" s="163" t="s">
        <v>1035</v>
      </c>
      <c r="B215" s="109"/>
      <c r="C215" s="110" t="s">
        <v>1148</v>
      </c>
      <c r="D215" s="104"/>
      <c r="E215" s="104"/>
      <c r="F215" s="101"/>
      <c r="G215" s="98"/>
    </row>
    <row r="216" spans="1:7" s="121" customFormat="1" ht="14.4" x14ac:dyDescent="0.3">
      <c r="A216" s="163" t="s">
        <v>1036</v>
      </c>
      <c r="B216" s="109"/>
      <c r="C216" s="110" t="s">
        <v>1149</v>
      </c>
      <c r="D216" s="104"/>
      <c r="E216" s="104"/>
      <c r="F216" s="101"/>
      <c r="G216" s="98"/>
    </row>
    <row r="217" spans="1:7" s="121" customFormat="1" ht="14.4" x14ac:dyDescent="0.3">
      <c r="A217" s="163" t="s">
        <v>1037</v>
      </c>
      <c r="B217" s="109"/>
      <c r="C217" s="110" t="s">
        <v>1150</v>
      </c>
      <c r="D217" s="104"/>
      <c r="E217" s="104"/>
      <c r="F217" s="101"/>
      <c r="G217" s="98"/>
    </row>
    <row r="218" spans="1:7" s="121" customFormat="1" ht="14.4" x14ac:dyDescent="0.3">
      <c r="A218" s="163" t="s">
        <v>1038</v>
      </c>
      <c r="B218" s="109"/>
      <c r="C218" s="110" t="s">
        <v>1151</v>
      </c>
      <c r="D218" s="104"/>
      <c r="E218" s="104"/>
      <c r="F218" s="101"/>
      <c r="G218" s="98"/>
    </row>
    <row r="219" spans="1:7" s="121" customFormat="1" ht="14.4" x14ac:dyDescent="0.3">
      <c r="A219" s="163" t="s">
        <v>1039</v>
      </c>
      <c r="B219" s="109"/>
      <c r="C219" s="110" t="s">
        <v>1152</v>
      </c>
      <c r="D219" s="104"/>
      <c r="E219" s="104"/>
      <c r="F219" s="101"/>
      <c r="G219" s="98"/>
    </row>
    <row r="220" spans="1:7" s="121" customFormat="1" ht="14.4" x14ac:dyDescent="0.3">
      <c r="A220" s="163" t="s">
        <v>1040</v>
      </c>
      <c r="B220" s="109"/>
      <c r="C220" s="110" t="s">
        <v>1153</v>
      </c>
      <c r="D220" s="104"/>
      <c r="E220" s="104"/>
      <c r="F220" s="101"/>
      <c r="G220" s="98"/>
    </row>
    <row r="221" spans="1:7" s="121" customFormat="1" ht="14.4" x14ac:dyDescent="0.3">
      <c r="A221" s="163" t="s">
        <v>1041</v>
      </c>
      <c r="B221" s="109"/>
      <c r="C221" s="110" t="s">
        <v>1154</v>
      </c>
      <c r="D221" s="104"/>
      <c r="E221" s="104"/>
      <c r="F221" s="101"/>
      <c r="G221" s="98"/>
    </row>
    <row r="222" spans="1:7" s="121" customFormat="1" ht="14.4" x14ac:dyDescent="0.3">
      <c r="A222" s="163" t="s">
        <v>1042</v>
      </c>
      <c r="B222" s="109"/>
      <c r="C222" s="110" t="s">
        <v>1155</v>
      </c>
      <c r="D222" s="104"/>
      <c r="E222" s="104"/>
      <c r="F222" s="101"/>
      <c r="G222" s="98"/>
    </row>
    <row r="223" spans="1:7" s="121" customFormat="1" ht="14.4" x14ac:dyDescent="0.3">
      <c r="A223" s="163" t="s">
        <v>1043</v>
      </c>
      <c r="B223" s="109"/>
      <c r="C223" s="110" t="s">
        <v>1156</v>
      </c>
      <c r="D223" s="104"/>
      <c r="E223" s="104"/>
      <c r="F223" s="101"/>
      <c r="G223" s="98"/>
    </row>
    <row r="224" spans="1:7" s="121" customFormat="1" ht="14.4" x14ac:dyDescent="0.3">
      <c r="A224" s="163" t="s">
        <v>1018</v>
      </c>
      <c r="B224" s="109"/>
      <c r="C224" s="110" t="s">
        <v>1157</v>
      </c>
      <c r="D224" s="104"/>
      <c r="E224" s="104"/>
      <c r="F224" s="101"/>
      <c r="G224" s="98"/>
    </row>
    <row r="225" spans="1:7" s="121" customFormat="1" ht="14.4" x14ac:dyDescent="0.3">
      <c r="A225" s="163" t="s">
        <v>1044</v>
      </c>
      <c r="B225" s="109"/>
      <c r="C225" s="110" t="s">
        <v>1158</v>
      </c>
      <c r="D225" s="104"/>
      <c r="E225" s="104"/>
      <c r="F225" s="101"/>
      <c r="G225" s="98"/>
    </row>
    <row r="226" spans="1:7" s="121" customFormat="1" ht="14.4" x14ac:dyDescent="0.3">
      <c r="A226" s="163" t="s">
        <v>1045</v>
      </c>
      <c r="B226" s="109"/>
      <c r="C226" s="110" t="s">
        <v>1159</v>
      </c>
      <c r="D226" s="104"/>
      <c r="E226" s="104"/>
      <c r="F226" s="101"/>
      <c r="G226" s="98"/>
    </row>
    <row r="227" spans="1:7" s="121" customFormat="1" x14ac:dyDescent="0.3">
      <c r="A227" s="151" t="s">
        <v>189</v>
      </c>
      <c r="B227" s="98" t="s">
        <v>1160</v>
      </c>
      <c r="C227" s="113"/>
      <c r="D227" s="111"/>
      <c r="E227" s="111"/>
      <c r="F227" s="150"/>
      <c r="G227" s="98"/>
    </row>
    <row r="228" spans="1:7" s="121" customFormat="1" ht="42" x14ac:dyDescent="0.3">
      <c r="A228" s="124" t="s">
        <v>501</v>
      </c>
      <c r="B228" s="109"/>
      <c r="C228" s="110" t="s">
        <v>1161</v>
      </c>
      <c r="D228" s="104"/>
      <c r="E228" s="104"/>
      <c r="F228" s="101"/>
      <c r="G228" s="98"/>
    </row>
    <row r="229" spans="1:7" s="121" customFormat="1" ht="28.8" x14ac:dyDescent="0.3">
      <c r="A229" s="124" t="s">
        <v>502</v>
      </c>
      <c r="B229" s="109"/>
      <c r="C229" s="110" t="s">
        <v>1162</v>
      </c>
      <c r="D229" s="104"/>
      <c r="E229" s="104"/>
      <c r="F229" s="101"/>
      <c r="G229" s="98"/>
    </row>
    <row r="230" spans="1:7" s="121" customFormat="1" ht="75.599999999999994" x14ac:dyDescent="0.3">
      <c r="A230" s="122" t="s">
        <v>503</v>
      </c>
      <c r="B230" s="98"/>
      <c r="C230" s="99" t="s">
        <v>1163</v>
      </c>
      <c r="D230" s="104"/>
      <c r="E230" s="104"/>
      <c r="F230" s="101"/>
      <c r="G230" s="98"/>
    </row>
    <row r="231" spans="1:7" s="121" customFormat="1" x14ac:dyDescent="0.3">
      <c r="A231" s="151" t="s">
        <v>188</v>
      </c>
      <c r="B231" s="112" t="s">
        <v>504</v>
      </c>
      <c r="C231" s="99"/>
      <c r="D231" s="164"/>
      <c r="E231" s="164"/>
      <c r="F231" s="165"/>
      <c r="G231" s="166"/>
    </row>
    <row r="232" spans="1:7" s="121" customFormat="1" ht="28.2" x14ac:dyDescent="0.3">
      <c r="A232" s="124" t="s">
        <v>505</v>
      </c>
      <c r="B232" s="167"/>
      <c r="C232" s="110" t="s">
        <v>1164</v>
      </c>
      <c r="D232" s="104"/>
      <c r="E232" s="104"/>
      <c r="F232" s="101"/>
      <c r="G232" s="98"/>
    </row>
    <row r="233" spans="1:7" s="121" customFormat="1" ht="14.4" x14ac:dyDescent="0.3">
      <c r="A233" s="163" t="str">
        <f>IF(RIGHT(A232,1)=".",IF(MID(A232,6,1)=".",CONCATENATE(LEFT(A232,4),MID(A232,5,1)+1,"."),CONCATENATE(LEFT(A232,4),MID(A232,5,2)+1,".")),CONCATENATE(LEFT(A232,7),CHAR(CODE(MID(A232,8,1))+1)))</f>
        <v>3.10.1.b</v>
      </c>
      <c r="B233" s="109"/>
      <c r="C233" s="118" t="s">
        <v>994</v>
      </c>
      <c r="D233" s="104"/>
      <c r="E233" s="104" t="str">
        <f>IF(NOT(E232=""),"x","")</f>
        <v/>
      </c>
      <c r="F233" s="101"/>
      <c r="G233" s="98"/>
    </row>
    <row r="234" spans="1:7" s="121" customFormat="1" ht="14.4" x14ac:dyDescent="0.3">
      <c r="A234" s="163" t="str">
        <f>IF(RIGHT(A233,1)=".",IF(MID(A233,6,1)=".",CONCATENATE(LEFT(A233,4),MID(A233,5,1)+1,"."),CONCATENATE(LEFT(A233,4),MID(A233,5,2)+1,".")),CONCATENATE(LEFT(A233,7),CHAR(CODE(MID(A233,8,1))+1)))</f>
        <v>3.10.1.c</v>
      </c>
      <c r="B234" s="109"/>
      <c r="C234" s="110" t="s">
        <v>1165</v>
      </c>
      <c r="D234" s="104"/>
      <c r="E234" s="104" t="str">
        <f>IF(NOT(E233=""),"x","")</f>
        <v/>
      </c>
      <c r="F234" s="101"/>
      <c r="G234" s="98"/>
    </row>
    <row r="235" spans="1:7" s="121" customFormat="1" ht="14.4" x14ac:dyDescent="0.3">
      <c r="A235" s="163" t="str">
        <f>IF(RIGHT(A234,1)=".",IF(MID(A234,6,1)=".",CONCATENATE(LEFT(A234,4),MID(A234,5,1)+1,"."),CONCATENATE(LEFT(A234,4),MID(A234,5,2)+1,".")),CONCATENATE(LEFT(A234,7),CHAR(CODE(MID(A234,8,1))+1)))</f>
        <v>3.10.1.d</v>
      </c>
      <c r="B235" s="109"/>
      <c r="C235" s="110" t="s">
        <v>1166</v>
      </c>
      <c r="D235" s="104"/>
      <c r="E235" s="104" t="str">
        <f>IF(NOT(E234=""),"x","")</f>
        <v/>
      </c>
      <c r="F235" s="101"/>
      <c r="G235" s="98"/>
    </row>
    <row r="236" spans="1:7" s="121" customFormat="1" ht="14.4" x14ac:dyDescent="0.3">
      <c r="A236" s="163" t="str">
        <f>IF(RIGHT(A235,1)=".",IF(MID(A235,6,1)=".",CONCATENATE(LEFT(A235,4),MID(A235,5,1)+1,"."),CONCATENATE(LEFT(A235,4),MID(A235,5,2)+1,".")),CONCATENATE(LEFT(A235,7),CHAR(CODE(MID(A235,8,1))+1)))</f>
        <v>3.10.1.e</v>
      </c>
      <c r="B236" s="109"/>
      <c r="C236" s="110" t="s">
        <v>1167</v>
      </c>
      <c r="D236" s="104"/>
      <c r="E236" s="104" t="str">
        <f>IF(NOT(E235=""),"x","")</f>
        <v/>
      </c>
      <c r="F236" s="101"/>
      <c r="G236" s="98"/>
    </row>
    <row r="237" spans="1:7" s="121" customFormat="1" ht="27.6" x14ac:dyDescent="0.3">
      <c r="A237" s="122" t="s">
        <v>506</v>
      </c>
      <c r="B237" s="98"/>
      <c r="C237" s="99" t="s">
        <v>187</v>
      </c>
      <c r="D237" s="104"/>
      <c r="E237" s="104"/>
      <c r="F237" s="101"/>
      <c r="G237" s="98"/>
    </row>
    <row r="238" spans="1:7" s="121" customFormat="1" ht="27.6" x14ac:dyDescent="0.3">
      <c r="A238" s="168" t="str">
        <f>IF(RIGHT(A237,1)=".",IF(MID(A237,6,1)=".",CONCATENATE(LEFT(A237,5),MID(A237,6,1)+1,"."),CONCATENATE(LEFT(A237,5),MID(A237,6,1)+1,".")),CONCATENATE(LEFT(A237,7),CHAR(CODE(MID(A237,8,1))+1)))</f>
        <v>3.10.3.</v>
      </c>
      <c r="B238" s="98"/>
      <c r="C238" s="99" t="s">
        <v>186</v>
      </c>
      <c r="D238" s="104"/>
      <c r="E238" s="104"/>
      <c r="F238" s="101"/>
      <c r="G238" s="91"/>
    </row>
    <row r="239" spans="1:7" s="121" customFormat="1" ht="27.6" x14ac:dyDescent="0.3">
      <c r="A239" s="168" t="str">
        <f t="shared" ref="A239:A243" si="0">IF(RIGHT(A238,1)=".",IF(MID(A238,6,1)=".",CONCATENATE(LEFT(A238,5),MID(A238,6,1)+1,"."),CONCATENATE(LEFT(A238,5),MID(A238,6,1)+1,".")),CONCATENATE(LEFT(A238,7),CHAR(CODE(MID(A238,8,1))+1)))</f>
        <v>3.10.4.</v>
      </c>
      <c r="B239" s="98"/>
      <c r="C239" s="99" t="s">
        <v>507</v>
      </c>
      <c r="D239" s="104"/>
      <c r="E239" s="104"/>
      <c r="F239" s="101"/>
      <c r="G239" s="98"/>
    </row>
    <row r="240" spans="1:7" s="121" customFormat="1" ht="27.6" x14ac:dyDescent="0.3">
      <c r="A240" s="168" t="str">
        <f t="shared" si="0"/>
        <v>3.10.5.</v>
      </c>
      <c r="B240" s="98"/>
      <c r="C240" s="99" t="s">
        <v>185</v>
      </c>
      <c r="D240" s="104"/>
      <c r="E240" s="104"/>
      <c r="F240" s="101"/>
      <c r="G240" s="98"/>
    </row>
    <row r="241" spans="1:7" s="121" customFormat="1" ht="27.6" x14ac:dyDescent="0.3">
      <c r="A241" s="168" t="str">
        <f t="shared" si="0"/>
        <v>3.10.6.</v>
      </c>
      <c r="B241" s="98"/>
      <c r="C241" s="99" t="s">
        <v>184</v>
      </c>
      <c r="D241" s="104"/>
      <c r="E241" s="104"/>
      <c r="F241" s="101"/>
      <c r="G241" s="98"/>
    </row>
    <row r="242" spans="1:7" s="121" customFormat="1" ht="41.4" x14ac:dyDescent="0.3">
      <c r="A242" s="168" t="str">
        <f t="shared" si="0"/>
        <v>3.10.7.</v>
      </c>
      <c r="B242" s="98"/>
      <c r="C242" s="99" t="s">
        <v>508</v>
      </c>
      <c r="D242" s="104"/>
      <c r="E242" s="104"/>
      <c r="F242" s="101"/>
      <c r="G242" s="94" t="s">
        <v>992</v>
      </c>
    </row>
    <row r="243" spans="1:7" s="121" customFormat="1" ht="27.6" x14ac:dyDescent="0.3">
      <c r="A243" s="168" t="str">
        <f t="shared" si="0"/>
        <v>3.10.8.</v>
      </c>
      <c r="B243" s="98"/>
      <c r="C243" s="99" t="s">
        <v>509</v>
      </c>
      <c r="D243" s="104"/>
      <c r="E243" s="104"/>
      <c r="F243" s="101"/>
      <c r="G243" s="98"/>
    </row>
    <row r="244" spans="1:7" s="172" customFormat="1" ht="14.4" thickBot="1" x14ac:dyDescent="0.35">
      <c r="A244" s="130"/>
      <c r="B244" s="131"/>
      <c r="C244" s="132"/>
      <c r="D244" s="169"/>
      <c r="E244" s="169"/>
      <c r="F244" s="170"/>
      <c r="G244" s="171"/>
    </row>
    <row r="245" spans="1:7" ht="17.399999999999999" x14ac:dyDescent="0.25">
      <c r="A245" s="154" t="s">
        <v>183</v>
      </c>
      <c r="B245" s="155" t="s">
        <v>182</v>
      </c>
      <c r="C245" s="156"/>
      <c r="D245" s="157"/>
      <c r="E245" s="157"/>
      <c r="F245" s="157"/>
      <c r="G245" s="158"/>
    </row>
    <row r="246" spans="1:7" ht="17.399999999999999" x14ac:dyDescent="0.25">
      <c r="A246" s="90"/>
      <c r="B246" s="94" t="s">
        <v>1442</v>
      </c>
      <c r="C246" s="94"/>
      <c r="D246" s="366"/>
      <c r="E246" s="366"/>
      <c r="F246" s="366"/>
      <c r="G246" s="91"/>
    </row>
    <row r="247" spans="1:7" x14ac:dyDescent="0.25">
      <c r="A247" s="151" t="s">
        <v>181</v>
      </c>
      <c r="B247" s="112" t="s">
        <v>180</v>
      </c>
      <c r="C247" s="99"/>
      <c r="D247" s="111"/>
      <c r="E247" s="111"/>
      <c r="F247" s="150"/>
      <c r="G247" s="98"/>
    </row>
    <row r="248" spans="1:7" ht="27.6" x14ac:dyDescent="0.25">
      <c r="A248" s="122" t="s">
        <v>510</v>
      </c>
      <c r="B248" s="98"/>
      <c r="C248" s="99" t="s">
        <v>179</v>
      </c>
      <c r="D248" s="104"/>
      <c r="E248" s="104"/>
      <c r="F248" s="101"/>
      <c r="G248" s="98"/>
    </row>
    <row r="249" spans="1:7" ht="27.6" x14ac:dyDescent="0.25">
      <c r="A249" s="103" t="s">
        <v>793</v>
      </c>
      <c r="B249" s="98"/>
      <c r="C249" s="99" t="s">
        <v>178</v>
      </c>
      <c r="D249" s="104"/>
      <c r="E249" s="104"/>
      <c r="F249" s="101"/>
      <c r="G249" s="98"/>
    </row>
    <row r="250" spans="1:7" ht="27.6" x14ac:dyDescent="0.25">
      <c r="A250" s="103" t="s">
        <v>794</v>
      </c>
      <c r="B250" s="98"/>
      <c r="C250" s="99" t="s">
        <v>1336</v>
      </c>
      <c r="D250" s="104"/>
      <c r="E250" s="104"/>
      <c r="F250" s="101"/>
      <c r="G250" s="98"/>
    </row>
    <row r="251" spans="1:7" ht="41.4" x14ac:dyDescent="0.25">
      <c r="A251" s="103" t="s">
        <v>795</v>
      </c>
      <c r="B251" s="98"/>
      <c r="C251" s="99" t="s">
        <v>511</v>
      </c>
      <c r="D251" s="104"/>
      <c r="E251" s="104"/>
      <c r="F251" s="101"/>
      <c r="G251" s="98"/>
    </row>
    <row r="252" spans="1:7" ht="55.2" x14ac:dyDescent="0.25">
      <c r="A252" s="103" t="s">
        <v>701</v>
      </c>
      <c r="B252" s="98"/>
      <c r="C252" s="99" t="s">
        <v>995</v>
      </c>
      <c r="D252" s="104"/>
      <c r="E252" s="104"/>
      <c r="F252" s="107"/>
      <c r="G252" s="94" t="s">
        <v>674</v>
      </c>
    </row>
    <row r="253" spans="1:7" ht="27.6" x14ac:dyDescent="0.25">
      <c r="A253" s="103" t="s">
        <v>796</v>
      </c>
      <c r="B253" s="98"/>
      <c r="C253" s="99" t="s">
        <v>512</v>
      </c>
      <c r="D253" s="104"/>
      <c r="E253" s="104"/>
      <c r="F253" s="101"/>
      <c r="G253" s="98"/>
    </row>
    <row r="254" spans="1:7" ht="41.4" x14ac:dyDescent="0.25">
      <c r="A254" s="103" t="s">
        <v>797</v>
      </c>
      <c r="B254" s="98"/>
      <c r="C254" s="99" t="s">
        <v>993</v>
      </c>
      <c r="D254" s="104"/>
      <c r="E254" s="104"/>
      <c r="F254" s="107"/>
      <c r="G254" s="98"/>
    </row>
    <row r="255" spans="1:7" x14ac:dyDescent="0.25">
      <c r="A255" s="151" t="s">
        <v>177</v>
      </c>
      <c r="B255" s="112" t="s">
        <v>176</v>
      </c>
      <c r="C255" s="99"/>
      <c r="D255" s="111"/>
      <c r="E255" s="111"/>
      <c r="F255" s="150"/>
      <c r="G255" s="98"/>
    </row>
    <row r="256" spans="1:7" ht="42" x14ac:dyDescent="0.25">
      <c r="A256" s="124" t="s">
        <v>513</v>
      </c>
      <c r="B256" s="109"/>
      <c r="C256" s="110" t="s">
        <v>1168</v>
      </c>
      <c r="D256" s="104"/>
      <c r="E256" s="104"/>
      <c r="F256" s="101"/>
      <c r="G256" s="98"/>
    </row>
    <row r="257" spans="1:7" ht="14.4" x14ac:dyDescent="0.25">
      <c r="A257" s="120" t="s">
        <v>798</v>
      </c>
      <c r="B257" s="109"/>
      <c r="C257" s="110" t="s">
        <v>1169</v>
      </c>
      <c r="D257" s="104"/>
      <c r="E257" s="104"/>
      <c r="F257" s="101"/>
      <c r="G257" s="98"/>
    </row>
    <row r="258" spans="1:7" ht="14.4" x14ac:dyDescent="0.25">
      <c r="A258" s="120" t="s">
        <v>799</v>
      </c>
      <c r="B258" s="109"/>
      <c r="C258" s="110" t="s">
        <v>1170</v>
      </c>
      <c r="D258" s="104"/>
      <c r="E258" s="104"/>
      <c r="F258" s="101"/>
      <c r="G258" s="98"/>
    </row>
    <row r="259" spans="1:7" ht="14.4" x14ac:dyDescent="0.25">
      <c r="A259" s="120" t="s">
        <v>800</v>
      </c>
      <c r="B259" s="109"/>
      <c r="C259" s="110" t="s">
        <v>1171</v>
      </c>
      <c r="D259" s="104"/>
      <c r="E259" s="104"/>
      <c r="F259" s="101"/>
      <c r="G259" s="98"/>
    </row>
    <row r="260" spans="1:7" ht="14.4" x14ac:dyDescent="0.25">
      <c r="A260" s="120" t="s">
        <v>801</v>
      </c>
      <c r="B260" s="109"/>
      <c r="C260" s="110" t="s">
        <v>1172</v>
      </c>
      <c r="D260" s="104"/>
      <c r="E260" s="104"/>
      <c r="F260" s="101"/>
      <c r="G260" s="98"/>
    </row>
    <row r="261" spans="1:7" ht="14.4" x14ac:dyDescent="0.25">
      <c r="A261" s="120" t="s">
        <v>802</v>
      </c>
      <c r="B261" s="109"/>
      <c r="C261" s="110" t="s">
        <v>1173</v>
      </c>
      <c r="D261" s="104"/>
      <c r="E261" s="104"/>
      <c r="F261" s="101"/>
      <c r="G261" s="98"/>
    </row>
    <row r="262" spans="1:7" ht="14.4" x14ac:dyDescent="0.25">
      <c r="A262" s="120" t="s">
        <v>803</v>
      </c>
      <c r="B262" s="109"/>
      <c r="C262" s="110" t="s">
        <v>1174</v>
      </c>
      <c r="D262" s="104"/>
      <c r="E262" s="104"/>
      <c r="F262" s="101"/>
      <c r="G262" s="98"/>
    </row>
    <row r="263" spans="1:7" ht="14.4" x14ac:dyDescent="0.25">
      <c r="A263" s="120" t="s">
        <v>804</v>
      </c>
      <c r="B263" s="109"/>
      <c r="C263" s="110" t="s">
        <v>1175</v>
      </c>
      <c r="D263" s="104"/>
      <c r="E263" s="104"/>
      <c r="F263" s="101"/>
      <c r="G263" s="98"/>
    </row>
    <row r="264" spans="1:7" ht="14.4" x14ac:dyDescent="0.25">
      <c r="A264" s="120" t="s">
        <v>805</v>
      </c>
      <c r="B264" s="109"/>
      <c r="C264" s="110" t="s">
        <v>1176</v>
      </c>
      <c r="D264" s="104"/>
      <c r="E264" s="104"/>
      <c r="F264" s="101"/>
      <c r="G264" s="98"/>
    </row>
    <row r="265" spans="1:7" ht="14.4" x14ac:dyDescent="0.25">
      <c r="A265" s="120" t="s">
        <v>806</v>
      </c>
      <c r="B265" s="109"/>
      <c r="C265" s="110" t="s">
        <v>1177</v>
      </c>
      <c r="D265" s="104"/>
      <c r="E265" s="104"/>
      <c r="F265" s="101"/>
      <c r="G265" s="98"/>
    </row>
    <row r="266" spans="1:7" ht="14.4" x14ac:dyDescent="0.25">
      <c r="A266" s="120" t="s">
        <v>807</v>
      </c>
      <c r="B266" s="109"/>
      <c r="C266" s="110" t="s">
        <v>1178</v>
      </c>
      <c r="D266" s="104"/>
      <c r="E266" s="104"/>
      <c r="F266" s="101"/>
      <c r="G266" s="98"/>
    </row>
    <row r="267" spans="1:7" ht="14.4" x14ac:dyDescent="0.25">
      <c r="A267" s="120" t="s">
        <v>808</v>
      </c>
      <c r="B267" s="109"/>
      <c r="C267" s="110" t="s">
        <v>1179</v>
      </c>
      <c r="D267" s="104"/>
      <c r="E267" s="104"/>
      <c r="F267" s="101"/>
      <c r="G267" s="98"/>
    </row>
    <row r="268" spans="1:7" ht="14.4" x14ac:dyDescent="0.25">
      <c r="A268" s="120" t="s">
        <v>809</v>
      </c>
      <c r="B268" s="109"/>
      <c r="C268" s="110" t="s">
        <v>1180</v>
      </c>
      <c r="D268" s="104"/>
      <c r="E268" s="104"/>
      <c r="F268" s="101"/>
      <c r="G268" s="98"/>
    </row>
    <row r="269" spans="1:7" ht="14.4" x14ac:dyDescent="0.25">
      <c r="A269" s="120" t="s">
        <v>810</v>
      </c>
      <c r="B269" s="109"/>
      <c r="C269" s="110" t="s">
        <v>1181</v>
      </c>
      <c r="D269" s="104"/>
      <c r="E269" s="104"/>
      <c r="F269" s="101"/>
      <c r="G269" s="98"/>
    </row>
    <row r="270" spans="1:7" ht="14.4" x14ac:dyDescent="0.25">
      <c r="A270" s="120" t="s">
        <v>811</v>
      </c>
      <c r="B270" s="109"/>
      <c r="C270" s="110" t="s">
        <v>1182</v>
      </c>
      <c r="D270" s="104"/>
      <c r="E270" s="104"/>
      <c r="F270" s="101"/>
      <c r="G270" s="98"/>
    </row>
    <row r="271" spans="1:7" ht="14.4" x14ac:dyDescent="0.25">
      <c r="A271" s="120" t="s">
        <v>812</v>
      </c>
      <c r="B271" s="109"/>
      <c r="C271" s="110" t="s">
        <v>1183</v>
      </c>
      <c r="D271" s="173"/>
      <c r="E271" s="173"/>
      <c r="F271" s="174"/>
      <c r="G271" s="175"/>
    </row>
    <row r="272" spans="1:7" ht="14.4" x14ac:dyDescent="0.25">
      <c r="A272" s="120" t="s">
        <v>813</v>
      </c>
      <c r="B272" s="109"/>
      <c r="C272" s="110" t="s">
        <v>1184</v>
      </c>
      <c r="D272" s="173"/>
      <c r="E272" s="173"/>
      <c r="F272" s="174"/>
      <c r="G272" s="175"/>
    </row>
    <row r="273" spans="1:7" ht="14.4" x14ac:dyDescent="0.25">
      <c r="A273" s="120" t="s">
        <v>814</v>
      </c>
      <c r="B273" s="109"/>
      <c r="C273" s="110" t="s">
        <v>1185</v>
      </c>
      <c r="D273" s="173"/>
      <c r="E273" s="173"/>
      <c r="F273" s="174"/>
      <c r="G273" s="175"/>
    </row>
    <row r="274" spans="1:7" ht="14.4" x14ac:dyDescent="0.25">
      <c r="A274" s="120" t="s">
        <v>815</v>
      </c>
      <c r="B274" s="109"/>
      <c r="C274" s="110" t="s">
        <v>1186</v>
      </c>
      <c r="D274" s="173"/>
      <c r="E274" s="173"/>
      <c r="F274" s="174"/>
      <c r="G274" s="175"/>
    </row>
    <row r="275" spans="1:7" ht="14.4" x14ac:dyDescent="0.25">
      <c r="A275" s="120" t="s">
        <v>816</v>
      </c>
      <c r="B275" s="109"/>
      <c r="C275" s="110" t="s">
        <v>1187</v>
      </c>
      <c r="D275" s="173"/>
      <c r="E275" s="173"/>
      <c r="F275" s="174"/>
      <c r="G275" s="175"/>
    </row>
    <row r="276" spans="1:7" ht="14.4" x14ac:dyDescent="0.25">
      <c r="A276" s="120" t="s">
        <v>817</v>
      </c>
      <c r="B276" s="109"/>
      <c r="C276" s="110" t="s">
        <v>1188</v>
      </c>
      <c r="D276" s="173"/>
      <c r="E276" s="173"/>
      <c r="F276" s="174"/>
      <c r="G276" s="175"/>
    </row>
    <row r="277" spans="1:7" ht="14.4" x14ac:dyDescent="0.25">
      <c r="A277" s="120" t="s">
        <v>818</v>
      </c>
      <c r="B277" s="109"/>
      <c r="C277" s="110" t="s">
        <v>1189</v>
      </c>
      <c r="D277" s="173"/>
      <c r="E277" s="173"/>
      <c r="F277" s="174"/>
      <c r="G277" s="175"/>
    </row>
    <row r="278" spans="1:7" ht="14.4" x14ac:dyDescent="0.25">
      <c r="A278" s="120" t="s">
        <v>819</v>
      </c>
      <c r="B278" s="109"/>
      <c r="C278" s="110" t="s">
        <v>1190</v>
      </c>
      <c r="D278" s="173"/>
      <c r="E278" s="173"/>
      <c r="F278" s="174"/>
      <c r="G278" s="175"/>
    </row>
    <row r="279" spans="1:7" ht="14.4" x14ac:dyDescent="0.25">
      <c r="A279" s="120" t="s">
        <v>820</v>
      </c>
      <c r="B279" s="109"/>
      <c r="C279" s="110" t="s">
        <v>1191</v>
      </c>
      <c r="D279" s="173"/>
      <c r="E279" s="173"/>
      <c r="F279" s="174"/>
      <c r="G279" s="175"/>
    </row>
    <row r="280" spans="1:7" ht="14.4" x14ac:dyDescent="0.25">
      <c r="A280" s="120" t="s">
        <v>821</v>
      </c>
      <c r="B280" s="109"/>
      <c r="C280" s="110" t="s">
        <v>1192</v>
      </c>
      <c r="D280" s="173"/>
      <c r="E280" s="173"/>
      <c r="F280" s="174"/>
      <c r="G280" s="175"/>
    </row>
    <row r="281" spans="1:7" ht="14.4" x14ac:dyDescent="0.25">
      <c r="A281" s="120" t="s">
        <v>822</v>
      </c>
      <c r="B281" s="109"/>
      <c r="C281" s="110" t="s">
        <v>1193</v>
      </c>
      <c r="D281" s="173"/>
      <c r="E281" s="173"/>
      <c r="F281" s="174"/>
      <c r="G281" s="175"/>
    </row>
    <row r="282" spans="1:7" ht="14.4" x14ac:dyDescent="0.25">
      <c r="A282" s="120" t="s">
        <v>514</v>
      </c>
      <c r="B282" s="109"/>
      <c r="C282" s="110" t="s">
        <v>1194</v>
      </c>
      <c r="D282" s="173"/>
      <c r="E282" s="173"/>
      <c r="F282" s="174"/>
      <c r="G282" s="175"/>
    </row>
    <row r="283" spans="1:7" ht="14.4" x14ac:dyDescent="0.25">
      <c r="A283" s="176" t="s">
        <v>823</v>
      </c>
      <c r="B283" s="109"/>
      <c r="C283" s="110" t="s">
        <v>1195</v>
      </c>
      <c r="D283" s="173"/>
      <c r="E283" s="173"/>
      <c r="F283" s="174"/>
      <c r="G283" s="175"/>
    </row>
    <row r="284" spans="1:7" ht="14.4" x14ac:dyDescent="0.25">
      <c r="A284" s="176" t="s">
        <v>824</v>
      </c>
      <c r="B284" s="109"/>
      <c r="C284" s="110" t="s">
        <v>1196</v>
      </c>
      <c r="D284" s="173"/>
      <c r="E284" s="173"/>
      <c r="F284" s="174"/>
      <c r="G284" s="175"/>
    </row>
    <row r="285" spans="1:7" ht="14.4" x14ac:dyDescent="0.25">
      <c r="A285" s="176" t="s">
        <v>825</v>
      </c>
      <c r="B285" s="109"/>
      <c r="C285" s="110" t="s">
        <v>1197</v>
      </c>
      <c r="D285" s="173"/>
      <c r="E285" s="173"/>
      <c r="F285" s="174"/>
      <c r="G285" s="175"/>
    </row>
    <row r="286" spans="1:7" ht="14.4" x14ac:dyDescent="0.25">
      <c r="A286" s="176" t="s">
        <v>826</v>
      </c>
      <c r="B286" s="109"/>
      <c r="C286" s="110" t="s">
        <v>1198</v>
      </c>
      <c r="D286" s="173"/>
      <c r="E286" s="173"/>
      <c r="F286" s="174"/>
      <c r="G286" s="175"/>
    </row>
    <row r="287" spans="1:7" ht="14.4" x14ac:dyDescent="0.25">
      <c r="A287" s="176" t="s">
        <v>827</v>
      </c>
      <c r="B287" s="109"/>
      <c r="C287" s="110" t="s">
        <v>1199</v>
      </c>
      <c r="D287" s="173"/>
      <c r="E287" s="173"/>
      <c r="F287" s="174"/>
      <c r="G287" s="175"/>
    </row>
    <row r="288" spans="1:7" ht="14.4" x14ac:dyDescent="0.25">
      <c r="A288" s="176" t="s">
        <v>828</v>
      </c>
      <c r="B288" s="109"/>
      <c r="C288" s="110" t="s">
        <v>1200</v>
      </c>
      <c r="D288" s="173"/>
      <c r="E288" s="173"/>
      <c r="F288" s="174"/>
      <c r="G288" s="175"/>
    </row>
    <row r="289" spans="1:7" ht="14.4" x14ac:dyDescent="0.25">
      <c r="A289" s="176" t="s">
        <v>829</v>
      </c>
      <c r="B289" s="109"/>
      <c r="C289" s="110" t="s">
        <v>1201</v>
      </c>
      <c r="D289" s="173"/>
      <c r="E289" s="173"/>
      <c r="F289" s="174"/>
      <c r="G289" s="175"/>
    </row>
    <row r="290" spans="1:7" ht="14.4" x14ac:dyDescent="0.25">
      <c r="A290" s="176" t="s">
        <v>996</v>
      </c>
      <c r="B290" s="109"/>
      <c r="C290" s="110" t="s">
        <v>1202</v>
      </c>
      <c r="D290" s="173"/>
      <c r="E290" s="173"/>
      <c r="F290" s="177"/>
      <c r="G290" s="175"/>
    </row>
    <row r="291" spans="1:7" x14ac:dyDescent="0.25">
      <c r="A291" s="151" t="s">
        <v>175</v>
      </c>
      <c r="B291" s="112" t="s">
        <v>174</v>
      </c>
      <c r="C291" s="99"/>
      <c r="D291" s="178"/>
      <c r="E291" s="178"/>
      <c r="F291" s="179"/>
      <c r="G291" s="175"/>
    </row>
    <row r="292" spans="1:7" ht="27.6" x14ac:dyDescent="0.25">
      <c r="A292" s="122" t="s">
        <v>515</v>
      </c>
      <c r="B292" s="98"/>
      <c r="C292" s="99" t="s">
        <v>521</v>
      </c>
      <c r="D292" s="173"/>
      <c r="E292" s="173"/>
      <c r="F292" s="174"/>
      <c r="G292" s="175"/>
    </row>
    <row r="293" spans="1:7" ht="27.6" x14ac:dyDescent="0.25">
      <c r="A293" s="122" t="s">
        <v>516</v>
      </c>
      <c r="B293" s="98"/>
      <c r="C293" s="99" t="s">
        <v>173</v>
      </c>
      <c r="D293" s="173"/>
      <c r="E293" s="173"/>
      <c r="F293" s="174"/>
      <c r="G293" s="175"/>
    </row>
    <row r="294" spans="1:7" ht="27.6" x14ac:dyDescent="0.25">
      <c r="A294" s="122" t="s">
        <v>517</v>
      </c>
      <c r="B294" s="98"/>
      <c r="C294" s="99" t="s">
        <v>172</v>
      </c>
      <c r="D294" s="173"/>
      <c r="E294" s="173"/>
      <c r="F294" s="174"/>
      <c r="G294" s="175"/>
    </row>
    <row r="295" spans="1:7" ht="30.75" customHeight="1" x14ac:dyDescent="0.25">
      <c r="A295" s="122" t="s">
        <v>518</v>
      </c>
      <c r="B295" s="98"/>
      <c r="C295" s="99" t="s">
        <v>171</v>
      </c>
      <c r="D295" s="173"/>
      <c r="E295" s="173"/>
      <c r="F295" s="174"/>
      <c r="G295" s="175"/>
    </row>
    <row r="296" spans="1:7" ht="27.6" x14ac:dyDescent="0.25">
      <c r="A296" s="122" t="s">
        <v>519</v>
      </c>
      <c r="B296" s="98"/>
      <c r="C296" s="99" t="s">
        <v>170</v>
      </c>
      <c r="D296" s="173"/>
      <c r="E296" s="173"/>
      <c r="F296" s="174"/>
      <c r="G296" s="175"/>
    </row>
    <row r="297" spans="1:7" ht="27.6" x14ac:dyDescent="0.25">
      <c r="A297" s="122" t="s">
        <v>520</v>
      </c>
      <c r="B297" s="98"/>
      <c r="C297" s="99" t="s">
        <v>169</v>
      </c>
      <c r="D297" s="173"/>
      <c r="E297" s="173"/>
      <c r="F297" s="174"/>
      <c r="G297" s="175"/>
    </row>
    <row r="298" spans="1:7" ht="41.4" x14ac:dyDescent="0.25">
      <c r="A298" s="122" t="s">
        <v>522</v>
      </c>
      <c r="B298" s="180"/>
      <c r="C298" s="181" t="s">
        <v>997</v>
      </c>
      <c r="D298" s="173"/>
      <c r="E298" s="173"/>
      <c r="F298" s="177"/>
      <c r="G298" s="175"/>
    </row>
    <row r="299" spans="1:7" x14ac:dyDescent="0.25">
      <c r="A299" s="151" t="s">
        <v>168</v>
      </c>
      <c r="B299" s="112" t="s">
        <v>539</v>
      </c>
      <c r="C299" s="99"/>
      <c r="D299" s="182"/>
      <c r="E299" s="182"/>
      <c r="F299" s="183"/>
      <c r="G299" s="184"/>
    </row>
    <row r="300" spans="1:7" s="325" customFormat="1" ht="107.25" customHeight="1" x14ac:dyDescent="0.25">
      <c r="A300" s="122" t="s">
        <v>526</v>
      </c>
      <c r="B300" s="99"/>
      <c r="C300" s="99" t="s">
        <v>1203</v>
      </c>
      <c r="D300" s="326"/>
      <c r="E300" s="326"/>
      <c r="F300" s="174"/>
      <c r="G300" s="327"/>
    </row>
    <row r="301" spans="1:7" ht="27.6" x14ac:dyDescent="0.25">
      <c r="A301" s="122" t="s">
        <v>524</v>
      </c>
      <c r="B301" s="98"/>
      <c r="C301" s="99" t="s">
        <v>523</v>
      </c>
      <c r="D301" s="173"/>
      <c r="E301" s="173"/>
      <c r="F301" s="174"/>
      <c r="G301" s="94" t="s">
        <v>675</v>
      </c>
    </row>
    <row r="302" spans="1:7" ht="41.4" x14ac:dyDescent="0.25">
      <c r="A302" s="122" t="s">
        <v>525</v>
      </c>
      <c r="B302" s="112"/>
      <c r="C302" s="99" t="s">
        <v>167</v>
      </c>
      <c r="D302" s="173"/>
      <c r="E302" s="173"/>
      <c r="F302" s="174"/>
      <c r="G302" s="175"/>
    </row>
    <row r="303" spans="1:7" x14ac:dyDescent="0.25">
      <c r="A303" s="151" t="s">
        <v>166</v>
      </c>
      <c r="B303" s="112" t="s">
        <v>535</v>
      </c>
      <c r="C303" s="113"/>
      <c r="D303" s="178"/>
      <c r="E303" s="178"/>
      <c r="F303" s="179"/>
      <c r="G303" s="175"/>
    </row>
    <row r="304" spans="1:7" ht="82.8" x14ac:dyDescent="0.25">
      <c r="A304" s="122" t="s">
        <v>527</v>
      </c>
      <c r="B304" s="98"/>
      <c r="C304" s="99" t="s">
        <v>1049</v>
      </c>
      <c r="D304" s="173"/>
      <c r="E304" s="173"/>
      <c r="F304" s="174"/>
      <c r="G304" s="175"/>
    </row>
    <row r="305" spans="1:9" ht="41.4" x14ac:dyDescent="0.25">
      <c r="A305" s="122" t="s">
        <v>528</v>
      </c>
      <c r="B305" s="98"/>
      <c r="C305" s="99" t="s">
        <v>165</v>
      </c>
      <c r="D305" s="173"/>
      <c r="E305" s="173"/>
      <c r="F305" s="174"/>
      <c r="G305" s="175"/>
    </row>
    <row r="306" spans="1:9" ht="27.6" x14ac:dyDescent="0.25">
      <c r="A306" s="122" t="s">
        <v>529</v>
      </c>
      <c r="B306" s="98"/>
      <c r="C306" s="99" t="s">
        <v>534</v>
      </c>
      <c r="D306" s="173"/>
      <c r="E306" s="173"/>
      <c r="F306" s="174"/>
      <c r="G306" s="94" t="s">
        <v>676</v>
      </c>
    </row>
    <row r="307" spans="1:9" s="325" customFormat="1" ht="31.5" customHeight="1" x14ac:dyDescent="0.25">
      <c r="A307" s="122" t="s">
        <v>530</v>
      </c>
      <c r="B307" s="99"/>
      <c r="C307" s="99" t="s">
        <v>164</v>
      </c>
      <c r="D307" s="326"/>
      <c r="E307" s="326"/>
      <c r="F307" s="174"/>
      <c r="G307" s="327"/>
    </row>
    <row r="308" spans="1:9" ht="27.6" x14ac:dyDescent="0.25">
      <c r="A308" s="122" t="s">
        <v>531</v>
      </c>
      <c r="B308" s="98"/>
      <c r="C308" s="99" t="s">
        <v>163</v>
      </c>
      <c r="D308" s="173"/>
      <c r="E308" s="173"/>
      <c r="F308" s="174"/>
      <c r="G308" s="175"/>
    </row>
    <row r="309" spans="1:9" ht="27.6" x14ac:dyDescent="0.25">
      <c r="A309" s="122" t="s">
        <v>532</v>
      </c>
      <c r="B309" s="98"/>
      <c r="C309" s="99" t="s">
        <v>162</v>
      </c>
      <c r="D309" s="173"/>
      <c r="E309" s="173"/>
      <c r="F309" s="174"/>
      <c r="G309" s="91"/>
    </row>
    <row r="310" spans="1:9" x14ac:dyDescent="0.25">
      <c r="A310" s="151" t="s">
        <v>161</v>
      </c>
      <c r="B310" s="112" t="s">
        <v>160</v>
      </c>
      <c r="C310" s="99"/>
      <c r="D310" s="178"/>
      <c r="E310" s="178"/>
      <c r="F310" s="179"/>
      <c r="G310" s="175"/>
    </row>
    <row r="311" spans="1:9" ht="27.6" x14ac:dyDescent="0.25">
      <c r="A311" s="122" t="s">
        <v>533</v>
      </c>
      <c r="B311" s="98"/>
      <c r="C311" s="99" t="s">
        <v>696</v>
      </c>
      <c r="D311" s="173"/>
      <c r="E311" s="173"/>
      <c r="F311" s="174"/>
      <c r="G311" s="175"/>
    </row>
    <row r="312" spans="1:9" ht="27.6" x14ac:dyDescent="0.25">
      <c r="A312" s="122" t="s">
        <v>536</v>
      </c>
      <c r="B312" s="98"/>
      <c r="C312" s="99" t="s">
        <v>159</v>
      </c>
      <c r="D312" s="173"/>
      <c r="E312" s="173"/>
      <c r="F312" s="174"/>
      <c r="G312" s="175"/>
    </row>
    <row r="313" spans="1:9" ht="41.4" x14ac:dyDescent="0.25">
      <c r="A313" s="122" t="s">
        <v>537</v>
      </c>
      <c r="B313" s="98"/>
      <c r="C313" s="99" t="s">
        <v>158</v>
      </c>
      <c r="D313" s="173"/>
      <c r="E313" s="173"/>
      <c r="F313" s="174"/>
      <c r="G313" s="94" t="s">
        <v>677</v>
      </c>
    </row>
    <row r="314" spans="1:9" ht="33.75" customHeight="1" x14ac:dyDescent="0.25">
      <c r="A314" s="122" t="s">
        <v>538</v>
      </c>
      <c r="B314" s="98"/>
      <c r="C314" s="99" t="s">
        <v>157</v>
      </c>
      <c r="D314" s="173"/>
      <c r="E314" s="173"/>
      <c r="F314" s="174"/>
      <c r="G314" s="175"/>
    </row>
    <row r="315" spans="1:9" x14ac:dyDescent="0.25">
      <c r="A315" s="151" t="s">
        <v>156</v>
      </c>
      <c r="B315" s="112" t="s">
        <v>20</v>
      </c>
      <c r="C315" s="99"/>
      <c r="D315" s="178"/>
      <c r="E315" s="178"/>
      <c r="F315" s="179"/>
      <c r="G315" s="175"/>
    </row>
    <row r="316" spans="1:9" ht="27.6" x14ac:dyDescent="0.25">
      <c r="A316" s="122" t="s">
        <v>540</v>
      </c>
      <c r="B316" s="112"/>
      <c r="C316" s="99" t="s">
        <v>155</v>
      </c>
      <c r="D316" s="173"/>
      <c r="E316" s="173"/>
      <c r="F316" s="174"/>
      <c r="G316" s="175"/>
    </row>
    <row r="317" spans="1:9" ht="41.4" x14ac:dyDescent="0.25">
      <c r="A317" s="122" t="s">
        <v>541</v>
      </c>
      <c r="B317" s="98"/>
      <c r="C317" s="99" t="s">
        <v>154</v>
      </c>
      <c r="D317" s="173"/>
      <c r="E317" s="173"/>
      <c r="F317" s="174"/>
      <c r="G317" s="94" t="s">
        <v>678</v>
      </c>
      <c r="H317" s="347"/>
      <c r="I317" s="347"/>
    </row>
    <row r="318" spans="1:9" ht="30" customHeight="1" x14ac:dyDescent="0.25">
      <c r="A318" s="122" t="s">
        <v>542</v>
      </c>
      <c r="B318" s="98"/>
      <c r="C318" s="99" t="s">
        <v>1634</v>
      </c>
      <c r="D318" s="173"/>
      <c r="E318" s="173"/>
      <c r="F318" s="174"/>
      <c r="G318" s="94"/>
      <c r="H318" s="347"/>
      <c r="I318" s="347"/>
    </row>
    <row r="319" spans="1:9" ht="30" customHeight="1" x14ac:dyDescent="0.25">
      <c r="A319" s="122" t="s">
        <v>543</v>
      </c>
      <c r="B319" s="98"/>
      <c r="C319" s="99" t="s">
        <v>1596</v>
      </c>
      <c r="D319" s="173"/>
      <c r="E319" s="173"/>
      <c r="F319" s="174"/>
      <c r="G319" s="94"/>
      <c r="H319" s="347"/>
      <c r="I319" s="347"/>
    </row>
    <row r="320" spans="1:9" ht="41.4" x14ac:dyDescent="0.25">
      <c r="A320" s="122" t="s">
        <v>544</v>
      </c>
      <c r="B320" s="98"/>
      <c r="C320" s="99" t="s">
        <v>153</v>
      </c>
      <c r="D320" s="173"/>
      <c r="E320" s="173"/>
      <c r="F320" s="174"/>
      <c r="G320" s="175"/>
      <c r="H320" s="347"/>
      <c r="I320" s="347"/>
    </row>
    <row r="321" spans="1:9" ht="66.599999999999994" x14ac:dyDescent="0.25">
      <c r="A321" s="122" t="s">
        <v>1629</v>
      </c>
      <c r="B321" s="98"/>
      <c r="C321" s="99" t="s">
        <v>1204</v>
      </c>
      <c r="D321" s="173"/>
      <c r="E321" s="173"/>
      <c r="F321" s="174"/>
      <c r="G321" s="175"/>
      <c r="H321" s="347"/>
      <c r="I321" s="347"/>
    </row>
    <row r="322" spans="1:9" ht="27.6" x14ac:dyDescent="0.25">
      <c r="A322" s="122" t="s">
        <v>1630</v>
      </c>
      <c r="B322" s="98"/>
      <c r="C322" s="99" t="s">
        <v>152</v>
      </c>
      <c r="D322" s="173"/>
      <c r="E322" s="173"/>
      <c r="F322" s="174"/>
      <c r="G322" s="175"/>
      <c r="H322" s="347"/>
      <c r="I322" s="347"/>
    </row>
    <row r="323" spans="1:9" ht="14.4" thickBot="1" x14ac:dyDescent="0.3">
      <c r="A323" s="130"/>
      <c r="B323" s="131"/>
      <c r="C323" s="132"/>
      <c r="D323" s="185"/>
      <c r="E323" s="185"/>
      <c r="F323" s="186"/>
      <c r="G323" s="187"/>
      <c r="H323" s="347"/>
      <c r="I323" s="347"/>
    </row>
    <row r="324" spans="1:9" ht="17.399999999999999" x14ac:dyDescent="0.25">
      <c r="A324" s="188" t="s">
        <v>151</v>
      </c>
      <c r="B324" s="189" t="s">
        <v>551</v>
      </c>
      <c r="C324" s="190"/>
      <c r="D324" s="191"/>
      <c r="E324" s="192"/>
      <c r="F324" s="193"/>
      <c r="G324" s="194"/>
      <c r="H324" s="347"/>
      <c r="I324" s="347"/>
    </row>
    <row r="325" spans="1:9" ht="17.399999999999999" x14ac:dyDescent="0.25">
      <c r="A325" s="90"/>
      <c r="B325" s="94" t="s">
        <v>1441</v>
      </c>
      <c r="C325" s="94"/>
      <c r="D325" s="366"/>
      <c r="E325" s="366"/>
      <c r="F325" s="366"/>
      <c r="G325" s="91"/>
      <c r="H325" s="347"/>
      <c r="I325" s="347"/>
    </row>
    <row r="326" spans="1:9" x14ac:dyDescent="0.25">
      <c r="A326" s="151" t="s">
        <v>150</v>
      </c>
      <c r="B326" s="112" t="s">
        <v>553</v>
      </c>
      <c r="C326" s="99"/>
      <c r="D326" s="111"/>
      <c r="E326" s="111"/>
      <c r="F326" s="150"/>
      <c r="G326" s="98"/>
      <c r="H326" s="347"/>
      <c r="I326" s="347"/>
    </row>
    <row r="327" spans="1:9" ht="69.599999999999994" x14ac:dyDescent="0.25">
      <c r="A327" s="124" t="s">
        <v>552</v>
      </c>
      <c r="B327" s="109"/>
      <c r="C327" s="110" t="s">
        <v>1205</v>
      </c>
      <c r="D327" s="104"/>
      <c r="E327" s="104"/>
      <c r="F327" s="101"/>
      <c r="G327" s="98"/>
      <c r="H327" s="347"/>
      <c r="I327" s="347"/>
    </row>
    <row r="328" spans="1:9" ht="14.4" x14ac:dyDescent="0.25">
      <c r="A328" s="120" t="s">
        <v>554</v>
      </c>
      <c r="B328" s="109"/>
      <c r="C328" s="110" t="s">
        <v>1206</v>
      </c>
      <c r="D328" s="173"/>
      <c r="E328" s="173"/>
      <c r="F328" s="177"/>
      <c r="G328" s="175"/>
      <c r="H328" s="347"/>
      <c r="I328" s="347"/>
    </row>
    <row r="329" spans="1:9" ht="16.5" customHeight="1" x14ac:dyDescent="0.25">
      <c r="A329" s="120" t="s">
        <v>555</v>
      </c>
      <c r="B329" s="109"/>
      <c r="C329" s="110" t="s">
        <v>1207</v>
      </c>
      <c r="D329" s="148"/>
      <c r="E329" s="148"/>
      <c r="F329" s="107"/>
      <c r="G329" s="98"/>
      <c r="H329" s="347"/>
      <c r="I329" s="347"/>
    </row>
    <row r="330" spans="1:9" ht="14.4" x14ac:dyDescent="0.25">
      <c r="A330" s="120" t="s">
        <v>557</v>
      </c>
      <c r="B330" s="109"/>
      <c r="C330" s="110" t="s">
        <v>1208</v>
      </c>
      <c r="D330" s="148"/>
      <c r="E330" s="148"/>
      <c r="F330" s="107"/>
      <c r="G330" s="98"/>
      <c r="H330" s="347"/>
      <c r="I330" s="347"/>
    </row>
    <row r="331" spans="1:9" ht="14.4" x14ac:dyDescent="0.25">
      <c r="A331" s="120" t="s">
        <v>556</v>
      </c>
      <c r="B331" s="109"/>
      <c r="C331" s="110" t="s">
        <v>1209</v>
      </c>
      <c r="D331" s="148"/>
      <c r="E331" s="148"/>
      <c r="F331" s="107"/>
      <c r="G331" s="98"/>
      <c r="H331" s="347"/>
      <c r="I331" s="347"/>
    </row>
    <row r="332" spans="1:9" x14ac:dyDescent="0.25">
      <c r="A332" s="95" t="s">
        <v>149</v>
      </c>
      <c r="B332" s="112" t="s">
        <v>148</v>
      </c>
      <c r="C332" s="195"/>
      <c r="D332" s="145"/>
      <c r="E332" s="145"/>
      <c r="F332" s="150"/>
      <c r="G332" s="98"/>
      <c r="H332" s="347"/>
      <c r="I332" s="347"/>
    </row>
    <row r="333" spans="1:9" ht="41.4" x14ac:dyDescent="0.25">
      <c r="A333" s="97" t="s">
        <v>558</v>
      </c>
      <c r="B333" s="98"/>
      <c r="C333" s="99" t="s">
        <v>147</v>
      </c>
      <c r="D333" s="148"/>
      <c r="E333" s="148"/>
      <c r="F333" s="107"/>
      <c r="G333" s="94" t="s">
        <v>679</v>
      </c>
      <c r="H333" s="347"/>
      <c r="I333" s="347"/>
    </row>
    <row r="334" spans="1:9" ht="42" x14ac:dyDescent="0.25">
      <c r="A334" s="120" t="s">
        <v>559</v>
      </c>
      <c r="B334" s="109"/>
      <c r="C334" s="110" t="s">
        <v>1210</v>
      </c>
      <c r="D334" s="148"/>
      <c r="E334" s="148"/>
      <c r="F334" s="101"/>
      <c r="G334" s="98"/>
      <c r="H334" s="347"/>
      <c r="I334" s="347"/>
    </row>
    <row r="335" spans="1:9" ht="14.4" x14ac:dyDescent="0.25">
      <c r="A335" s="120" t="s">
        <v>560</v>
      </c>
      <c r="B335" s="109"/>
      <c r="C335" s="110" t="s">
        <v>1211</v>
      </c>
      <c r="D335" s="148"/>
      <c r="E335" s="148"/>
      <c r="F335" s="101"/>
      <c r="G335" s="98"/>
      <c r="H335" s="347"/>
      <c r="I335" s="347"/>
    </row>
    <row r="336" spans="1:9" ht="14.4" x14ac:dyDescent="0.25">
      <c r="A336" s="120" t="s">
        <v>561</v>
      </c>
      <c r="B336" s="109"/>
      <c r="C336" s="110" t="s">
        <v>1212</v>
      </c>
      <c r="D336" s="148"/>
      <c r="E336" s="148"/>
      <c r="F336" s="101"/>
      <c r="G336" s="98"/>
      <c r="H336" s="347"/>
      <c r="I336" s="347"/>
    </row>
    <row r="337" spans="1:9" ht="14.4" x14ac:dyDescent="0.25">
      <c r="A337" s="120" t="s">
        <v>562</v>
      </c>
      <c r="B337" s="109"/>
      <c r="C337" s="110" t="s">
        <v>1213</v>
      </c>
      <c r="D337" s="148"/>
      <c r="E337" s="148"/>
      <c r="F337" s="101"/>
      <c r="G337" s="98"/>
      <c r="H337" s="347"/>
      <c r="I337" s="347"/>
    </row>
    <row r="338" spans="1:9" x14ac:dyDescent="0.25">
      <c r="A338" s="120" t="s">
        <v>563</v>
      </c>
      <c r="B338" s="109"/>
      <c r="C338" s="110" t="s">
        <v>1632</v>
      </c>
      <c r="D338" s="148"/>
      <c r="E338" s="148"/>
      <c r="F338" s="101"/>
      <c r="G338" s="98"/>
      <c r="H338" s="347"/>
      <c r="I338" s="347"/>
    </row>
    <row r="339" spans="1:9" ht="14.4" x14ac:dyDescent="0.25">
      <c r="A339" s="120" t="s">
        <v>564</v>
      </c>
      <c r="B339" s="109"/>
      <c r="C339" s="110" t="s">
        <v>1214</v>
      </c>
      <c r="D339" s="148"/>
      <c r="E339" s="148"/>
      <c r="F339" s="101"/>
      <c r="G339" s="98"/>
      <c r="H339" s="347"/>
      <c r="I339" s="347"/>
    </row>
    <row r="340" spans="1:9" ht="14.4" x14ac:dyDescent="0.25">
      <c r="A340" s="120" t="s">
        <v>565</v>
      </c>
      <c r="B340" s="109"/>
      <c r="C340" s="110" t="s">
        <v>1215</v>
      </c>
      <c r="D340" s="148"/>
      <c r="E340" s="148"/>
      <c r="F340" s="101"/>
      <c r="G340" s="98"/>
      <c r="H340" s="347"/>
      <c r="I340" s="347"/>
    </row>
    <row r="341" spans="1:9" ht="14.4" x14ac:dyDescent="0.25">
      <c r="A341" s="120" t="s">
        <v>1604</v>
      </c>
      <c r="B341" s="109"/>
      <c r="C341" s="110" t="s">
        <v>1216</v>
      </c>
      <c r="D341" s="148"/>
      <c r="E341" s="148"/>
      <c r="F341" s="107"/>
      <c r="G341" s="98"/>
    </row>
    <row r="342" spans="1:9" ht="27.6" x14ac:dyDescent="0.25">
      <c r="A342" s="97" t="s">
        <v>566</v>
      </c>
      <c r="B342" s="98"/>
      <c r="C342" s="99" t="s">
        <v>146</v>
      </c>
      <c r="D342" s="148"/>
      <c r="E342" s="148"/>
      <c r="F342" s="101"/>
      <c r="G342" s="98"/>
    </row>
    <row r="343" spans="1:9" ht="41.4" x14ac:dyDescent="0.25">
      <c r="A343" s="97" t="s">
        <v>567</v>
      </c>
      <c r="B343" s="98"/>
      <c r="C343" s="99" t="s">
        <v>999</v>
      </c>
      <c r="D343" s="148"/>
      <c r="E343" s="148"/>
      <c r="F343" s="107"/>
      <c r="G343" s="98"/>
    </row>
    <row r="344" spans="1:9" ht="30" customHeight="1" x14ac:dyDescent="0.25">
      <c r="A344" s="97" t="s">
        <v>568</v>
      </c>
      <c r="B344" s="98"/>
      <c r="C344" s="99" t="s">
        <v>569</v>
      </c>
      <c r="D344" s="148"/>
      <c r="E344" s="148"/>
      <c r="F344" s="101"/>
      <c r="G344" s="98"/>
    </row>
    <row r="345" spans="1:9" ht="41.4" x14ac:dyDescent="0.25">
      <c r="A345" s="97" t="s">
        <v>570</v>
      </c>
      <c r="B345" s="98"/>
      <c r="C345" s="99" t="s">
        <v>145</v>
      </c>
      <c r="D345" s="148"/>
      <c r="E345" s="148"/>
      <c r="F345" s="101"/>
      <c r="G345" s="98"/>
    </row>
    <row r="346" spans="1:9" x14ac:dyDescent="0.25">
      <c r="A346" s="95" t="s">
        <v>144</v>
      </c>
      <c r="B346" s="112" t="s">
        <v>22</v>
      </c>
      <c r="C346" s="99"/>
      <c r="D346" s="145"/>
      <c r="E346" s="145"/>
      <c r="F346" s="150"/>
      <c r="G346" s="98"/>
    </row>
    <row r="347" spans="1:9" ht="27.6" x14ac:dyDescent="0.25">
      <c r="A347" s="97" t="s">
        <v>143</v>
      </c>
      <c r="B347" s="98"/>
      <c r="C347" s="99" t="s">
        <v>142</v>
      </c>
      <c r="D347" s="148"/>
      <c r="E347" s="148"/>
      <c r="F347" s="107"/>
      <c r="G347" s="94" t="s">
        <v>680</v>
      </c>
    </row>
    <row r="348" spans="1:9" ht="42.6" x14ac:dyDescent="0.25">
      <c r="A348" s="120" t="s">
        <v>573</v>
      </c>
      <c r="B348" s="109"/>
      <c r="C348" s="110" t="s">
        <v>1217</v>
      </c>
      <c r="D348" s="148"/>
      <c r="E348" s="148"/>
      <c r="F348" s="101"/>
      <c r="G348" s="98"/>
    </row>
    <row r="349" spans="1:9" ht="14.4" x14ac:dyDescent="0.25">
      <c r="A349" s="120" t="s">
        <v>574</v>
      </c>
      <c r="B349" s="109"/>
      <c r="C349" s="110" t="s">
        <v>1218</v>
      </c>
      <c r="D349" s="148"/>
      <c r="E349" s="148"/>
      <c r="F349" s="101"/>
      <c r="G349" s="98"/>
    </row>
    <row r="350" spans="1:9" ht="14.4" x14ac:dyDescent="0.25">
      <c r="A350" s="120" t="s">
        <v>575</v>
      </c>
      <c r="B350" s="109"/>
      <c r="C350" s="110" t="s">
        <v>1219</v>
      </c>
      <c r="D350" s="148"/>
      <c r="E350" s="148"/>
      <c r="F350" s="101"/>
      <c r="G350" s="98"/>
    </row>
    <row r="351" spans="1:9" ht="27.6" x14ac:dyDescent="0.25">
      <c r="A351" s="97" t="s">
        <v>571</v>
      </c>
      <c r="B351" s="98"/>
      <c r="C351" s="99" t="s">
        <v>579</v>
      </c>
      <c r="D351" s="148"/>
      <c r="E351" s="148"/>
      <c r="F351" s="101"/>
      <c r="G351" s="98"/>
    </row>
    <row r="352" spans="1:9" ht="41.4" x14ac:dyDescent="0.25">
      <c r="A352" s="97" t="s">
        <v>572</v>
      </c>
      <c r="B352" s="98"/>
      <c r="C352" s="99" t="s">
        <v>1000</v>
      </c>
      <c r="D352" s="148"/>
      <c r="E352" s="148"/>
      <c r="F352" s="107"/>
      <c r="G352" s="98"/>
    </row>
    <row r="353" spans="1:7" x14ac:dyDescent="0.25">
      <c r="A353" s="97" t="s">
        <v>576</v>
      </c>
      <c r="B353" s="98"/>
      <c r="C353" s="99" t="s">
        <v>141</v>
      </c>
      <c r="D353" s="148"/>
      <c r="E353" s="148"/>
      <c r="F353" s="101"/>
      <c r="G353" s="98"/>
    </row>
    <row r="354" spans="1:7" ht="27.6" x14ac:dyDescent="0.25">
      <c r="A354" s="97" t="s">
        <v>577</v>
      </c>
      <c r="B354" s="98"/>
      <c r="C354" s="99" t="s">
        <v>140</v>
      </c>
      <c r="D354" s="148"/>
      <c r="E354" s="148"/>
      <c r="F354" s="107"/>
      <c r="G354" s="94" t="s">
        <v>681</v>
      </c>
    </row>
    <row r="355" spans="1:7" s="325" customFormat="1" ht="32.25" customHeight="1" x14ac:dyDescent="0.25">
      <c r="A355" s="122" t="s">
        <v>578</v>
      </c>
      <c r="B355" s="99"/>
      <c r="C355" s="99" t="s">
        <v>139</v>
      </c>
      <c r="D355" s="324"/>
      <c r="E355" s="324"/>
      <c r="F355" s="101"/>
      <c r="G355" s="99"/>
    </row>
    <row r="356" spans="1:7" x14ac:dyDescent="0.25">
      <c r="A356" s="95" t="s">
        <v>138</v>
      </c>
      <c r="B356" s="112" t="s">
        <v>137</v>
      </c>
      <c r="C356" s="99"/>
      <c r="D356" s="145"/>
      <c r="E356" s="145"/>
      <c r="F356" s="150"/>
      <c r="G356" s="98"/>
    </row>
    <row r="357" spans="1:7" ht="42" x14ac:dyDescent="0.25">
      <c r="A357" s="120" t="s">
        <v>580</v>
      </c>
      <c r="B357" s="109"/>
      <c r="C357" s="110" t="s">
        <v>1220</v>
      </c>
      <c r="D357" s="148"/>
      <c r="E357" s="148"/>
      <c r="F357" s="101"/>
      <c r="G357" s="98"/>
    </row>
    <row r="358" spans="1:7" ht="14.4" x14ac:dyDescent="0.25">
      <c r="A358" s="120" t="s">
        <v>830</v>
      </c>
      <c r="B358" s="109"/>
      <c r="C358" s="118" t="s">
        <v>980</v>
      </c>
      <c r="D358" s="148"/>
      <c r="E358" s="148"/>
      <c r="F358" s="101"/>
      <c r="G358" s="98"/>
    </row>
    <row r="359" spans="1:7" ht="14.4" x14ac:dyDescent="0.25">
      <c r="A359" s="120" t="s">
        <v>831</v>
      </c>
      <c r="B359" s="109"/>
      <c r="C359" s="110" t="s">
        <v>1085</v>
      </c>
      <c r="D359" s="148"/>
      <c r="E359" s="148"/>
      <c r="F359" s="101"/>
      <c r="G359" s="98"/>
    </row>
    <row r="360" spans="1:7" ht="14.4" x14ac:dyDescent="0.25">
      <c r="A360" s="120" t="s">
        <v>832</v>
      </c>
      <c r="B360" s="109"/>
      <c r="C360" s="110" t="s">
        <v>1221</v>
      </c>
      <c r="D360" s="148"/>
      <c r="E360" s="148"/>
      <c r="F360" s="101"/>
      <c r="G360" s="98"/>
    </row>
    <row r="361" spans="1:7" ht="14.4" x14ac:dyDescent="0.25">
      <c r="A361" s="120" t="s">
        <v>833</v>
      </c>
      <c r="B361" s="109"/>
      <c r="C361" s="110" t="s">
        <v>1222</v>
      </c>
      <c r="D361" s="148"/>
      <c r="E361" s="148"/>
      <c r="F361" s="101"/>
      <c r="G361" s="98"/>
    </row>
    <row r="362" spans="1:7" ht="14.4" x14ac:dyDescent="0.25">
      <c r="A362" s="120" t="s">
        <v>834</v>
      </c>
      <c r="B362" s="109"/>
      <c r="C362" s="110" t="s">
        <v>1223</v>
      </c>
      <c r="D362" s="148"/>
      <c r="E362" s="148"/>
      <c r="F362" s="101"/>
      <c r="G362" s="98"/>
    </row>
    <row r="363" spans="1:7" ht="28.2" x14ac:dyDescent="0.25">
      <c r="A363" s="120" t="s">
        <v>835</v>
      </c>
      <c r="B363" s="109"/>
      <c r="C363" s="110" t="s">
        <v>1224</v>
      </c>
      <c r="D363" s="148"/>
      <c r="E363" s="148"/>
      <c r="F363" s="107"/>
      <c r="G363" s="98"/>
    </row>
    <row r="364" spans="1:7" ht="27.6" x14ac:dyDescent="0.25">
      <c r="A364" s="97" t="s">
        <v>581</v>
      </c>
      <c r="B364" s="98"/>
      <c r="C364" s="99" t="s">
        <v>136</v>
      </c>
      <c r="D364" s="148"/>
      <c r="E364" s="148"/>
      <c r="F364" s="101"/>
      <c r="G364" s="98"/>
    </row>
    <row r="365" spans="1:7" ht="27.6" x14ac:dyDescent="0.25">
      <c r="A365" s="97" t="s">
        <v>582</v>
      </c>
      <c r="B365" s="98"/>
      <c r="C365" s="99" t="s">
        <v>135</v>
      </c>
      <c r="D365" s="148"/>
      <c r="E365" s="148"/>
      <c r="F365" s="101"/>
      <c r="G365" s="94" t="s">
        <v>726</v>
      </c>
    </row>
    <row r="366" spans="1:7" ht="42" x14ac:dyDescent="0.25">
      <c r="A366" s="120" t="s">
        <v>583</v>
      </c>
      <c r="B366" s="109"/>
      <c r="C366" s="110" t="s">
        <v>1225</v>
      </c>
      <c r="D366" s="148"/>
      <c r="E366" s="148"/>
      <c r="F366" s="101"/>
      <c r="G366" s="98"/>
    </row>
    <row r="367" spans="1:7" ht="14.4" x14ac:dyDescent="0.25">
      <c r="A367" s="120" t="s">
        <v>836</v>
      </c>
      <c r="B367" s="109"/>
      <c r="C367" s="110" t="s">
        <v>1088</v>
      </c>
      <c r="D367" s="148"/>
      <c r="E367" s="148"/>
      <c r="F367" s="101"/>
      <c r="G367" s="98"/>
    </row>
    <row r="368" spans="1:7" ht="14.4" x14ac:dyDescent="0.25">
      <c r="A368" s="120" t="s">
        <v>837</v>
      </c>
      <c r="B368" s="109"/>
      <c r="C368" s="110" t="s">
        <v>1085</v>
      </c>
      <c r="D368" s="148"/>
      <c r="E368" s="148"/>
      <c r="F368" s="101"/>
      <c r="G368" s="98"/>
    </row>
    <row r="369" spans="1:7" ht="14.4" x14ac:dyDescent="0.25">
      <c r="A369" s="120" t="s">
        <v>838</v>
      </c>
      <c r="B369" s="109"/>
      <c r="C369" s="110" t="s">
        <v>1221</v>
      </c>
      <c r="D369" s="148"/>
      <c r="E369" s="148"/>
      <c r="F369" s="101"/>
      <c r="G369" s="98"/>
    </row>
    <row r="370" spans="1:7" ht="14.4" x14ac:dyDescent="0.25">
      <c r="A370" s="120" t="s">
        <v>839</v>
      </c>
      <c r="B370" s="109"/>
      <c r="C370" s="110" t="s">
        <v>1222</v>
      </c>
      <c r="D370" s="148"/>
      <c r="E370" s="148"/>
      <c r="F370" s="101"/>
      <c r="G370" s="98"/>
    </row>
    <row r="371" spans="1:7" ht="14.4" x14ac:dyDescent="0.25">
      <c r="A371" s="120" t="s">
        <v>840</v>
      </c>
      <c r="B371" s="109"/>
      <c r="C371" s="110" t="s">
        <v>1223</v>
      </c>
      <c r="D371" s="148"/>
      <c r="E371" s="148"/>
      <c r="F371" s="101"/>
      <c r="G371" s="98"/>
    </row>
    <row r="372" spans="1:7" ht="28.2" x14ac:dyDescent="0.25">
      <c r="A372" s="120" t="s">
        <v>586</v>
      </c>
      <c r="B372" s="109"/>
      <c r="C372" s="110" t="s">
        <v>1226</v>
      </c>
      <c r="D372" s="148"/>
      <c r="E372" s="148"/>
      <c r="F372" s="107"/>
      <c r="G372" s="98"/>
    </row>
    <row r="373" spans="1:7" s="77" customFormat="1" ht="27.6" x14ac:dyDescent="0.25">
      <c r="A373" s="97" t="s">
        <v>584</v>
      </c>
      <c r="B373" s="98"/>
      <c r="C373" s="99" t="s">
        <v>585</v>
      </c>
      <c r="D373" s="148"/>
      <c r="E373" s="148"/>
      <c r="F373" s="101"/>
      <c r="G373" s="98"/>
    </row>
    <row r="374" spans="1:7" ht="14.4" thickBot="1" x14ac:dyDescent="0.3">
      <c r="A374" s="196"/>
      <c r="B374" s="131"/>
      <c r="C374" s="132"/>
      <c r="D374" s="197"/>
      <c r="E374" s="197"/>
      <c r="F374" s="134"/>
      <c r="G374" s="131"/>
    </row>
    <row r="375" spans="1:7" ht="17.399999999999999" x14ac:dyDescent="0.25">
      <c r="A375" s="188" t="s">
        <v>134</v>
      </c>
      <c r="B375" s="189" t="s">
        <v>133</v>
      </c>
      <c r="C375" s="190"/>
      <c r="D375" s="191"/>
      <c r="E375" s="192"/>
      <c r="F375" s="193"/>
      <c r="G375" s="194"/>
    </row>
    <row r="376" spans="1:7" ht="17.399999999999999" x14ac:dyDescent="0.25">
      <c r="A376" s="90"/>
      <c r="B376" s="94" t="s">
        <v>1440</v>
      </c>
      <c r="C376" s="94"/>
      <c r="D376" s="366"/>
      <c r="E376" s="366"/>
      <c r="F376" s="366"/>
      <c r="G376" s="91"/>
    </row>
    <row r="377" spans="1:7" x14ac:dyDescent="0.25">
      <c r="A377" s="151" t="s">
        <v>132</v>
      </c>
      <c r="B377" s="112" t="s">
        <v>131</v>
      </c>
      <c r="C377" s="99"/>
      <c r="D377" s="111"/>
      <c r="E377" s="111"/>
      <c r="F377" s="150"/>
      <c r="G377" s="98"/>
    </row>
    <row r="378" spans="1:7" ht="27.6" x14ac:dyDescent="0.25">
      <c r="A378" s="97" t="s">
        <v>587</v>
      </c>
      <c r="B378" s="98"/>
      <c r="C378" s="99" t="s">
        <v>130</v>
      </c>
      <c r="D378" s="148"/>
      <c r="E378" s="148"/>
      <c r="F378" s="101"/>
      <c r="G378" s="98"/>
    </row>
    <row r="379" spans="1:7" ht="27.6" x14ac:dyDescent="0.25">
      <c r="A379" s="97" t="s">
        <v>588</v>
      </c>
      <c r="B379" s="98"/>
      <c r="C379" s="99" t="s">
        <v>129</v>
      </c>
      <c r="D379" s="148"/>
      <c r="E379" s="148"/>
      <c r="F379" s="101"/>
      <c r="G379" s="271" t="s">
        <v>682</v>
      </c>
    </row>
    <row r="380" spans="1:7" ht="28.2" x14ac:dyDescent="0.25">
      <c r="A380" s="120" t="s">
        <v>589</v>
      </c>
      <c r="B380" s="109"/>
      <c r="C380" s="110" t="s">
        <v>1227</v>
      </c>
      <c r="D380" s="148"/>
      <c r="E380" s="148"/>
      <c r="F380" s="101"/>
      <c r="G380" s="98"/>
    </row>
    <row r="381" spans="1:7" ht="14.4" x14ac:dyDescent="0.25">
      <c r="A381" s="120" t="s">
        <v>841</v>
      </c>
      <c r="B381" s="109"/>
      <c r="C381" s="110" t="s">
        <v>1228</v>
      </c>
      <c r="D381" s="148"/>
      <c r="E381" s="148"/>
      <c r="F381" s="101"/>
      <c r="G381" s="98"/>
    </row>
    <row r="382" spans="1:7" ht="14.4" x14ac:dyDescent="0.25">
      <c r="A382" s="120" t="s">
        <v>842</v>
      </c>
      <c r="B382" s="109"/>
      <c r="C382" s="110" t="s">
        <v>1229</v>
      </c>
      <c r="D382" s="148"/>
      <c r="E382" s="148"/>
      <c r="F382" s="101"/>
      <c r="G382" s="98"/>
    </row>
    <row r="383" spans="1:7" ht="14.4" x14ac:dyDescent="0.25">
      <c r="A383" s="120" t="s">
        <v>843</v>
      </c>
      <c r="B383" s="109"/>
      <c r="C383" s="118" t="s">
        <v>1001</v>
      </c>
      <c r="D383" s="148"/>
      <c r="E383" s="148"/>
      <c r="F383" s="101"/>
      <c r="G383" s="98"/>
    </row>
    <row r="384" spans="1:7" ht="14.4" x14ac:dyDescent="0.25">
      <c r="A384" s="120" t="s">
        <v>844</v>
      </c>
      <c r="B384" s="109"/>
      <c r="C384" s="110" t="s">
        <v>1230</v>
      </c>
      <c r="D384" s="148"/>
      <c r="E384" s="148"/>
      <c r="F384" s="107"/>
      <c r="G384" s="98"/>
    </row>
    <row r="385" spans="1:7" ht="27.6" x14ac:dyDescent="0.25">
      <c r="A385" s="129" t="s">
        <v>590</v>
      </c>
      <c r="B385" s="98"/>
      <c r="C385" s="99" t="s">
        <v>128</v>
      </c>
      <c r="D385" s="148"/>
      <c r="E385" s="148"/>
      <c r="F385" s="101"/>
      <c r="G385" s="98"/>
    </row>
    <row r="386" spans="1:7" x14ac:dyDescent="0.25">
      <c r="A386" s="97" t="s">
        <v>591</v>
      </c>
      <c r="B386" s="98"/>
      <c r="C386" s="99" t="s">
        <v>127</v>
      </c>
      <c r="D386" s="148"/>
      <c r="E386" s="148"/>
      <c r="F386" s="101"/>
      <c r="G386" s="98"/>
    </row>
    <row r="387" spans="1:7" ht="41.4" x14ac:dyDescent="0.25">
      <c r="A387" s="97" t="s">
        <v>592</v>
      </c>
      <c r="B387" s="98"/>
      <c r="C387" s="99" t="s">
        <v>126</v>
      </c>
      <c r="D387" s="148"/>
      <c r="E387" s="148"/>
      <c r="F387" s="101"/>
      <c r="G387" s="98"/>
    </row>
    <row r="388" spans="1:7" x14ac:dyDescent="0.25">
      <c r="A388" s="95" t="s">
        <v>125</v>
      </c>
      <c r="B388" s="112" t="s">
        <v>124</v>
      </c>
      <c r="C388" s="198"/>
      <c r="D388" s="145"/>
      <c r="E388" s="145"/>
      <c r="F388" s="150"/>
      <c r="G388" s="98"/>
    </row>
    <row r="389" spans="1:7" ht="55.8" x14ac:dyDescent="0.25">
      <c r="A389" s="120" t="s">
        <v>593</v>
      </c>
      <c r="B389" s="109"/>
      <c r="C389" s="110" t="s">
        <v>1231</v>
      </c>
      <c r="D389" s="148"/>
      <c r="E389" s="148"/>
      <c r="F389" s="101"/>
      <c r="G389" s="98"/>
    </row>
    <row r="390" spans="1:7" ht="14.4" x14ac:dyDescent="0.25">
      <c r="A390" s="120" t="s">
        <v>595</v>
      </c>
      <c r="B390" s="109"/>
      <c r="C390" s="118" t="s">
        <v>1002</v>
      </c>
      <c r="D390" s="148"/>
      <c r="E390" s="148"/>
      <c r="F390" s="101"/>
      <c r="G390" s="98"/>
    </row>
    <row r="391" spans="1:7" ht="14.4" x14ac:dyDescent="0.25">
      <c r="A391" s="120" t="s">
        <v>594</v>
      </c>
      <c r="B391" s="109"/>
      <c r="C391" s="110" t="s">
        <v>1232</v>
      </c>
      <c r="D391" s="148"/>
      <c r="E391" s="148"/>
      <c r="F391" s="101"/>
      <c r="G391" s="98"/>
    </row>
    <row r="392" spans="1:7" ht="55.8" x14ac:dyDescent="0.25">
      <c r="A392" s="120" t="s">
        <v>596</v>
      </c>
      <c r="B392" s="109"/>
      <c r="C392" s="110" t="s">
        <v>1233</v>
      </c>
      <c r="D392" s="148"/>
      <c r="E392" s="148"/>
      <c r="F392" s="101"/>
      <c r="G392" s="98"/>
    </row>
    <row r="393" spans="1:7" ht="14.4" x14ac:dyDescent="0.25">
      <c r="A393" s="120" t="s">
        <v>845</v>
      </c>
      <c r="B393" s="109"/>
      <c r="C393" s="110" t="s">
        <v>1234</v>
      </c>
      <c r="D393" s="148"/>
      <c r="E393" s="148"/>
      <c r="F393" s="101"/>
      <c r="G393" s="98"/>
    </row>
    <row r="394" spans="1:7" ht="14.4" x14ac:dyDescent="0.25">
      <c r="A394" s="120" t="s">
        <v>846</v>
      </c>
      <c r="B394" s="109"/>
      <c r="C394" s="110" t="s">
        <v>1235</v>
      </c>
      <c r="D394" s="148"/>
      <c r="E394" s="148"/>
      <c r="F394" s="101"/>
      <c r="G394" s="98"/>
    </row>
    <row r="395" spans="1:7" ht="14.4" x14ac:dyDescent="0.25">
      <c r="A395" s="120" t="s">
        <v>847</v>
      </c>
      <c r="B395" s="109"/>
      <c r="C395" s="110" t="s">
        <v>1236</v>
      </c>
      <c r="D395" s="148"/>
      <c r="E395" s="148"/>
      <c r="F395" s="101"/>
      <c r="G395" s="98"/>
    </row>
    <row r="396" spans="1:7" ht="14.4" x14ac:dyDescent="0.25">
      <c r="A396" s="120" t="s">
        <v>848</v>
      </c>
      <c r="B396" s="109"/>
      <c r="C396" s="110" t="s">
        <v>1237</v>
      </c>
      <c r="D396" s="148"/>
      <c r="E396" s="148"/>
      <c r="F396" s="101"/>
      <c r="G396" s="98"/>
    </row>
    <row r="397" spans="1:7" ht="14.4" x14ac:dyDescent="0.25">
      <c r="A397" s="120" t="s">
        <v>849</v>
      </c>
      <c r="B397" s="109"/>
      <c r="C397" s="118" t="s">
        <v>1500</v>
      </c>
      <c r="D397" s="148"/>
      <c r="E397" s="148"/>
      <c r="F397" s="101"/>
      <c r="G397" s="98"/>
    </row>
    <row r="398" spans="1:7" ht="14.4" x14ac:dyDescent="0.25">
      <c r="A398" s="120" t="s">
        <v>850</v>
      </c>
      <c r="B398" s="109"/>
      <c r="C398" s="110" t="s">
        <v>1238</v>
      </c>
      <c r="D398" s="148"/>
      <c r="E398" s="148"/>
      <c r="F398" s="101"/>
      <c r="G398" s="98"/>
    </row>
    <row r="399" spans="1:7" ht="17.399999999999999" x14ac:dyDescent="0.25">
      <c r="A399" s="120" t="s">
        <v>704</v>
      </c>
      <c r="B399" s="109"/>
      <c r="C399" s="110" t="s">
        <v>1239</v>
      </c>
      <c r="D399" s="148"/>
      <c r="E399" s="148"/>
      <c r="F399" s="107"/>
      <c r="G399" s="91"/>
    </row>
    <row r="400" spans="1:7" ht="14.4" thickBot="1" x14ac:dyDescent="0.3">
      <c r="A400" s="196"/>
      <c r="B400" s="199"/>
      <c r="C400" s="200"/>
      <c r="D400" s="201"/>
      <c r="E400" s="201"/>
      <c r="F400" s="134"/>
      <c r="G400" s="199"/>
    </row>
    <row r="401" spans="1:7" ht="17.399999999999999" x14ac:dyDescent="0.25">
      <c r="A401" s="188" t="s">
        <v>123</v>
      </c>
      <c r="B401" s="189" t="s">
        <v>14</v>
      </c>
      <c r="C401" s="190"/>
      <c r="D401" s="191"/>
      <c r="E401" s="192"/>
      <c r="F401" s="193"/>
      <c r="G401" s="194"/>
    </row>
    <row r="402" spans="1:7" ht="17.399999999999999" x14ac:dyDescent="0.25">
      <c r="A402" s="90"/>
      <c r="B402" s="94" t="s">
        <v>1439</v>
      </c>
      <c r="C402" s="94"/>
      <c r="D402" s="366"/>
      <c r="E402" s="366"/>
      <c r="F402" s="366"/>
      <c r="G402" s="91"/>
    </row>
    <row r="403" spans="1:7" x14ac:dyDescent="0.25">
      <c r="A403" s="151" t="s">
        <v>122</v>
      </c>
      <c r="B403" s="112" t="s">
        <v>121</v>
      </c>
      <c r="C403" s="99"/>
      <c r="D403" s="111"/>
      <c r="E403" s="111"/>
      <c r="F403" s="150"/>
      <c r="G403" s="98"/>
    </row>
    <row r="404" spans="1:7" ht="27.6" x14ac:dyDescent="0.25">
      <c r="A404" s="97" t="s">
        <v>597</v>
      </c>
      <c r="B404" s="98"/>
      <c r="C404" s="99" t="s">
        <v>598</v>
      </c>
      <c r="D404" s="202"/>
      <c r="E404" s="202"/>
      <c r="F404" s="101"/>
      <c r="G404" s="272" t="s">
        <v>683</v>
      </c>
    </row>
    <row r="405" spans="1:7" ht="27.6" x14ac:dyDescent="0.25">
      <c r="A405" s="97" t="s">
        <v>605</v>
      </c>
      <c r="B405" s="98"/>
      <c r="C405" s="99" t="s">
        <v>120</v>
      </c>
      <c r="D405" s="202"/>
      <c r="E405" s="202"/>
      <c r="F405" s="101"/>
      <c r="G405" s="204"/>
    </row>
    <row r="406" spans="1:7" ht="55.8" x14ac:dyDescent="0.25">
      <c r="A406" s="120" t="s">
        <v>606</v>
      </c>
      <c r="B406" s="109"/>
      <c r="C406" s="110" t="s">
        <v>1240</v>
      </c>
      <c r="D406" s="202"/>
      <c r="E406" s="202"/>
      <c r="F406" s="101"/>
      <c r="G406" s="204"/>
    </row>
    <row r="407" spans="1:7" ht="14.4" x14ac:dyDescent="0.25">
      <c r="A407" s="120" t="s">
        <v>607</v>
      </c>
      <c r="B407" s="109"/>
      <c r="C407" s="110" t="s">
        <v>1241</v>
      </c>
      <c r="D407" s="202"/>
      <c r="E407" s="202"/>
      <c r="F407" s="101"/>
      <c r="G407" s="204"/>
    </row>
    <row r="408" spans="1:7" ht="14.4" x14ac:dyDescent="0.25">
      <c r="A408" s="120" t="s">
        <v>608</v>
      </c>
      <c r="B408" s="109"/>
      <c r="C408" s="110" t="s">
        <v>1242</v>
      </c>
      <c r="D408" s="202"/>
      <c r="E408" s="202"/>
      <c r="F408" s="101"/>
      <c r="G408" s="204"/>
    </row>
    <row r="409" spans="1:7" ht="14.4" x14ac:dyDescent="0.25">
      <c r="A409" s="120" t="s">
        <v>609</v>
      </c>
      <c r="B409" s="109"/>
      <c r="C409" s="110" t="s">
        <v>1243</v>
      </c>
      <c r="D409" s="202"/>
      <c r="E409" s="202"/>
      <c r="F409" s="101"/>
      <c r="G409" s="204"/>
    </row>
    <row r="410" spans="1:7" ht="27.6" x14ac:dyDescent="0.3">
      <c r="A410" s="97" t="s">
        <v>610</v>
      </c>
      <c r="B410" s="98"/>
      <c r="C410" s="99" t="s">
        <v>118</v>
      </c>
      <c r="D410" s="202"/>
      <c r="E410" s="202"/>
      <c r="F410" s="101"/>
      <c r="G410" s="205"/>
    </row>
    <row r="411" spans="1:7" ht="27.6" x14ac:dyDescent="0.25">
      <c r="A411" s="97" t="s">
        <v>611</v>
      </c>
      <c r="B411" s="98"/>
      <c r="C411" s="99" t="s">
        <v>117</v>
      </c>
      <c r="D411" s="202"/>
      <c r="E411" s="202"/>
      <c r="F411" s="101"/>
      <c r="G411" s="204"/>
    </row>
    <row r="412" spans="1:7" ht="27.6" x14ac:dyDescent="0.25">
      <c r="A412" s="97" t="s">
        <v>612</v>
      </c>
      <c r="B412" s="98"/>
      <c r="C412" s="99" t="s">
        <v>116</v>
      </c>
      <c r="D412" s="202"/>
      <c r="E412" s="202"/>
      <c r="F412" s="101"/>
      <c r="G412" s="204"/>
    </row>
    <row r="413" spans="1:7" ht="28.2" x14ac:dyDescent="0.25">
      <c r="A413" s="120" t="s">
        <v>613</v>
      </c>
      <c r="B413" s="109"/>
      <c r="C413" s="110" t="s">
        <v>1244</v>
      </c>
      <c r="D413" s="202"/>
      <c r="E413" s="202"/>
      <c r="F413" s="101"/>
      <c r="G413" s="204"/>
    </row>
    <row r="414" spans="1:7" ht="14.4" x14ac:dyDescent="0.25">
      <c r="A414" s="120" t="s">
        <v>851</v>
      </c>
      <c r="B414" s="109"/>
      <c r="C414" s="110" t="s">
        <v>1245</v>
      </c>
      <c r="D414" s="202"/>
      <c r="E414" s="202"/>
      <c r="F414" s="101"/>
      <c r="G414" s="204"/>
    </row>
    <row r="415" spans="1:7" ht="14.4" x14ac:dyDescent="0.25">
      <c r="A415" s="120" t="s">
        <v>852</v>
      </c>
      <c r="B415" s="109"/>
      <c r="C415" s="110" t="s">
        <v>1246</v>
      </c>
      <c r="D415" s="202"/>
      <c r="E415" s="202"/>
      <c r="F415" s="101"/>
      <c r="G415" s="204"/>
    </row>
    <row r="416" spans="1:7" ht="14.4" x14ac:dyDescent="0.25">
      <c r="A416" s="120" t="s">
        <v>853</v>
      </c>
      <c r="B416" s="109"/>
      <c r="C416" s="110" t="s">
        <v>1247</v>
      </c>
      <c r="D416" s="202"/>
      <c r="E416" s="202"/>
      <c r="F416" s="101"/>
      <c r="G416" s="204"/>
    </row>
    <row r="417" spans="1:7" ht="14.4" x14ac:dyDescent="0.25">
      <c r="A417" s="120" t="s">
        <v>854</v>
      </c>
      <c r="B417" s="109"/>
      <c r="C417" s="110" t="s">
        <v>1248</v>
      </c>
      <c r="D417" s="202"/>
      <c r="E417" s="202"/>
      <c r="F417" s="101"/>
      <c r="G417" s="204"/>
    </row>
    <row r="418" spans="1:7" ht="17.399999999999999" x14ac:dyDescent="0.3">
      <c r="A418" s="97" t="s">
        <v>614</v>
      </c>
      <c r="B418" s="98"/>
      <c r="C418" s="99" t="s">
        <v>1003</v>
      </c>
      <c r="D418" s="202"/>
      <c r="E418" s="202"/>
      <c r="F418" s="107"/>
      <c r="G418" s="205"/>
    </row>
    <row r="419" spans="1:7" ht="27.6" x14ac:dyDescent="0.25">
      <c r="A419" s="97" t="s">
        <v>615</v>
      </c>
      <c r="B419" s="98"/>
      <c r="C419" s="99" t="s">
        <v>115</v>
      </c>
      <c r="D419" s="202"/>
      <c r="E419" s="202"/>
      <c r="F419" s="101"/>
      <c r="G419" s="204"/>
    </row>
    <row r="420" spans="1:7" x14ac:dyDescent="0.25">
      <c r="A420" s="95" t="s">
        <v>114</v>
      </c>
      <c r="B420" s="112" t="s">
        <v>113</v>
      </c>
      <c r="C420" s="99"/>
      <c r="D420" s="206"/>
      <c r="E420" s="206"/>
      <c r="F420" s="150"/>
      <c r="G420" s="204"/>
    </row>
    <row r="421" spans="1:7" ht="27.6" x14ac:dyDescent="0.3">
      <c r="A421" s="97" t="s">
        <v>616</v>
      </c>
      <c r="B421" s="98"/>
      <c r="C421" s="99" t="s">
        <v>112</v>
      </c>
      <c r="D421" s="202"/>
      <c r="E421" s="202"/>
      <c r="F421" s="101"/>
      <c r="G421" s="205"/>
    </row>
    <row r="422" spans="1:7" ht="27.6" x14ac:dyDescent="0.25">
      <c r="A422" s="97" t="s">
        <v>599</v>
      </c>
      <c r="B422" s="98"/>
      <c r="C422" s="99" t="s">
        <v>111</v>
      </c>
      <c r="D422" s="202"/>
      <c r="E422" s="202"/>
      <c r="F422" s="101"/>
      <c r="G422" s="272" t="s">
        <v>684</v>
      </c>
    </row>
    <row r="423" spans="1:7" ht="42" x14ac:dyDescent="0.25">
      <c r="A423" s="120" t="s">
        <v>601</v>
      </c>
      <c r="B423" s="109"/>
      <c r="C423" s="110" t="s">
        <v>1249</v>
      </c>
      <c r="D423" s="202"/>
      <c r="E423" s="202"/>
      <c r="F423" s="101"/>
      <c r="G423" s="204"/>
    </row>
    <row r="424" spans="1:7" ht="14.4" x14ac:dyDescent="0.25">
      <c r="A424" s="120" t="s">
        <v>855</v>
      </c>
      <c r="B424" s="109"/>
      <c r="C424" s="110" t="s">
        <v>1250</v>
      </c>
      <c r="D424" s="202"/>
      <c r="E424" s="202"/>
      <c r="F424" s="101"/>
      <c r="G424" s="204"/>
    </row>
    <row r="425" spans="1:7" ht="14.4" x14ac:dyDescent="0.25">
      <c r="A425" s="120" t="s">
        <v>856</v>
      </c>
      <c r="B425" s="109"/>
      <c r="C425" s="110" t="s">
        <v>1251</v>
      </c>
      <c r="D425" s="202"/>
      <c r="E425" s="202"/>
      <c r="F425" s="101"/>
      <c r="G425" s="204"/>
    </row>
    <row r="426" spans="1:7" x14ac:dyDescent="0.25">
      <c r="A426" s="97" t="s">
        <v>600</v>
      </c>
      <c r="B426" s="98"/>
      <c r="C426" s="99" t="s">
        <v>110</v>
      </c>
      <c r="D426" s="202"/>
      <c r="E426" s="202"/>
      <c r="F426" s="101"/>
      <c r="G426" s="204"/>
    </row>
    <row r="427" spans="1:7" ht="27.6" x14ac:dyDescent="0.25">
      <c r="A427" s="97" t="s">
        <v>602</v>
      </c>
      <c r="B427" s="98"/>
      <c r="C427" s="99" t="s">
        <v>1004</v>
      </c>
      <c r="D427" s="202"/>
      <c r="E427" s="202"/>
      <c r="F427" s="107"/>
      <c r="G427" s="204"/>
    </row>
    <row r="428" spans="1:7" ht="27.6" x14ac:dyDescent="0.25">
      <c r="A428" s="97" t="s">
        <v>603</v>
      </c>
      <c r="B428" s="98"/>
      <c r="C428" s="99" t="s">
        <v>617</v>
      </c>
      <c r="D428" s="202"/>
      <c r="E428" s="202"/>
      <c r="F428" s="101"/>
      <c r="G428" s="204"/>
    </row>
    <row r="429" spans="1:7" ht="42" x14ac:dyDescent="0.25">
      <c r="A429" s="120" t="s">
        <v>604</v>
      </c>
      <c r="B429" s="109"/>
      <c r="C429" s="110" t="s">
        <v>1252</v>
      </c>
      <c r="D429" s="202"/>
      <c r="E429" s="202"/>
      <c r="F429" s="101"/>
      <c r="G429" s="204"/>
    </row>
    <row r="430" spans="1:7" ht="14.4" x14ac:dyDescent="0.25">
      <c r="A430" s="120" t="s">
        <v>857</v>
      </c>
      <c r="B430" s="109"/>
      <c r="C430" s="110" t="s">
        <v>1253</v>
      </c>
      <c r="D430" s="202"/>
      <c r="E430" s="202"/>
      <c r="F430" s="101"/>
      <c r="G430" s="204"/>
    </row>
    <row r="431" spans="1:7" ht="14.4" x14ac:dyDescent="0.25">
      <c r="A431" s="120" t="s">
        <v>858</v>
      </c>
      <c r="B431" s="109"/>
      <c r="C431" s="110" t="s">
        <v>1254</v>
      </c>
      <c r="D431" s="202"/>
      <c r="E431" s="202"/>
      <c r="F431" s="101"/>
      <c r="G431" s="204"/>
    </row>
    <row r="432" spans="1:7" ht="14.4" x14ac:dyDescent="0.25">
      <c r="A432" s="120" t="s">
        <v>859</v>
      </c>
      <c r="B432" s="109"/>
      <c r="C432" s="110" t="s">
        <v>1255</v>
      </c>
      <c r="D432" s="202"/>
      <c r="E432" s="202"/>
      <c r="F432" s="101"/>
      <c r="G432" s="204"/>
    </row>
    <row r="433" spans="1:7" x14ac:dyDescent="0.25">
      <c r="A433" s="207" t="s">
        <v>109</v>
      </c>
      <c r="B433" s="112" t="s">
        <v>24</v>
      </c>
      <c r="C433" s="99"/>
      <c r="D433" s="206"/>
      <c r="E433" s="206"/>
      <c r="F433" s="150"/>
      <c r="G433" s="204"/>
    </row>
    <row r="434" spans="1:7" ht="15.6" x14ac:dyDescent="0.3">
      <c r="A434" s="97" t="s">
        <v>618</v>
      </c>
      <c r="B434" s="98"/>
      <c r="C434" s="99" t="s">
        <v>108</v>
      </c>
      <c r="D434" s="202"/>
      <c r="E434" s="202"/>
      <c r="F434" s="101"/>
      <c r="G434" s="230" t="s">
        <v>685</v>
      </c>
    </row>
    <row r="435" spans="1:7" ht="27.6" x14ac:dyDescent="0.25">
      <c r="A435" s="103" t="s">
        <v>860</v>
      </c>
      <c r="B435" s="98"/>
      <c r="C435" s="99" t="s">
        <v>625</v>
      </c>
      <c r="D435" s="202"/>
      <c r="E435" s="202"/>
      <c r="F435" s="101"/>
      <c r="G435" s="204"/>
    </row>
    <row r="436" spans="1:7" x14ac:dyDescent="0.25">
      <c r="A436" s="103" t="s">
        <v>861</v>
      </c>
      <c r="B436" s="98"/>
      <c r="C436" s="99" t="s">
        <v>107</v>
      </c>
      <c r="D436" s="202"/>
      <c r="E436" s="202"/>
      <c r="F436" s="101"/>
      <c r="G436" s="204"/>
    </row>
    <row r="437" spans="1:7" ht="31.5" customHeight="1" x14ac:dyDescent="0.25">
      <c r="A437" s="103" t="s">
        <v>862</v>
      </c>
      <c r="B437" s="98"/>
      <c r="C437" s="99" t="s">
        <v>1005</v>
      </c>
      <c r="D437" s="202"/>
      <c r="E437" s="202"/>
      <c r="F437" s="107"/>
      <c r="G437" s="204"/>
    </row>
    <row r="438" spans="1:7" s="208" customFormat="1" x14ac:dyDescent="0.25">
      <c r="A438" s="103" t="s">
        <v>863</v>
      </c>
      <c r="B438" s="98"/>
      <c r="C438" s="98" t="s">
        <v>106</v>
      </c>
      <c r="D438" s="202"/>
      <c r="E438" s="202"/>
      <c r="F438" s="323"/>
      <c r="G438" s="204"/>
    </row>
    <row r="439" spans="1:7" ht="14.4" thickBot="1" x14ac:dyDescent="0.3">
      <c r="A439" s="209"/>
      <c r="B439" s="199"/>
      <c r="C439" s="200"/>
      <c r="D439" s="201"/>
      <c r="E439" s="201"/>
      <c r="F439" s="134"/>
      <c r="G439" s="199"/>
    </row>
    <row r="440" spans="1:7" ht="17.399999999999999" x14ac:dyDescent="0.25">
      <c r="A440" s="188" t="s">
        <v>105</v>
      </c>
      <c r="B440" s="189" t="s">
        <v>15</v>
      </c>
      <c r="C440" s="190"/>
      <c r="D440" s="191"/>
      <c r="E440" s="192"/>
      <c r="F440" s="193"/>
      <c r="G440" s="194"/>
    </row>
    <row r="441" spans="1:7" ht="17.399999999999999" x14ac:dyDescent="0.25">
      <c r="A441" s="90"/>
      <c r="B441" s="94" t="s">
        <v>1438</v>
      </c>
      <c r="C441" s="94"/>
      <c r="D441" s="366"/>
      <c r="E441" s="366"/>
      <c r="F441" s="366"/>
      <c r="G441" s="91"/>
    </row>
    <row r="442" spans="1:7" x14ac:dyDescent="0.25">
      <c r="A442" s="151" t="s">
        <v>104</v>
      </c>
      <c r="B442" s="112" t="s">
        <v>21</v>
      </c>
      <c r="C442" s="99"/>
      <c r="D442" s="111"/>
      <c r="E442" s="111"/>
      <c r="F442" s="150"/>
      <c r="G442" s="98"/>
    </row>
    <row r="443" spans="1:7" ht="50.4" x14ac:dyDescent="0.25">
      <c r="A443" s="103" t="s">
        <v>619</v>
      </c>
      <c r="B443" s="98"/>
      <c r="C443" s="99" t="s">
        <v>1256</v>
      </c>
      <c r="D443" s="202"/>
      <c r="E443" s="202"/>
      <c r="F443" s="101"/>
      <c r="G443" s="203"/>
    </row>
    <row r="444" spans="1:7" ht="42" x14ac:dyDescent="0.25">
      <c r="A444" s="108" t="s">
        <v>621</v>
      </c>
      <c r="B444" s="109"/>
      <c r="C444" s="110" t="s">
        <v>1257</v>
      </c>
      <c r="D444" s="210"/>
      <c r="E444" s="210"/>
      <c r="F444" s="101"/>
      <c r="G444" s="211"/>
    </row>
    <row r="445" spans="1:7" ht="14.4" x14ac:dyDescent="0.25">
      <c r="A445" s="108" t="s">
        <v>622</v>
      </c>
      <c r="B445" s="109"/>
      <c r="C445" s="110" t="s">
        <v>1258</v>
      </c>
      <c r="D445" s="210"/>
      <c r="E445" s="210"/>
      <c r="F445" s="101"/>
      <c r="G445" s="204"/>
    </row>
    <row r="446" spans="1:7" ht="27.6" x14ac:dyDescent="0.25">
      <c r="A446" s="103" t="s">
        <v>620</v>
      </c>
      <c r="B446" s="98"/>
      <c r="C446" s="99" t="s">
        <v>103</v>
      </c>
      <c r="D446" s="202"/>
      <c r="E446" s="202"/>
      <c r="F446" s="101"/>
      <c r="G446" s="204"/>
    </row>
    <row r="447" spans="1:7" ht="41.4" x14ac:dyDescent="0.25">
      <c r="A447" s="103" t="s">
        <v>864</v>
      </c>
      <c r="B447" s="98"/>
      <c r="C447" s="99" t="s">
        <v>102</v>
      </c>
      <c r="D447" s="202"/>
      <c r="E447" s="202"/>
      <c r="F447" s="101"/>
      <c r="G447" s="204"/>
    </row>
    <row r="448" spans="1:7" ht="27.6" x14ac:dyDescent="0.25">
      <c r="A448" s="103" t="s">
        <v>865</v>
      </c>
      <c r="B448" s="98"/>
      <c r="C448" s="99" t="s">
        <v>101</v>
      </c>
      <c r="D448" s="202"/>
      <c r="E448" s="202"/>
      <c r="F448" s="101"/>
      <c r="G448" s="204"/>
    </row>
    <row r="449" spans="1:7" x14ac:dyDescent="0.25">
      <c r="A449" s="212" t="s">
        <v>100</v>
      </c>
      <c r="B449" s="112" t="s">
        <v>99</v>
      </c>
      <c r="C449" s="99"/>
      <c r="D449" s="206"/>
      <c r="E449" s="206"/>
      <c r="F449" s="150"/>
      <c r="G449" s="204"/>
    </row>
    <row r="450" spans="1:7" ht="15.6" x14ac:dyDescent="0.25">
      <c r="A450" s="103" t="s">
        <v>623</v>
      </c>
      <c r="B450" s="98"/>
      <c r="C450" s="99" t="s">
        <v>98</v>
      </c>
      <c r="D450" s="202"/>
      <c r="E450" s="202"/>
      <c r="F450" s="101"/>
      <c r="G450" s="272" t="s">
        <v>686</v>
      </c>
    </row>
    <row r="451" spans="1:7" ht="27.6" x14ac:dyDescent="0.25">
      <c r="A451" s="103" t="s">
        <v>866</v>
      </c>
      <c r="B451" s="98"/>
      <c r="C451" s="99" t="s">
        <v>97</v>
      </c>
      <c r="D451" s="202"/>
      <c r="E451" s="202"/>
      <c r="F451" s="101"/>
      <c r="G451" s="204"/>
    </row>
    <row r="452" spans="1:7" ht="27.6" x14ac:dyDescent="0.25">
      <c r="A452" s="97" t="s">
        <v>1007</v>
      </c>
      <c r="B452" s="98"/>
      <c r="C452" s="99" t="s">
        <v>1006</v>
      </c>
      <c r="D452" s="202"/>
      <c r="E452" s="202"/>
      <c r="F452" s="107"/>
      <c r="G452" s="204"/>
    </row>
    <row r="453" spans="1:7" ht="41.4" x14ac:dyDescent="0.25">
      <c r="A453" s="103" t="s">
        <v>867</v>
      </c>
      <c r="B453" s="98"/>
      <c r="C453" s="99" t="s">
        <v>1009</v>
      </c>
      <c r="D453" s="202"/>
      <c r="E453" s="202"/>
      <c r="F453" s="107"/>
      <c r="G453" s="204"/>
    </row>
    <row r="454" spans="1:7" ht="27.6" x14ac:dyDescent="0.25">
      <c r="A454" s="103" t="s">
        <v>868</v>
      </c>
      <c r="B454" s="98"/>
      <c r="C454" s="99" t="s">
        <v>96</v>
      </c>
      <c r="D454" s="202"/>
      <c r="E454" s="202"/>
      <c r="F454" s="107"/>
      <c r="G454" s="204"/>
    </row>
    <row r="455" spans="1:7" ht="41.4" x14ac:dyDescent="0.25">
      <c r="A455" s="103" t="s">
        <v>869</v>
      </c>
      <c r="B455" s="98"/>
      <c r="C455" s="99" t="s">
        <v>95</v>
      </c>
      <c r="D455" s="202"/>
      <c r="E455" s="202"/>
      <c r="F455" s="107"/>
      <c r="G455" s="204"/>
    </row>
    <row r="456" spans="1:7" s="77" customFormat="1" ht="52.8" x14ac:dyDescent="0.25">
      <c r="A456" s="103" t="s">
        <v>1008</v>
      </c>
      <c r="B456" s="98"/>
      <c r="C456" s="99" t="s">
        <v>1259</v>
      </c>
      <c r="D456" s="202"/>
      <c r="E456" s="202"/>
      <c r="F456" s="107"/>
      <c r="G456" s="204"/>
    </row>
    <row r="457" spans="1:7" s="77" customFormat="1" ht="14.4" thickBot="1" x14ac:dyDescent="0.3">
      <c r="A457" s="196"/>
      <c r="B457" s="199"/>
      <c r="C457" s="200"/>
      <c r="D457" s="201"/>
      <c r="E457" s="201"/>
      <c r="F457" s="134"/>
      <c r="G457" s="199"/>
    </row>
    <row r="458" spans="1:7" ht="17.399999999999999" x14ac:dyDescent="0.25">
      <c r="A458" s="188" t="s">
        <v>94</v>
      </c>
      <c r="B458" s="189" t="s">
        <v>16</v>
      </c>
      <c r="C458" s="190"/>
      <c r="D458" s="191"/>
      <c r="E458" s="192"/>
      <c r="F458" s="193"/>
      <c r="G458" s="194"/>
    </row>
    <row r="459" spans="1:7" ht="17.399999999999999" x14ac:dyDescent="0.25">
      <c r="A459" s="90"/>
      <c r="B459" s="94" t="s">
        <v>1437</v>
      </c>
      <c r="C459" s="94"/>
      <c r="D459" s="366"/>
      <c r="E459" s="366"/>
      <c r="F459" s="366"/>
      <c r="G459" s="91"/>
    </row>
    <row r="460" spans="1:7" x14ac:dyDescent="0.25">
      <c r="A460" s="151" t="s">
        <v>93</v>
      </c>
      <c r="B460" s="112" t="s">
        <v>92</v>
      </c>
      <c r="C460" s="99"/>
      <c r="D460" s="379"/>
      <c r="E460" s="379"/>
      <c r="F460" s="379"/>
      <c r="G460" s="98"/>
    </row>
    <row r="461" spans="1:7" x14ac:dyDescent="0.25">
      <c r="A461" s="103" t="s">
        <v>624</v>
      </c>
      <c r="B461" s="98"/>
      <c r="C461" s="99" t="s">
        <v>91</v>
      </c>
      <c r="D461" s="213"/>
      <c r="E461" s="213"/>
      <c r="F461" s="117"/>
      <c r="G461" s="204"/>
    </row>
    <row r="462" spans="1:7" ht="27.6" x14ac:dyDescent="0.25">
      <c r="A462" s="103" t="s">
        <v>870</v>
      </c>
      <c r="B462" s="98"/>
      <c r="C462" s="99" t="s">
        <v>90</v>
      </c>
      <c r="D462" s="202"/>
      <c r="E462" s="202"/>
      <c r="F462" s="101"/>
      <c r="G462" s="204"/>
    </row>
    <row r="463" spans="1:7" ht="16.5" customHeight="1" x14ac:dyDescent="0.25">
      <c r="A463" s="103" t="s">
        <v>871</v>
      </c>
      <c r="B463" s="98"/>
      <c r="C463" s="99" t="s">
        <v>646</v>
      </c>
      <c r="D463" s="202"/>
      <c r="E463" s="202"/>
      <c r="F463" s="101"/>
      <c r="G463" s="204"/>
    </row>
    <row r="464" spans="1:7" ht="27.6" x14ac:dyDescent="0.25">
      <c r="A464" s="103" t="s">
        <v>647</v>
      </c>
      <c r="B464" s="98"/>
      <c r="C464" s="99" t="s">
        <v>648</v>
      </c>
      <c r="D464" s="202"/>
      <c r="E464" s="202"/>
      <c r="F464" s="101"/>
      <c r="G464" s="204"/>
    </row>
    <row r="465" spans="1:7" ht="41.4" x14ac:dyDescent="0.25">
      <c r="A465" s="103" t="s">
        <v>872</v>
      </c>
      <c r="B465" s="98"/>
      <c r="C465" s="99" t="s">
        <v>1010</v>
      </c>
      <c r="D465" s="202"/>
      <c r="E465" s="202"/>
      <c r="F465" s="107"/>
      <c r="G465" s="204"/>
    </row>
    <row r="466" spans="1:7" ht="27.6" x14ac:dyDescent="0.25">
      <c r="A466" s="103" t="s">
        <v>873</v>
      </c>
      <c r="B466" s="98"/>
      <c r="C466" s="99" t="s">
        <v>89</v>
      </c>
      <c r="D466" s="202"/>
      <c r="E466" s="202"/>
      <c r="F466" s="101"/>
      <c r="G466" s="204"/>
    </row>
    <row r="467" spans="1:7" ht="41.4" x14ac:dyDescent="0.25">
      <c r="A467" s="103" t="s">
        <v>649</v>
      </c>
      <c r="B467" s="98"/>
      <c r="C467" s="99" t="s">
        <v>1050</v>
      </c>
      <c r="D467" s="202"/>
      <c r="E467" s="202"/>
      <c r="F467" s="101"/>
      <c r="G467" s="204"/>
    </row>
    <row r="468" spans="1:7" x14ac:dyDescent="0.25">
      <c r="A468" s="95" t="s">
        <v>88</v>
      </c>
      <c r="B468" s="112" t="s">
        <v>87</v>
      </c>
      <c r="C468" s="99"/>
      <c r="D468" s="206"/>
      <c r="E468" s="206"/>
      <c r="F468" s="150"/>
      <c r="G468" s="204"/>
    </row>
    <row r="469" spans="1:7" ht="41.4" x14ac:dyDescent="0.25">
      <c r="A469" s="97" t="s">
        <v>626</v>
      </c>
      <c r="B469" s="98"/>
      <c r="C469" s="99" t="s">
        <v>86</v>
      </c>
      <c r="D469" s="202"/>
      <c r="E469" s="202"/>
      <c r="F469" s="107"/>
      <c r="G469" s="204"/>
    </row>
    <row r="470" spans="1:7" ht="27.6" x14ac:dyDescent="0.25">
      <c r="A470" s="103" t="s">
        <v>874</v>
      </c>
      <c r="B470" s="98"/>
      <c r="C470" s="99" t="s">
        <v>627</v>
      </c>
      <c r="D470" s="202"/>
      <c r="E470" s="202"/>
      <c r="F470" s="101"/>
      <c r="G470" s="204"/>
    </row>
    <row r="471" spans="1:7" x14ac:dyDescent="0.25">
      <c r="A471" s="103" t="s">
        <v>875</v>
      </c>
      <c r="B471" s="98"/>
      <c r="C471" s="99" t="s">
        <v>85</v>
      </c>
      <c r="D471" s="202"/>
      <c r="E471" s="202"/>
      <c r="F471" s="101"/>
      <c r="G471" s="204"/>
    </row>
    <row r="472" spans="1:7" ht="41.4" x14ac:dyDescent="0.25">
      <c r="A472" s="103" t="s">
        <v>876</v>
      </c>
      <c r="B472" s="98"/>
      <c r="C472" s="99" t="s">
        <v>84</v>
      </c>
      <c r="D472" s="202"/>
      <c r="E472" s="202"/>
      <c r="F472" s="101"/>
      <c r="G472" s="204"/>
    </row>
    <row r="473" spans="1:7" ht="28.2" x14ac:dyDescent="0.25">
      <c r="A473" s="108" t="s">
        <v>628</v>
      </c>
      <c r="B473" s="109"/>
      <c r="C473" s="110" t="s">
        <v>1260</v>
      </c>
      <c r="D473" s="202"/>
      <c r="E473" s="202"/>
      <c r="F473" s="101"/>
      <c r="G473" s="204"/>
    </row>
    <row r="474" spans="1:7" ht="14.4" x14ac:dyDescent="0.25">
      <c r="A474" s="120" t="s">
        <v>877</v>
      </c>
      <c r="B474" s="109"/>
      <c r="C474" s="110" t="s">
        <v>1261</v>
      </c>
      <c r="D474" s="202"/>
      <c r="E474" s="202"/>
      <c r="F474" s="101"/>
      <c r="G474" s="204"/>
    </row>
    <row r="475" spans="1:7" ht="14.4" x14ac:dyDescent="0.25">
      <c r="A475" s="120" t="s">
        <v>878</v>
      </c>
      <c r="B475" s="109"/>
      <c r="C475" s="110" t="s">
        <v>1262</v>
      </c>
      <c r="D475" s="202"/>
      <c r="E475" s="202"/>
      <c r="F475" s="101"/>
      <c r="G475" s="204"/>
    </row>
    <row r="476" spans="1:7" ht="14.4" x14ac:dyDescent="0.25">
      <c r="A476" s="120" t="s">
        <v>879</v>
      </c>
      <c r="B476" s="109"/>
      <c r="C476" s="110" t="s">
        <v>1263</v>
      </c>
      <c r="D476" s="202"/>
      <c r="E476" s="202"/>
      <c r="F476" s="101"/>
      <c r="G476" s="204"/>
    </row>
    <row r="477" spans="1:7" ht="17.399999999999999" x14ac:dyDescent="0.25">
      <c r="A477" s="103" t="s">
        <v>880</v>
      </c>
      <c r="B477" s="98"/>
      <c r="C477" s="99" t="s">
        <v>1011</v>
      </c>
      <c r="D477" s="202"/>
      <c r="E477" s="202"/>
      <c r="F477" s="101"/>
      <c r="G477" s="203"/>
    </row>
    <row r="478" spans="1:7" x14ac:dyDescent="0.25">
      <c r="A478" s="95" t="s">
        <v>83</v>
      </c>
      <c r="B478" s="112" t="s">
        <v>82</v>
      </c>
      <c r="C478" s="99"/>
      <c r="D478" s="206"/>
      <c r="E478" s="206"/>
      <c r="F478" s="150"/>
      <c r="G478" s="204"/>
    </row>
    <row r="479" spans="1:7" ht="63" customHeight="1" x14ac:dyDescent="0.25">
      <c r="A479" s="120" t="s">
        <v>629</v>
      </c>
      <c r="B479" s="109"/>
      <c r="C479" s="110" t="s">
        <v>1264</v>
      </c>
      <c r="D479" s="202"/>
      <c r="E479" s="202"/>
      <c r="F479" s="101"/>
      <c r="G479" s="204"/>
    </row>
    <row r="480" spans="1:7" ht="14.4" x14ac:dyDescent="0.25">
      <c r="A480" s="120" t="s">
        <v>881</v>
      </c>
      <c r="B480" s="109"/>
      <c r="C480" s="110" t="s">
        <v>1265</v>
      </c>
      <c r="D480" s="202"/>
      <c r="E480" s="202"/>
      <c r="F480" s="101"/>
      <c r="G480" s="204"/>
    </row>
    <row r="481" spans="1:7" ht="14.4" x14ac:dyDescent="0.25">
      <c r="A481" s="120" t="s">
        <v>882</v>
      </c>
      <c r="B481" s="109"/>
      <c r="C481" s="110" t="s">
        <v>1266</v>
      </c>
      <c r="D481" s="202"/>
      <c r="E481" s="202"/>
      <c r="F481" s="101"/>
      <c r="G481" s="204"/>
    </row>
    <row r="482" spans="1:7" ht="14.4" x14ac:dyDescent="0.25">
      <c r="A482" s="120" t="s">
        <v>883</v>
      </c>
      <c r="B482" s="109"/>
      <c r="C482" s="110" t="s">
        <v>1267</v>
      </c>
      <c r="D482" s="202"/>
      <c r="E482" s="202"/>
      <c r="F482" s="101"/>
      <c r="G482" s="204"/>
    </row>
    <row r="483" spans="1:7" ht="14.4" x14ac:dyDescent="0.25">
      <c r="A483" s="120" t="s">
        <v>884</v>
      </c>
      <c r="B483" s="109"/>
      <c r="C483" s="110" t="s">
        <v>1268</v>
      </c>
      <c r="D483" s="202"/>
      <c r="E483" s="202"/>
      <c r="F483" s="101"/>
      <c r="G483" s="204"/>
    </row>
    <row r="484" spans="1:7" ht="14.4" x14ac:dyDescent="0.25">
      <c r="A484" s="120" t="s">
        <v>885</v>
      </c>
      <c r="B484" s="109"/>
      <c r="C484" s="110" t="s">
        <v>1269</v>
      </c>
      <c r="D484" s="202"/>
      <c r="E484" s="202"/>
      <c r="F484" s="101"/>
      <c r="G484" s="204"/>
    </row>
    <row r="485" spans="1:7" ht="28.8" x14ac:dyDescent="0.25">
      <c r="A485" s="120" t="s">
        <v>886</v>
      </c>
      <c r="B485" s="109"/>
      <c r="C485" s="110" t="s">
        <v>1270</v>
      </c>
      <c r="D485" s="202"/>
      <c r="E485" s="202"/>
      <c r="F485" s="101"/>
      <c r="G485" s="204"/>
    </row>
    <row r="486" spans="1:7" ht="14.4" x14ac:dyDescent="0.25">
      <c r="A486" s="120" t="s">
        <v>887</v>
      </c>
      <c r="B486" s="109"/>
      <c r="C486" s="110" t="s">
        <v>1271</v>
      </c>
      <c r="D486" s="202"/>
      <c r="E486" s="202"/>
      <c r="F486" s="101"/>
      <c r="G486" s="204"/>
    </row>
    <row r="487" spans="1:7" ht="14.4" x14ac:dyDescent="0.25">
      <c r="A487" s="120" t="s">
        <v>888</v>
      </c>
      <c r="B487" s="109"/>
      <c r="C487" s="110" t="s">
        <v>1501</v>
      </c>
      <c r="D487" s="202"/>
      <c r="E487" s="202"/>
      <c r="F487" s="101"/>
      <c r="G487" s="204"/>
    </row>
    <row r="488" spans="1:7" ht="14.4" x14ac:dyDescent="0.25">
      <c r="A488" s="120" t="s">
        <v>889</v>
      </c>
      <c r="B488" s="109"/>
      <c r="C488" s="110" t="s">
        <v>1272</v>
      </c>
      <c r="D488" s="202"/>
      <c r="E488" s="202"/>
      <c r="F488" s="101"/>
      <c r="G488" s="204"/>
    </row>
    <row r="489" spans="1:7" ht="14.4" x14ac:dyDescent="0.25">
      <c r="A489" s="120" t="s">
        <v>890</v>
      </c>
      <c r="B489" s="109"/>
      <c r="C489" s="110" t="s">
        <v>1273</v>
      </c>
      <c r="D489" s="202"/>
      <c r="E489" s="202"/>
      <c r="F489" s="101"/>
      <c r="G489" s="204"/>
    </row>
    <row r="490" spans="1:7" ht="14.4" x14ac:dyDescent="0.25">
      <c r="A490" s="120" t="s">
        <v>891</v>
      </c>
      <c r="B490" s="109"/>
      <c r="C490" s="110" t="s">
        <v>1274</v>
      </c>
      <c r="D490" s="202"/>
      <c r="E490" s="202"/>
      <c r="F490" s="101"/>
      <c r="G490" s="204"/>
    </row>
    <row r="491" spans="1:7" ht="14.4" x14ac:dyDescent="0.25">
      <c r="A491" s="120" t="s">
        <v>892</v>
      </c>
      <c r="B491" s="109"/>
      <c r="C491" s="110" t="s">
        <v>1275</v>
      </c>
      <c r="D491" s="202"/>
      <c r="E491" s="202"/>
      <c r="F491" s="101"/>
      <c r="G491" s="204"/>
    </row>
    <row r="492" spans="1:7" ht="14.4" x14ac:dyDescent="0.25">
      <c r="A492" s="120" t="s">
        <v>893</v>
      </c>
      <c r="B492" s="109"/>
      <c r="C492" s="110" t="s">
        <v>1276</v>
      </c>
      <c r="D492" s="202"/>
      <c r="E492" s="202"/>
      <c r="F492" s="101"/>
      <c r="G492" s="204"/>
    </row>
    <row r="493" spans="1:7" ht="14.4" x14ac:dyDescent="0.25">
      <c r="A493" s="120" t="s">
        <v>894</v>
      </c>
      <c r="B493" s="109"/>
      <c r="C493" s="110" t="s">
        <v>1277</v>
      </c>
      <c r="D493" s="202"/>
      <c r="E493" s="202"/>
      <c r="F493" s="101"/>
      <c r="G493" s="204"/>
    </row>
    <row r="494" spans="1:7" ht="14.4" x14ac:dyDescent="0.25">
      <c r="A494" s="120" t="s">
        <v>895</v>
      </c>
      <c r="B494" s="109"/>
      <c r="C494" s="110" t="s">
        <v>1278</v>
      </c>
      <c r="D494" s="202"/>
      <c r="E494" s="202"/>
      <c r="F494" s="101"/>
      <c r="G494" s="204"/>
    </row>
    <row r="495" spans="1:7" ht="14.4" x14ac:dyDescent="0.25">
      <c r="A495" s="120" t="s">
        <v>896</v>
      </c>
      <c r="B495" s="109"/>
      <c r="C495" s="110" t="s">
        <v>1279</v>
      </c>
      <c r="D495" s="202"/>
      <c r="E495" s="202"/>
      <c r="F495" s="101"/>
      <c r="G495" s="204"/>
    </row>
    <row r="496" spans="1:7" ht="14.4" x14ac:dyDescent="0.25">
      <c r="A496" s="120" t="s">
        <v>897</v>
      </c>
      <c r="B496" s="109"/>
      <c r="C496" s="110" t="s">
        <v>1280</v>
      </c>
      <c r="D496" s="202"/>
      <c r="E496" s="202"/>
      <c r="F496" s="101"/>
      <c r="G496" s="204"/>
    </row>
    <row r="497" spans="1:7" ht="14.4" x14ac:dyDescent="0.25">
      <c r="A497" s="120" t="s">
        <v>898</v>
      </c>
      <c r="B497" s="109"/>
      <c r="C497" s="110" t="s">
        <v>1281</v>
      </c>
      <c r="D497" s="202"/>
      <c r="E497" s="202"/>
      <c r="F497" s="101"/>
      <c r="G497" s="204"/>
    </row>
    <row r="498" spans="1:7" ht="14.4" x14ac:dyDescent="0.25">
      <c r="A498" s="120" t="s">
        <v>899</v>
      </c>
      <c r="B498" s="109"/>
      <c r="C498" s="110" t="s">
        <v>1282</v>
      </c>
      <c r="D498" s="202"/>
      <c r="E498" s="202"/>
      <c r="F498" s="101"/>
      <c r="G498" s="204"/>
    </row>
    <row r="499" spans="1:7" ht="14.4" x14ac:dyDescent="0.25">
      <c r="A499" s="120" t="s">
        <v>900</v>
      </c>
      <c r="B499" s="109"/>
      <c r="C499" s="110" t="s">
        <v>1283</v>
      </c>
      <c r="D499" s="202"/>
      <c r="E499" s="202"/>
      <c r="F499" s="101"/>
      <c r="G499" s="204"/>
    </row>
    <row r="500" spans="1:7" ht="14.4" x14ac:dyDescent="0.25">
      <c r="A500" s="120" t="s">
        <v>901</v>
      </c>
      <c r="B500" s="109"/>
      <c r="C500" s="110" t="s">
        <v>1284</v>
      </c>
      <c r="D500" s="202"/>
      <c r="E500" s="202"/>
      <c r="F500" s="101"/>
      <c r="G500" s="204"/>
    </row>
    <row r="501" spans="1:7" ht="14.4" x14ac:dyDescent="0.25">
      <c r="A501" s="120" t="s">
        <v>902</v>
      </c>
      <c r="B501" s="109"/>
      <c r="C501" s="110" t="s">
        <v>1285</v>
      </c>
      <c r="D501" s="202"/>
      <c r="E501" s="202"/>
      <c r="F501" s="101"/>
      <c r="G501" s="204"/>
    </row>
    <row r="502" spans="1:7" ht="14.4" x14ac:dyDescent="0.25">
      <c r="A502" s="120" t="s">
        <v>903</v>
      </c>
      <c r="B502" s="109"/>
      <c r="C502" s="110" t="s">
        <v>1286</v>
      </c>
      <c r="D502" s="202"/>
      <c r="E502" s="202"/>
      <c r="F502" s="101"/>
      <c r="G502" s="204"/>
    </row>
    <row r="503" spans="1:7" ht="14.4" x14ac:dyDescent="0.25">
      <c r="A503" s="120" t="s">
        <v>904</v>
      </c>
      <c r="B503" s="109"/>
      <c r="C503" s="110" t="s">
        <v>1287</v>
      </c>
      <c r="D503" s="202"/>
      <c r="E503" s="202"/>
      <c r="F503" s="101"/>
      <c r="G503" s="204"/>
    </row>
    <row r="504" spans="1:7" ht="14.4" x14ac:dyDescent="0.25">
      <c r="A504" s="120" t="s">
        <v>905</v>
      </c>
      <c r="B504" s="109"/>
      <c r="C504" s="110" t="s">
        <v>1288</v>
      </c>
      <c r="D504" s="202"/>
      <c r="E504" s="202"/>
      <c r="F504" s="107"/>
      <c r="G504" s="204"/>
    </row>
    <row r="505" spans="1:7" x14ac:dyDescent="0.25">
      <c r="A505" s="95" t="s">
        <v>80</v>
      </c>
      <c r="B505" s="112" t="s">
        <v>79</v>
      </c>
      <c r="C505" s="195"/>
      <c r="D505" s="206"/>
      <c r="E505" s="206"/>
      <c r="F505" s="150"/>
      <c r="G505" s="204"/>
    </row>
    <row r="506" spans="1:7" ht="59.25" customHeight="1" x14ac:dyDescent="0.25">
      <c r="A506" s="120" t="s">
        <v>630</v>
      </c>
      <c r="B506" s="109"/>
      <c r="C506" s="110" t="s">
        <v>1289</v>
      </c>
      <c r="D506" s="202"/>
      <c r="E506" s="202"/>
      <c r="F506" s="101"/>
      <c r="G506" s="204"/>
    </row>
    <row r="507" spans="1:7" ht="30.75" customHeight="1" x14ac:dyDescent="0.25">
      <c r="A507" s="120" t="s">
        <v>906</v>
      </c>
      <c r="B507" s="109"/>
      <c r="C507" s="110" t="s">
        <v>1290</v>
      </c>
      <c r="D507" s="202"/>
      <c r="E507" s="202"/>
      <c r="F507" s="101"/>
      <c r="G507" s="204"/>
    </row>
    <row r="508" spans="1:7" ht="14.4" x14ac:dyDescent="0.25">
      <c r="A508" s="120" t="s">
        <v>907</v>
      </c>
      <c r="B508" s="109"/>
      <c r="C508" s="110" t="s">
        <v>1291</v>
      </c>
      <c r="D508" s="202"/>
      <c r="E508" s="202"/>
      <c r="F508" s="101"/>
      <c r="G508" s="204"/>
    </row>
    <row r="509" spans="1:7" ht="14.4" x14ac:dyDescent="0.25">
      <c r="A509" s="120" t="s">
        <v>908</v>
      </c>
      <c r="B509" s="109"/>
      <c r="C509" s="110" t="s">
        <v>1292</v>
      </c>
      <c r="D509" s="202"/>
      <c r="E509" s="202"/>
      <c r="F509" s="101"/>
      <c r="G509" s="204"/>
    </row>
    <row r="510" spans="1:7" ht="14.4" x14ac:dyDescent="0.25">
      <c r="A510" s="120" t="s">
        <v>909</v>
      </c>
      <c r="B510" s="109"/>
      <c r="C510" s="110" t="s">
        <v>1293</v>
      </c>
      <c r="D510" s="202"/>
      <c r="E510" s="202"/>
      <c r="F510" s="101"/>
      <c r="G510" s="204"/>
    </row>
    <row r="511" spans="1:7" ht="14.4" x14ac:dyDescent="0.25">
      <c r="A511" s="120" t="s">
        <v>910</v>
      </c>
      <c r="B511" s="109"/>
      <c r="C511" s="110" t="s">
        <v>1294</v>
      </c>
      <c r="D511" s="202"/>
      <c r="E511" s="202"/>
      <c r="F511" s="101"/>
      <c r="G511" s="204"/>
    </row>
    <row r="512" spans="1:7" ht="14.4" x14ac:dyDescent="0.25">
      <c r="A512" s="120" t="s">
        <v>911</v>
      </c>
      <c r="B512" s="109"/>
      <c r="C512" s="110" t="s">
        <v>1295</v>
      </c>
      <c r="D512" s="202"/>
      <c r="E512" s="202"/>
      <c r="F512" s="101"/>
      <c r="G512" s="204"/>
    </row>
    <row r="513" spans="1:7" ht="28.5" customHeight="1" x14ac:dyDescent="0.25">
      <c r="A513" s="120" t="s">
        <v>912</v>
      </c>
      <c r="B513" s="109"/>
      <c r="C513" s="110" t="s">
        <v>1296</v>
      </c>
      <c r="D513" s="202"/>
      <c r="E513" s="202"/>
      <c r="F513" s="101"/>
      <c r="G513" s="204"/>
    </row>
    <row r="514" spans="1:7" ht="14.4" x14ac:dyDescent="0.25">
      <c r="A514" s="120" t="s">
        <v>913</v>
      </c>
      <c r="B514" s="109"/>
      <c r="C514" s="110" t="s">
        <v>1297</v>
      </c>
      <c r="D514" s="202"/>
      <c r="E514" s="202"/>
      <c r="F514" s="101"/>
      <c r="G514" s="204"/>
    </row>
    <row r="515" spans="1:7" ht="28.8" x14ac:dyDescent="0.25">
      <c r="A515" s="120" t="s">
        <v>914</v>
      </c>
      <c r="B515" s="109"/>
      <c r="C515" s="110" t="s">
        <v>1298</v>
      </c>
      <c r="D515" s="202"/>
      <c r="E515" s="202"/>
      <c r="F515" s="101"/>
      <c r="G515" s="204"/>
    </row>
    <row r="516" spans="1:7" ht="14.4" x14ac:dyDescent="0.25">
      <c r="A516" s="120" t="s">
        <v>915</v>
      </c>
      <c r="B516" s="109"/>
      <c r="C516" s="110" t="s">
        <v>1569</v>
      </c>
      <c r="D516" s="202"/>
      <c r="E516" s="202"/>
      <c r="F516" s="101"/>
      <c r="G516" s="204"/>
    </row>
    <row r="517" spans="1:7" ht="14.4" x14ac:dyDescent="0.25">
      <c r="A517" s="120" t="s">
        <v>916</v>
      </c>
      <c r="B517" s="109"/>
      <c r="C517" s="110" t="s">
        <v>1299</v>
      </c>
      <c r="D517" s="202"/>
      <c r="E517" s="202"/>
      <c r="F517" s="101"/>
      <c r="G517" s="204"/>
    </row>
    <row r="518" spans="1:7" ht="17.25" customHeight="1" x14ac:dyDescent="0.25">
      <c r="A518" s="120" t="s">
        <v>917</v>
      </c>
      <c r="B518" s="109"/>
      <c r="C518" s="110" t="s">
        <v>1300</v>
      </c>
      <c r="D518" s="202"/>
      <c r="E518" s="202"/>
      <c r="F518" s="101"/>
      <c r="G518" s="204"/>
    </row>
    <row r="519" spans="1:7" ht="14.4" x14ac:dyDescent="0.25">
      <c r="A519" s="120" t="s">
        <v>918</v>
      </c>
      <c r="B519" s="109"/>
      <c r="C519" s="110" t="s">
        <v>1301</v>
      </c>
      <c r="D519" s="202"/>
      <c r="E519" s="202"/>
      <c r="F519" s="101"/>
      <c r="G519" s="204"/>
    </row>
    <row r="520" spans="1:7" ht="14.4" x14ac:dyDescent="0.25">
      <c r="A520" s="120" t="s">
        <v>919</v>
      </c>
      <c r="B520" s="109"/>
      <c r="C520" s="110" t="s">
        <v>1302</v>
      </c>
      <c r="D520" s="202"/>
      <c r="E520" s="202"/>
      <c r="F520" s="101"/>
      <c r="G520" s="204"/>
    </row>
    <row r="521" spans="1:7" x14ac:dyDescent="0.25">
      <c r="A521" s="95" t="s">
        <v>78</v>
      </c>
      <c r="B521" s="112" t="s">
        <v>77</v>
      </c>
      <c r="C521" s="99"/>
      <c r="D521" s="206"/>
      <c r="E521" s="206"/>
      <c r="F521" s="150"/>
      <c r="G521" s="204"/>
    </row>
    <row r="522" spans="1:7" ht="42" x14ac:dyDescent="0.25">
      <c r="A522" s="120" t="s">
        <v>660</v>
      </c>
      <c r="B522" s="109"/>
      <c r="C522" s="110" t="s">
        <v>1303</v>
      </c>
      <c r="D522" s="202"/>
      <c r="E522" s="202"/>
      <c r="F522" s="107"/>
      <c r="G522" s="204"/>
    </row>
    <row r="523" spans="1:7" ht="28.2" x14ac:dyDescent="0.25">
      <c r="A523" s="120" t="s">
        <v>920</v>
      </c>
      <c r="B523" s="109"/>
      <c r="C523" s="110" t="s">
        <v>1304</v>
      </c>
      <c r="D523" s="202"/>
      <c r="E523" s="202"/>
      <c r="F523" s="107"/>
      <c r="G523" s="204"/>
    </row>
    <row r="524" spans="1:7" ht="28.2" x14ac:dyDescent="0.25">
      <c r="A524" s="120" t="s">
        <v>921</v>
      </c>
      <c r="B524" s="109"/>
      <c r="C524" s="110" t="s">
        <v>1305</v>
      </c>
      <c r="D524" s="202"/>
      <c r="E524" s="202"/>
      <c r="F524" s="107"/>
      <c r="G524" s="204"/>
    </row>
    <row r="525" spans="1:7" ht="27.6" x14ac:dyDescent="0.25">
      <c r="A525" s="103" t="s">
        <v>922</v>
      </c>
      <c r="B525" s="98"/>
      <c r="C525" s="99" t="s">
        <v>1012</v>
      </c>
      <c r="D525" s="202"/>
      <c r="E525" s="202"/>
      <c r="F525" s="107"/>
      <c r="G525" s="204"/>
    </row>
    <row r="526" spans="1:7" x14ac:dyDescent="0.25">
      <c r="A526" s="103" t="s">
        <v>923</v>
      </c>
      <c r="B526" s="98"/>
      <c r="C526" s="99" t="s">
        <v>1013</v>
      </c>
      <c r="D526" s="202"/>
      <c r="E526" s="202"/>
      <c r="F526" s="107"/>
      <c r="G526" s="204"/>
    </row>
    <row r="527" spans="1:7" x14ac:dyDescent="0.25">
      <c r="A527" s="103" t="s">
        <v>924</v>
      </c>
      <c r="B527" s="98"/>
      <c r="C527" s="99" t="s">
        <v>631</v>
      </c>
      <c r="D527" s="202"/>
      <c r="E527" s="202"/>
      <c r="F527" s="101"/>
      <c r="G527" s="204"/>
    </row>
    <row r="528" spans="1:7" x14ac:dyDescent="0.25">
      <c r="A528" s="103" t="s">
        <v>925</v>
      </c>
      <c r="B528" s="98"/>
      <c r="C528" s="99" t="s">
        <v>632</v>
      </c>
      <c r="D528" s="202"/>
      <c r="E528" s="202"/>
      <c r="F528" s="101"/>
      <c r="G528" s="204"/>
    </row>
    <row r="529" spans="1:7" ht="27.6" x14ac:dyDescent="0.25">
      <c r="A529" s="103" t="s">
        <v>926</v>
      </c>
      <c r="B529" s="98"/>
      <c r="C529" s="99" t="s">
        <v>1051</v>
      </c>
      <c r="D529" s="202"/>
      <c r="E529" s="202"/>
      <c r="F529" s="107"/>
      <c r="G529" s="204"/>
    </row>
    <row r="530" spans="1:7" ht="27.6" x14ac:dyDescent="0.25">
      <c r="A530" s="103" t="s">
        <v>927</v>
      </c>
      <c r="B530" s="98"/>
      <c r="C530" s="99" t="s">
        <v>1014</v>
      </c>
      <c r="D530" s="202"/>
      <c r="E530" s="202"/>
      <c r="F530" s="107"/>
      <c r="G530" s="204"/>
    </row>
    <row r="531" spans="1:7" x14ac:dyDescent="0.25">
      <c r="A531" s="212" t="s">
        <v>76</v>
      </c>
      <c r="B531" s="112" t="s">
        <v>75</v>
      </c>
      <c r="C531" s="195"/>
      <c r="D531" s="206"/>
      <c r="E531" s="206"/>
      <c r="F531" s="150"/>
      <c r="G531" s="204"/>
    </row>
    <row r="532" spans="1:7" x14ac:dyDescent="0.25">
      <c r="A532" s="103" t="s">
        <v>633</v>
      </c>
      <c r="B532" s="98"/>
      <c r="C532" s="99" t="s">
        <v>634</v>
      </c>
      <c r="D532" s="202"/>
      <c r="E532" s="202"/>
      <c r="F532" s="101"/>
      <c r="G532" s="204"/>
    </row>
    <row r="533" spans="1:7" ht="28.2" x14ac:dyDescent="0.25">
      <c r="A533" s="108" t="s">
        <v>635</v>
      </c>
      <c r="B533" s="109"/>
      <c r="C533" s="110" t="s">
        <v>1306</v>
      </c>
      <c r="D533" s="202"/>
      <c r="E533" s="202"/>
      <c r="F533" s="107"/>
      <c r="G533" s="204"/>
    </row>
    <row r="534" spans="1:7" ht="14.4" x14ac:dyDescent="0.25">
      <c r="A534" s="120" t="s">
        <v>928</v>
      </c>
      <c r="B534" s="109"/>
      <c r="C534" s="110" t="s">
        <v>1307</v>
      </c>
      <c r="D534" s="202"/>
      <c r="E534" s="202"/>
      <c r="F534" s="107"/>
      <c r="G534" s="204"/>
    </row>
    <row r="535" spans="1:7" ht="14.4" x14ac:dyDescent="0.25">
      <c r="A535" s="120" t="s">
        <v>929</v>
      </c>
      <c r="B535" s="109"/>
      <c r="C535" s="110" t="s">
        <v>1308</v>
      </c>
      <c r="D535" s="202"/>
      <c r="E535" s="202"/>
      <c r="F535" s="107"/>
      <c r="G535" s="204"/>
    </row>
    <row r="536" spans="1:7" ht="14.4" x14ac:dyDescent="0.25">
      <c r="A536" s="120" t="s">
        <v>930</v>
      </c>
      <c r="B536" s="109"/>
      <c r="C536" s="110" t="s">
        <v>1309</v>
      </c>
      <c r="D536" s="202"/>
      <c r="E536" s="202"/>
      <c r="F536" s="107"/>
      <c r="G536" s="204"/>
    </row>
    <row r="537" spans="1:7" ht="27.6" x14ac:dyDescent="0.25">
      <c r="A537" s="97" t="s">
        <v>636</v>
      </c>
      <c r="B537" s="98"/>
      <c r="C537" s="99" t="s">
        <v>639</v>
      </c>
      <c r="D537" s="202"/>
      <c r="E537" s="202"/>
      <c r="F537" s="101"/>
      <c r="G537" s="204"/>
    </row>
    <row r="538" spans="1:7" x14ac:dyDescent="0.25">
      <c r="A538" s="97" t="s">
        <v>637</v>
      </c>
      <c r="B538" s="98"/>
      <c r="C538" s="99" t="s">
        <v>640</v>
      </c>
      <c r="D538" s="202"/>
      <c r="E538" s="202"/>
      <c r="F538" s="101"/>
      <c r="G538" s="204"/>
    </row>
    <row r="539" spans="1:7" ht="27.6" x14ac:dyDescent="0.25">
      <c r="A539" s="97" t="s">
        <v>638</v>
      </c>
      <c r="B539" s="98"/>
      <c r="C539" s="99" t="s">
        <v>1052</v>
      </c>
      <c r="D539" s="202"/>
      <c r="E539" s="202"/>
      <c r="F539" s="101"/>
      <c r="G539" s="204"/>
    </row>
    <row r="540" spans="1:7" x14ac:dyDescent="0.25">
      <c r="A540" s="95" t="s">
        <v>74</v>
      </c>
      <c r="B540" s="112" t="s">
        <v>73</v>
      </c>
      <c r="C540" s="99"/>
      <c r="D540" s="206"/>
      <c r="E540" s="206"/>
      <c r="F540" s="150"/>
      <c r="G540" s="204"/>
    </row>
    <row r="541" spans="1:7" ht="28.2" x14ac:dyDescent="0.3">
      <c r="A541" s="120" t="s">
        <v>641</v>
      </c>
      <c r="B541" s="167"/>
      <c r="C541" s="110" t="s">
        <v>1310</v>
      </c>
      <c r="D541" s="202"/>
      <c r="E541" s="202"/>
      <c r="F541" s="101"/>
      <c r="G541" s="205"/>
    </row>
    <row r="542" spans="1:7" ht="14.4" x14ac:dyDescent="0.25">
      <c r="A542" s="120" t="s">
        <v>931</v>
      </c>
      <c r="B542" s="109"/>
      <c r="C542" s="110" t="s">
        <v>1311</v>
      </c>
      <c r="D542" s="202"/>
      <c r="E542" s="202"/>
      <c r="F542" s="101"/>
      <c r="G542" s="204"/>
    </row>
    <row r="543" spans="1:7" ht="14.4" x14ac:dyDescent="0.25">
      <c r="A543" s="120" t="s">
        <v>932</v>
      </c>
      <c r="B543" s="109"/>
      <c r="C543" s="110" t="s">
        <v>1312</v>
      </c>
      <c r="D543" s="202"/>
      <c r="E543" s="202"/>
      <c r="F543" s="101"/>
      <c r="G543" s="204"/>
    </row>
    <row r="544" spans="1:7" ht="14.4" x14ac:dyDescent="0.25">
      <c r="A544" s="120" t="s">
        <v>933</v>
      </c>
      <c r="B544" s="109"/>
      <c r="C544" s="118" t="s">
        <v>1313</v>
      </c>
      <c r="D544" s="202"/>
      <c r="E544" s="202"/>
      <c r="F544" s="101"/>
      <c r="G544" s="204"/>
    </row>
    <row r="545" spans="1:7" ht="30.75" customHeight="1" x14ac:dyDescent="0.25">
      <c r="A545" s="97" t="s">
        <v>1057</v>
      </c>
      <c r="B545" s="98"/>
      <c r="C545" s="214" t="s">
        <v>1314</v>
      </c>
      <c r="D545" s="202"/>
      <c r="E545" s="202"/>
      <c r="F545" s="101"/>
      <c r="G545" s="204"/>
    </row>
    <row r="546" spans="1:7" x14ac:dyDescent="0.25">
      <c r="A546" s="95" t="s">
        <v>72</v>
      </c>
      <c r="B546" s="112" t="s">
        <v>23</v>
      </c>
      <c r="C546" s="99"/>
      <c r="D546" s="206"/>
      <c r="E546" s="206"/>
      <c r="F546" s="150"/>
      <c r="G546" s="204"/>
    </row>
    <row r="547" spans="1:7" ht="27.6" x14ac:dyDescent="0.25">
      <c r="A547" s="97" t="s">
        <v>642</v>
      </c>
      <c r="B547" s="98"/>
      <c r="C547" s="99" t="s">
        <v>71</v>
      </c>
      <c r="D547" s="202"/>
      <c r="E547" s="202"/>
      <c r="F547" s="101"/>
      <c r="G547" s="204"/>
    </row>
    <row r="548" spans="1:7" ht="27.6" x14ac:dyDescent="0.25">
      <c r="A548" s="103" t="s">
        <v>934</v>
      </c>
      <c r="B548" s="98"/>
      <c r="C548" s="99" t="s">
        <v>70</v>
      </c>
      <c r="D548" s="202"/>
      <c r="E548" s="202"/>
      <c r="F548" s="101"/>
      <c r="G548" s="204"/>
    </row>
    <row r="549" spans="1:7" ht="32.25" customHeight="1" x14ac:dyDescent="0.25">
      <c r="A549" s="103" t="s">
        <v>935</v>
      </c>
      <c r="B549" s="98"/>
      <c r="C549" s="99" t="s">
        <v>69</v>
      </c>
      <c r="D549" s="202"/>
      <c r="E549" s="202"/>
      <c r="F549" s="101"/>
      <c r="G549" s="204"/>
    </row>
    <row r="550" spans="1:7" ht="27.6" x14ac:dyDescent="0.25">
      <c r="A550" s="103" t="s">
        <v>735</v>
      </c>
      <c r="B550" s="98"/>
      <c r="C550" s="99" t="s">
        <v>68</v>
      </c>
      <c r="D550" s="202"/>
      <c r="E550" s="202"/>
      <c r="F550" s="101"/>
      <c r="G550" s="272" t="s">
        <v>687</v>
      </c>
    </row>
    <row r="551" spans="1:7" x14ac:dyDescent="0.25">
      <c r="A551" s="103" t="s">
        <v>936</v>
      </c>
      <c r="B551" s="98"/>
      <c r="C551" s="99" t="s">
        <v>67</v>
      </c>
      <c r="D551" s="202"/>
      <c r="E551" s="202"/>
      <c r="F551" s="101"/>
      <c r="G551" s="204"/>
    </row>
    <row r="552" spans="1:7" x14ac:dyDescent="0.25">
      <c r="A552" s="103" t="s">
        <v>937</v>
      </c>
      <c r="B552" s="98"/>
      <c r="C552" s="99" t="s">
        <v>66</v>
      </c>
      <c r="D552" s="202"/>
      <c r="E552" s="202"/>
      <c r="F552" s="101"/>
      <c r="G552" s="204"/>
    </row>
    <row r="553" spans="1:7" ht="27.6" x14ac:dyDescent="0.25">
      <c r="A553" s="103" t="s">
        <v>938</v>
      </c>
      <c r="B553" s="98"/>
      <c r="C553" s="99" t="s">
        <v>65</v>
      </c>
      <c r="D553" s="202"/>
      <c r="E553" s="202"/>
      <c r="F553" s="101"/>
      <c r="G553" s="204"/>
    </row>
    <row r="554" spans="1:7" x14ac:dyDescent="0.25">
      <c r="A554" s="95" t="s">
        <v>64</v>
      </c>
      <c r="B554" s="112" t="s">
        <v>1644</v>
      </c>
      <c r="C554" s="99"/>
      <c r="D554" s="206"/>
      <c r="E554" s="206"/>
      <c r="F554" s="150"/>
      <c r="G554" s="204"/>
    </row>
    <row r="555" spans="1:7" ht="42.75" customHeight="1" x14ac:dyDescent="0.25">
      <c r="A555" s="97" t="s">
        <v>643</v>
      </c>
      <c r="B555" s="98"/>
      <c r="C555" s="99" t="s">
        <v>644</v>
      </c>
      <c r="D555" s="202"/>
      <c r="E555" s="202"/>
      <c r="F555" s="101"/>
      <c r="G555" s="204"/>
    </row>
    <row r="556" spans="1:7" ht="27.6" x14ac:dyDescent="0.25">
      <c r="A556" s="103" t="s">
        <v>939</v>
      </c>
      <c r="B556" s="98"/>
      <c r="C556" s="99" t="s">
        <v>63</v>
      </c>
      <c r="D556" s="202"/>
      <c r="E556" s="202"/>
      <c r="F556" s="101"/>
      <c r="G556" s="204"/>
    </row>
    <row r="557" spans="1:7" x14ac:dyDescent="0.25">
      <c r="A557" s="103" t="s">
        <v>940</v>
      </c>
      <c r="B557" s="98"/>
      <c r="C557" s="99" t="s">
        <v>62</v>
      </c>
      <c r="D557" s="202"/>
      <c r="E557" s="202"/>
      <c r="F557" s="101"/>
      <c r="G557" s="204"/>
    </row>
    <row r="558" spans="1:7" x14ac:dyDescent="0.25">
      <c r="A558" s="103" t="s">
        <v>941</v>
      </c>
      <c r="B558" s="98"/>
      <c r="C558" s="99" t="s">
        <v>61</v>
      </c>
      <c r="D558" s="202"/>
      <c r="E558" s="202"/>
      <c r="F558" s="101"/>
      <c r="G558" s="204"/>
    </row>
    <row r="559" spans="1:7" ht="27.6" x14ac:dyDescent="0.25">
      <c r="A559" s="103" t="s">
        <v>942</v>
      </c>
      <c r="B559" s="98"/>
      <c r="C559" s="99" t="s">
        <v>1015</v>
      </c>
      <c r="D559" s="202"/>
      <c r="E559" s="202"/>
      <c r="F559" s="107"/>
      <c r="G559" s="204"/>
    </row>
    <row r="560" spans="1:7" ht="27.6" x14ac:dyDescent="0.25">
      <c r="A560" s="103" t="s">
        <v>943</v>
      </c>
      <c r="B560" s="98"/>
      <c r="C560" s="99" t="s">
        <v>60</v>
      </c>
      <c r="D560" s="202"/>
      <c r="E560" s="202"/>
      <c r="F560" s="107"/>
      <c r="G560" s="215"/>
    </row>
    <row r="561" spans="1:7" ht="27.6" x14ac:dyDescent="0.25">
      <c r="A561" s="103" t="s">
        <v>944</v>
      </c>
      <c r="B561" s="98"/>
      <c r="C561" s="99" t="s">
        <v>59</v>
      </c>
      <c r="D561" s="202"/>
      <c r="E561" s="202"/>
      <c r="F561" s="101"/>
      <c r="G561" s="204"/>
    </row>
    <row r="562" spans="1:7" ht="27.6" x14ac:dyDescent="0.25">
      <c r="A562" s="103" t="s">
        <v>1645</v>
      </c>
      <c r="B562" s="98"/>
      <c r="C562" s="99" t="s">
        <v>1647</v>
      </c>
      <c r="D562" s="202"/>
      <c r="E562" s="202"/>
      <c r="F562" s="101"/>
      <c r="G562" s="204"/>
    </row>
    <row r="563" spans="1:7" ht="41.4" x14ac:dyDescent="0.25">
      <c r="A563" s="103" t="s">
        <v>1646</v>
      </c>
      <c r="B563" s="98"/>
      <c r="C563" s="99" t="s">
        <v>1648</v>
      </c>
      <c r="D563" s="202"/>
      <c r="E563" s="202"/>
      <c r="F563" s="101"/>
      <c r="G563" s="204"/>
    </row>
    <row r="564" spans="1:7" x14ac:dyDescent="0.25">
      <c r="A564" s="95" t="s">
        <v>58</v>
      </c>
      <c r="B564" s="112" t="s">
        <v>57</v>
      </c>
      <c r="C564" s="99"/>
      <c r="D564" s="206"/>
      <c r="E564" s="206"/>
      <c r="F564" s="150"/>
      <c r="G564" s="204"/>
    </row>
    <row r="565" spans="1:7" ht="27.6" x14ac:dyDescent="0.25">
      <c r="A565" s="97" t="s">
        <v>645</v>
      </c>
      <c r="B565" s="98"/>
      <c r="C565" s="99" t="s">
        <v>56</v>
      </c>
      <c r="D565" s="202"/>
      <c r="E565" s="202"/>
      <c r="F565" s="101"/>
      <c r="G565" s="204"/>
    </row>
    <row r="566" spans="1:7" ht="27.6" x14ac:dyDescent="0.25">
      <c r="A566" s="103" t="s">
        <v>945</v>
      </c>
      <c r="B566" s="98"/>
      <c r="C566" s="99" t="s">
        <v>55</v>
      </c>
      <c r="D566" s="202"/>
      <c r="E566" s="202"/>
      <c r="F566" s="101"/>
      <c r="G566" s="204"/>
    </row>
    <row r="567" spans="1:7" ht="27.6" x14ac:dyDescent="0.25">
      <c r="A567" s="103" t="s">
        <v>946</v>
      </c>
      <c r="B567" s="98"/>
      <c r="C567" s="99" t="s">
        <v>54</v>
      </c>
      <c r="D567" s="202"/>
      <c r="E567" s="202"/>
      <c r="F567" s="101"/>
      <c r="G567" s="204"/>
    </row>
    <row r="568" spans="1:7" ht="27.6" x14ac:dyDescent="0.25">
      <c r="A568" s="103" t="s">
        <v>947</v>
      </c>
      <c r="B568" s="98"/>
      <c r="C568" s="99" t="s">
        <v>1016</v>
      </c>
      <c r="D568" s="202"/>
      <c r="E568" s="202"/>
      <c r="F568" s="107"/>
      <c r="G568" s="204"/>
    </row>
    <row r="569" spans="1:7" ht="27.6" x14ac:dyDescent="0.25">
      <c r="A569" s="103" t="s">
        <v>948</v>
      </c>
      <c r="B569" s="98"/>
      <c r="C569" s="99" t="s">
        <v>53</v>
      </c>
      <c r="D569" s="202"/>
      <c r="E569" s="202"/>
      <c r="F569" s="101"/>
      <c r="G569" s="203"/>
    </row>
    <row r="570" spans="1:7" ht="14.4" thickBot="1" x14ac:dyDescent="0.3">
      <c r="A570" s="216"/>
      <c r="B570" s="217"/>
      <c r="C570" s="218"/>
      <c r="D570" s="219"/>
      <c r="E570" s="219"/>
      <c r="F570" s="220"/>
      <c r="G570" s="217"/>
    </row>
    <row r="571" spans="1:7" ht="17.399999999999999" x14ac:dyDescent="0.25">
      <c r="A571" s="188" t="s">
        <v>52</v>
      </c>
      <c r="B571" s="189" t="s">
        <v>11</v>
      </c>
      <c r="C571" s="190"/>
      <c r="D571" s="191"/>
      <c r="E571" s="192"/>
      <c r="F571" s="193"/>
      <c r="G571" s="194"/>
    </row>
    <row r="572" spans="1:7" ht="17.399999999999999" x14ac:dyDescent="0.25">
      <c r="A572" s="90"/>
      <c r="B572" s="94" t="s">
        <v>1436</v>
      </c>
      <c r="C572" s="94"/>
      <c r="D572" s="366"/>
      <c r="E572" s="366"/>
      <c r="F572" s="366"/>
      <c r="G572" s="91"/>
    </row>
    <row r="573" spans="1:7" x14ac:dyDescent="0.25">
      <c r="A573" s="151" t="s">
        <v>51</v>
      </c>
      <c r="B573" s="112" t="s">
        <v>50</v>
      </c>
      <c r="C573" s="99"/>
      <c r="D573" s="374"/>
      <c r="E573" s="375"/>
      <c r="F573" s="376"/>
      <c r="G573" s="98"/>
    </row>
    <row r="574" spans="1:7" ht="41.4" x14ac:dyDescent="0.25">
      <c r="A574" s="103" t="s">
        <v>650</v>
      </c>
      <c r="B574" s="98"/>
      <c r="C574" s="99" t="s">
        <v>1502</v>
      </c>
      <c r="D574" s="202"/>
      <c r="E574" s="202"/>
      <c r="F574" s="101"/>
      <c r="G574" s="272" t="s">
        <v>688</v>
      </c>
    </row>
    <row r="575" spans="1:7" ht="27.6" x14ac:dyDescent="0.25">
      <c r="A575" s="103" t="s">
        <v>949</v>
      </c>
      <c r="B575" s="98"/>
      <c r="C575" s="99" t="s">
        <v>49</v>
      </c>
      <c r="D575" s="202"/>
      <c r="E575" s="202"/>
      <c r="F575" s="107"/>
      <c r="G575" s="204"/>
    </row>
    <row r="576" spans="1:7" ht="28.2" x14ac:dyDescent="0.25">
      <c r="A576" s="108" t="s">
        <v>651</v>
      </c>
      <c r="B576" s="109"/>
      <c r="C576" s="110" t="s">
        <v>1315</v>
      </c>
      <c r="D576" s="202"/>
      <c r="E576" s="202"/>
      <c r="F576" s="101"/>
      <c r="G576" s="204"/>
    </row>
    <row r="577" spans="1:7" ht="14.4" x14ac:dyDescent="0.25">
      <c r="A577" s="108" t="s">
        <v>950</v>
      </c>
      <c r="B577" s="109"/>
      <c r="C577" s="110" t="s">
        <v>1316</v>
      </c>
      <c r="D577" s="202"/>
      <c r="E577" s="202"/>
      <c r="F577" s="101"/>
      <c r="G577" s="204"/>
    </row>
    <row r="578" spans="1:7" ht="14.4" x14ac:dyDescent="0.25">
      <c r="A578" s="108" t="s">
        <v>951</v>
      </c>
      <c r="B578" s="109"/>
      <c r="C578" s="110" t="s">
        <v>1317</v>
      </c>
      <c r="D578" s="202"/>
      <c r="E578" s="202"/>
      <c r="F578" s="101"/>
      <c r="G578" s="204"/>
    </row>
    <row r="579" spans="1:7" ht="14.4" x14ac:dyDescent="0.25">
      <c r="A579" s="108" t="s">
        <v>952</v>
      </c>
      <c r="B579" s="109"/>
      <c r="C579" s="110" t="s">
        <v>1318</v>
      </c>
      <c r="D579" s="202"/>
      <c r="E579" s="202"/>
      <c r="F579" s="101"/>
      <c r="G579" s="204"/>
    </row>
    <row r="580" spans="1:7" ht="17.399999999999999" x14ac:dyDescent="0.3">
      <c r="A580" s="108" t="s">
        <v>953</v>
      </c>
      <c r="B580" s="109"/>
      <c r="C580" s="110" t="s">
        <v>1319</v>
      </c>
      <c r="D580" s="202"/>
      <c r="E580" s="202"/>
      <c r="F580" s="107"/>
      <c r="G580" s="221"/>
    </row>
    <row r="581" spans="1:7" ht="27.6" x14ac:dyDescent="0.3">
      <c r="A581" s="97" t="s">
        <v>652</v>
      </c>
      <c r="B581" s="98"/>
      <c r="C581" s="99" t="s">
        <v>48</v>
      </c>
      <c r="D581" s="202"/>
      <c r="E581" s="202"/>
      <c r="F581" s="101"/>
      <c r="G581" s="230" t="s">
        <v>689</v>
      </c>
    </row>
    <row r="582" spans="1:7" ht="27.6" x14ac:dyDescent="0.3">
      <c r="A582" s="103" t="s">
        <v>954</v>
      </c>
      <c r="B582" s="98"/>
      <c r="C582" s="99" t="s">
        <v>47</v>
      </c>
      <c r="D582" s="202"/>
      <c r="E582" s="202"/>
      <c r="F582" s="101"/>
      <c r="G582" s="221"/>
    </row>
    <row r="583" spans="1:7" ht="30.75" customHeight="1" x14ac:dyDescent="0.3">
      <c r="A583" s="103" t="s">
        <v>955</v>
      </c>
      <c r="B583" s="98"/>
      <c r="C583" s="99" t="s">
        <v>46</v>
      </c>
      <c r="D583" s="202"/>
      <c r="E583" s="202"/>
      <c r="F583" s="101"/>
      <c r="G583" s="221"/>
    </row>
    <row r="584" spans="1:7" ht="27.6" x14ac:dyDescent="0.25">
      <c r="A584" s="103" t="s">
        <v>707</v>
      </c>
      <c r="B584" s="98"/>
      <c r="C584" s="99" t="s">
        <v>45</v>
      </c>
      <c r="D584" s="202"/>
      <c r="E584" s="202"/>
      <c r="F584" s="101"/>
      <c r="G584" s="272" t="s">
        <v>690</v>
      </c>
    </row>
    <row r="585" spans="1:7" ht="27.6" x14ac:dyDescent="0.25">
      <c r="A585" s="103" t="s">
        <v>956</v>
      </c>
      <c r="B585" s="98"/>
      <c r="C585" s="99" t="s">
        <v>44</v>
      </c>
      <c r="D585" s="202"/>
      <c r="E585" s="202"/>
      <c r="F585" s="101"/>
      <c r="G585" s="204"/>
    </row>
    <row r="586" spans="1:7" ht="27.6" x14ac:dyDescent="0.25">
      <c r="A586" s="103" t="s">
        <v>957</v>
      </c>
      <c r="B586" s="98"/>
      <c r="C586" s="99" t="s">
        <v>43</v>
      </c>
      <c r="D586" s="202"/>
      <c r="E586" s="202"/>
      <c r="F586" s="101"/>
      <c r="G586" s="204"/>
    </row>
    <row r="587" spans="1:7" x14ac:dyDescent="0.25">
      <c r="A587" s="95" t="s">
        <v>42</v>
      </c>
      <c r="B587" s="112" t="s">
        <v>41</v>
      </c>
      <c r="C587" s="99"/>
      <c r="D587" s="206"/>
      <c r="E587" s="206"/>
      <c r="F587" s="150"/>
      <c r="G587" s="204"/>
    </row>
    <row r="588" spans="1:7" ht="28.2" x14ac:dyDescent="0.25">
      <c r="A588" s="120" t="s">
        <v>653</v>
      </c>
      <c r="B588" s="109"/>
      <c r="C588" s="110" t="s">
        <v>1320</v>
      </c>
      <c r="D588" s="202"/>
      <c r="E588" s="202"/>
      <c r="F588" s="101"/>
      <c r="G588" s="204"/>
    </row>
    <row r="589" spans="1:7" ht="14.4" x14ac:dyDescent="0.25">
      <c r="A589" s="108" t="s">
        <v>958</v>
      </c>
      <c r="B589" s="109"/>
      <c r="C589" s="110" t="s">
        <v>1088</v>
      </c>
      <c r="D589" s="202"/>
      <c r="E589" s="202"/>
      <c r="F589" s="101"/>
      <c r="G589" s="204"/>
    </row>
    <row r="590" spans="1:7" ht="14.4" x14ac:dyDescent="0.25">
      <c r="A590" s="108" t="s">
        <v>959</v>
      </c>
      <c r="B590" s="109"/>
      <c r="C590" s="110" t="s">
        <v>1321</v>
      </c>
      <c r="D590" s="202"/>
      <c r="E590" s="202"/>
      <c r="F590" s="101"/>
      <c r="G590" s="204"/>
    </row>
    <row r="591" spans="1:7" ht="14.4" x14ac:dyDescent="0.25">
      <c r="A591" s="108" t="s">
        <v>960</v>
      </c>
      <c r="B591" s="109"/>
      <c r="C591" s="110" t="s">
        <v>1221</v>
      </c>
      <c r="D591" s="202"/>
      <c r="E591" s="202"/>
      <c r="F591" s="101"/>
      <c r="G591" s="204"/>
    </row>
    <row r="592" spans="1:7" ht="14.4" x14ac:dyDescent="0.25">
      <c r="A592" s="108" t="s">
        <v>961</v>
      </c>
      <c r="B592" s="109"/>
      <c r="C592" s="110" t="s">
        <v>1322</v>
      </c>
      <c r="D592" s="202"/>
      <c r="E592" s="202"/>
      <c r="F592" s="101"/>
      <c r="G592" s="204"/>
    </row>
    <row r="593" spans="1:7" ht="14.4" x14ac:dyDescent="0.25">
      <c r="A593" s="108" t="s">
        <v>962</v>
      </c>
      <c r="B593" s="109"/>
      <c r="C593" s="110" t="s">
        <v>1323</v>
      </c>
      <c r="D593" s="202"/>
      <c r="E593" s="202"/>
      <c r="F593" s="101"/>
      <c r="G593" s="204"/>
    </row>
    <row r="594" spans="1:7" ht="14.4" x14ac:dyDescent="0.25">
      <c r="A594" s="108" t="s">
        <v>963</v>
      </c>
      <c r="B594" s="109"/>
      <c r="C594" s="110" t="s">
        <v>1222</v>
      </c>
      <c r="D594" s="202"/>
      <c r="E594" s="202"/>
      <c r="F594" s="101"/>
      <c r="G594" s="204"/>
    </row>
    <row r="595" spans="1:7" ht="42" x14ac:dyDescent="0.25">
      <c r="A595" s="120" t="s">
        <v>654</v>
      </c>
      <c r="B595" s="109"/>
      <c r="C595" s="110" t="s">
        <v>1324</v>
      </c>
      <c r="D595" s="202"/>
      <c r="E595" s="202"/>
      <c r="F595" s="107"/>
      <c r="G595" s="222"/>
    </row>
    <row r="596" spans="1:7" ht="14.4" x14ac:dyDescent="0.25">
      <c r="A596" s="108" t="s">
        <v>964</v>
      </c>
      <c r="B596" s="109"/>
      <c r="C596" s="110" t="s">
        <v>1325</v>
      </c>
      <c r="D596" s="202"/>
      <c r="E596" s="202"/>
      <c r="F596" s="101"/>
      <c r="G596" s="204"/>
    </row>
    <row r="597" spans="1:7" x14ac:dyDescent="0.25">
      <c r="A597" s="223" t="s">
        <v>655</v>
      </c>
      <c r="B597" s="98"/>
      <c r="C597" s="99" t="s">
        <v>40</v>
      </c>
      <c r="D597" s="202"/>
      <c r="E597" s="202"/>
      <c r="F597" s="101"/>
      <c r="G597" s="204"/>
    </row>
    <row r="598" spans="1:7" x14ac:dyDescent="0.25">
      <c r="A598" s="95" t="s">
        <v>39</v>
      </c>
      <c r="B598" s="112" t="s">
        <v>38</v>
      </c>
      <c r="C598" s="99"/>
      <c r="D598" s="206"/>
      <c r="E598" s="206"/>
      <c r="F598" s="150"/>
      <c r="G598" s="204"/>
    </row>
    <row r="599" spans="1:7" ht="75.599999999999994" x14ac:dyDescent="0.25">
      <c r="A599" s="97" t="s">
        <v>656</v>
      </c>
      <c r="B599" s="112"/>
      <c r="C599" s="99" t="s">
        <v>1326</v>
      </c>
      <c r="D599" s="202"/>
      <c r="E599" s="202"/>
      <c r="F599" s="107"/>
      <c r="G599" s="204"/>
    </row>
    <row r="600" spans="1:7" x14ac:dyDescent="0.25">
      <c r="A600" s="103" t="s">
        <v>965</v>
      </c>
      <c r="B600" s="98"/>
      <c r="C600" s="99" t="s">
        <v>37</v>
      </c>
      <c r="D600" s="202"/>
      <c r="E600" s="202"/>
      <c r="F600" s="101"/>
      <c r="G600" s="215"/>
    </row>
    <row r="601" spans="1:7" ht="27.6" x14ac:dyDescent="0.25">
      <c r="A601" s="103" t="s">
        <v>966</v>
      </c>
      <c r="B601" s="98"/>
      <c r="C601" s="99" t="s">
        <v>36</v>
      </c>
      <c r="D601" s="202"/>
      <c r="E601" s="202"/>
      <c r="F601" s="101"/>
      <c r="G601" s="204"/>
    </row>
    <row r="602" spans="1:7" ht="27.6" x14ac:dyDescent="0.25">
      <c r="A602" s="103" t="s">
        <v>967</v>
      </c>
      <c r="B602" s="98"/>
      <c r="C602" s="99" t="s">
        <v>697</v>
      </c>
      <c r="D602" s="202"/>
      <c r="E602" s="202"/>
      <c r="F602" s="101"/>
      <c r="G602" s="204"/>
    </row>
    <row r="603" spans="1:7" ht="14.4" thickBot="1" x14ac:dyDescent="0.3">
      <c r="A603" s="196"/>
      <c r="B603" s="199"/>
      <c r="C603" s="200"/>
      <c r="D603" s="201"/>
      <c r="E603" s="201"/>
      <c r="F603" s="134"/>
      <c r="G603" s="199"/>
    </row>
    <row r="604" spans="1:7" ht="17.399999999999999" x14ac:dyDescent="0.25">
      <c r="A604" s="188" t="s">
        <v>35</v>
      </c>
      <c r="B604" s="189" t="s">
        <v>279</v>
      </c>
      <c r="C604" s="190"/>
      <c r="D604" s="191"/>
      <c r="E604" s="192"/>
      <c r="F604" s="193"/>
      <c r="G604" s="194"/>
    </row>
    <row r="605" spans="1:7" ht="17.399999999999999" x14ac:dyDescent="0.25">
      <c r="A605" s="90"/>
      <c r="B605" s="94" t="s">
        <v>1435</v>
      </c>
      <c r="C605" s="94"/>
      <c r="D605" s="366"/>
      <c r="E605" s="366"/>
      <c r="F605" s="366"/>
      <c r="G605" s="91"/>
    </row>
    <row r="606" spans="1:7" ht="27.6" x14ac:dyDescent="0.25">
      <c r="A606" s="103" t="s">
        <v>657</v>
      </c>
      <c r="B606" s="98"/>
      <c r="C606" s="99" t="s">
        <v>1450</v>
      </c>
      <c r="D606" s="202"/>
      <c r="E606" s="202"/>
      <c r="F606" s="101"/>
      <c r="G606" s="204"/>
    </row>
    <row r="607" spans="1:7" ht="42" x14ac:dyDescent="0.25">
      <c r="A607" s="108" t="s">
        <v>1447</v>
      </c>
      <c r="B607" s="109"/>
      <c r="C607" s="110" t="s">
        <v>1451</v>
      </c>
      <c r="D607" s="202"/>
      <c r="E607" s="202"/>
      <c r="F607" s="101"/>
      <c r="G607" s="204"/>
    </row>
    <row r="608" spans="1:7" ht="14.4" x14ac:dyDescent="0.25">
      <c r="A608" s="108" t="s">
        <v>1448</v>
      </c>
      <c r="B608" s="109"/>
      <c r="C608" s="118" t="s">
        <v>1368</v>
      </c>
      <c r="D608" s="202"/>
      <c r="E608" s="202"/>
      <c r="F608" s="101"/>
      <c r="G608" s="204"/>
    </row>
    <row r="609" spans="1:7" ht="14.4" x14ac:dyDescent="0.25">
      <c r="A609" s="108" t="s">
        <v>1449</v>
      </c>
      <c r="B609" s="109"/>
      <c r="C609" s="118" t="s">
        <v>1367</v>
      </c>
      <c r="D609" s="202"/>
      <c r="E609" s="202"/>
      <c r="F609" s="101"/>
      <c r="G609" s="204"/>
    </row>
    <row r="610" spans="1:7" ht="14.4" x14ac:dyDescent="0.25">
      <c r="A610" s="108" t="s">
        <v>1453</v>
      </c>
      <c r="B610" s="109"/>
      <c r="C610" s="118" t="s">
        <v>1369</v>
      </c>
      <c r="D610" s="202"/>
      <c r="E610" s="202"/>
      <c r="F610" s="101"/>
      <c r="G610" s="204"/>
    </row>
    <row r="611" spans="1:7" ht="27.6" x14ac:dyDescent="0.25">
      <c r="A611" s="103" t="s">
        <v>1454</v>
      </c>
      <c r="B611" s="98"/>
      <c r="C611" s="99" t="s">
        <v>1452</v>
      </c>
      <c r="D611" s="202"/>
      <c r="E611" s="202"/>
      <c r="F611" s="101"/>
      <c r="G611" s="204"/>
    </row>
    <row r="612" spans="1:7" ht="55.2" x14ac:dyDescent="0.25">
      <c r="A612" s="103" t="s">
        <v>1459</v>
      </c>
      <c r="B612" s="98"/>
      <c r="C612" s="99" t="s">
        <v>1484</v>
      </c>
      <c r="D612" s="202"/>
      <c r="E612" s="202"/>
      <c r="F612" s="101"/>
      <c r="G612" s="272" t="s">
        <v>732</v>
      </c>
    </row>
    <row r="613" spans="1:7" ht="41.4" x14ac:dyDescent="0.25">
      <c r="A613" s="103" t="s">
        <v>1460</v>
      </c>
      <c r="B613" s="98"/>
      <c r="C613" s="99" t="s">
        <v>1455</v>
      </c>
      <c r="D613" s="202"/>
      <c r="E613" s="202"/>
      <c r="F613" s="101"/>
      <c r="G613" s="272"/>
    </row>
    <row r="614" spans="1:7" ht="41.4" x14ac:dyDescent="0.25">
      <c r="A614" s="103" t="s">
        <v>1461</v>
      </c>
      <c r="B614" s="98"/>
      <c r="C614" s="99" t="s">
        <v>1476</v>
      </c>
      <c r="D614" s="202"/>
      <c r="E614" s="202"/>
      <c r="F614" s="101"/>
      <c r="G614" s="272" t="s">
        <v>1482</v>
      </c>
    </row>
    <row r="615" spans="1:7" ht="28.8" x14ac:dyDescent="0.25">
      <c r="A615" s="108" t="s">
        <v>1462</v>
      </c>
      <c r="B615" s="109"/>
      <c r="C615" s="118" t="s">
        <v>1456</v>
      </c>
      <c r="D615" s="202"/>
      <c r="E615" s="202"/>
      <c r="F615" s="101"/>
      <c r="G615" s="204"/>
    </row>
    <row r="616" spans="1:7" ht="14.4" x14ac:dyDescent="0.25">
      <c r="A616" s="108" t="s">
        <v>1463</v>
      </c>
      <c r="B616" s="109"/>
      <c r="C616" s="118" t="s">
        <v>1458</v>
      </c>
      <c r="D616" s="202"/>
      <c r="E616" s="202"/>
      <c r="F616" s="101"/>
      <c r="G616" s="204"/>
    </row>
    <row r="617" spans="1:7" ht="14.4" x14ac:dyDescent="0.25">
      <c r="A617" s="108" t="s">
        <v>1464</v>
      </c>
      <c r="B617" s="109"/>
      <c r="C617" s="118" t="s">
        <v>1457</v>
      </c>
      <c r="D617" s="202"/>
      <c r="E617" s="202"/>
      <c r="F617" s="101"/>
      <c r="G617" s="204"/>
    </row>
    <row r="618" spans="1:7" ht="27.6" x14ac:dyDescent="0.25">
      <c r="A618" s="103" t="s">
        <v>1465</v>
      </c>
      <c r="B618" s="98"/>
      <c r="C618" s="99" t="s">
        <v>1466</v>
      </c>
      <c r="D618" s="202"/>
      <c r="E618" s="202"/>
      <c r="F618" s="101"/>
      <c r="G618" s="204"/>
    </row>
    <row r="619" spans="1:7" x14ac:dyDescent="0.25">
      <c r="A619" s="103" t="s">
        <v>1471</v>
      </c>
      <c r="B619" s="98"/>
      <c r="C619" s="99" t="s">
        <v>1467</v>
      </c>
      <c r="D619" s="202"/>
      <c r="E619" s="202"/>
      <c r="F619" s="101"/>
      <c r="G619" s="204"/>
    </row>
    <row r="620" spans="1:7" ht="41.4" x14ac:dyDescent="0.25">
      <c r="A620" s="103" t="s">
        <v>1472</v>
      </c>
      <c r="B620" s="98"/>
      <c r="C620" s="99" t="s">
        <v>1468</v>
      </c>
      <c r="D620" s="202"/>
      <c r="E620" s="202"/>
      <c r="F620" s="101"/>
      <c r="G620" s="204"/>
    </row>
    <row r="621" spans="1:7" ht="55.2" x14ac:dyDescent="0.25">
      <c r="A621" s="103" t="s">
        <v>1473</v>
      </c>
      <c r="B621" s="98"/>
      <c r="C621" s="99" t="s">
        <v>1469</v>
      </c>
      <c r="D621" s="202"/>
      <c r="E621" s="202"/>
      <c r="F621" s="101"/>
      <c r="G621" s="204"/>
    </row>
    <row r="622" spans="1:7" ht="30.75" customHeight="1" x14ac:dyDescent="0.25">
      <c r="A622" s="103" t="s">
        <v>1474</v>
      </c>
      <c r="B622" s="98"/>
      <c r="C622" s="99" t="s">
        <v>1470</v>
      </c>
      <c r="D622" s="202"/>
      <c r="E622" s="202"/>
      <c r="F622" s="101"/>
      <c r="G622" s="204"/>
    </row>
    <row r="623" spans="1:7" ht="42.6" x14ac:dyDescent="0.25">
      <c r="A623" s="108" t="s">
        <v>1477</v>
      </c>
      <c r="B623" s="109"/>
      <c r="C623" s="118" t="s">
        <v>1475</v>
      </c>
      <c r="D623" s="202"/>
      <c r="E623" s="202"/>
      <c r="F623" s="101"/>
      <c r="G623" s="204"/>
    </row>
    <row r="624" spans="1:7" ht="14.4" x14ac:dyDescent="0.25">
      <c r="A624" s="108" t="s">
        <v>1478</v>
      </c>
      <c r="B624" s="109"/>
      <c r="C624" s="118" t="s">
        <v>1479</v>
      </c>
      <c r="D624" s="202"/>
      <c r="E624" s="202"/>
      <c r="F624" s="107"/>
      <c r="G624" s="204"/>
    </row>
    <row r="625" spans="1:7" ht="14.4" thickBot="1" x14ac:dyDescent="0.3">
      <c r="A625" s="196"/>
      <c r="B625" s="199"/>
      <c r="C625" s="200"/>
      <c r="D625" s="201"/>
      <c r="E625" s="201"/>
      <c r="F625" s="134"/>
      <c r="G625" s="199"/>
    </row>
    <row r="626" spans="1:7" ht="17.399999999999999" x14ac:dyDescent="0.3">
      <c r="A626" s="188" t="s">
        <v>749</v>
      </c>
      <c r="B626" s="224" t="s">
        <v>1339</v>
      </c>
      <c r="C626" s="225"/>
      <c r="D626" s="226"/>
      <c r="E626" s="226"/>
      <c r="F626" s="227"/>
      <c r="G626" s="228"/>
    </row>
    <row r="627" spans="1:7" ht="15.6" x14ac:dyDescent="0.3">
      <c r="A627" s="229"/>
      <c r="B627" s="230" t="s">
        <v>1349</v>
      </c>
      <c r="C627" s="231"/>
      <c r="D627" s="367"/>
      <c r="E627" s="367"/>
      <c r="F627" s="368"/>
      <c r="G627" s="204"/>
    </row>
    <row r="628" spans="1:7" ht="41.4" x14ac:dyDescent="0.25">
      <c r="A628" s="97" t="s">
        <v>34</v>
      </c>
      <c r="B628" s="204"/>
      <c r="C628" s="218" t="s">
        <v>1350</v>
      </c>
      <c r="D628" s="202"/>
      <c r="E628" s="202"/>
      <c r="F628" s="101"/>
      <c r="G628" s="204"/>
    </row>
    <row r="629" spans="1:7" x14ac:dyDescent="0.25">
      <c r="A629" s="103" t="s">
        <v>33</v>
      </c>
      <c r="B629" s="204"/>
      <c r="C629" s="233" t="s">
        <v>1359</v>
      </c>
      <c r="D629" s="202"/>
      <c r="E629" s="202"/>
      <c r="F629" s="101"/>
      <c r="G629" s="204"/>
    </row>
    <row r="630" spans="1:7" ht="41.4" x14ac:dyDescent="0.25">
      <c r="A630" s="103" t="s">
        <v>32</v>
      </c>
      <c r="B630" s="204"/>
      <c r="C630" s="233" t="s">
        <v>1360</v>
      </c>
      <c r="D630" s="202"/>
      <c r="E630" s="202"/>
      <c r="F630" s="101"/>
      <c r="G630" s="204"/>
    </row>
    <row r="631" spans="1:7" ht="41.4" x14ac:dyDescent="0.25">
      <c r="A631" s="103" t="s">
        <v>1351</v>
      </c>
      <c r="B631" s="204"/>
      <c r="C631" s="233" t="s">
        <v>1491</v>
      </c>
      <c r="D631" s="202"/>
      <c r="E631" s="202"/>
      <c r="F631" s="101"/>
      <c r="G631" s="204"/>
    </row>
    <row r="632" spans="1:7" ht="41.4" x14ac:dyDescent="0.25">
      <c r="A632" s="103" t="s">
        <v>1352</v>
      </c>
      <c r="B632" s="204"/>
      <c r="C632" s="233" t="s">
        <v>1361</v>
      </c>
      <c r="D632" s="202"/>
      <c r="E632" s="202"/>
      <c r="F632" s="101"/>
      <c r="G632" s="204"/>
    </row>
    <row r="633" spans="1:7" ht="28.2" x14ac:dyDescent="0.25">
      <c r="A633" s="120" t="s">
        <v>1372</v>
      </c>
      <c r="B633" s="109"/>
      <c r="C633" s="110" t="s">
        <v>1366</v>
      </c>
      <c r="D633" s="202"/>
      <c r="E633" s="202"/>
      <c r="F633" s="101"/>
      <c r="G633" s="204"/>
    </row>
    <row r="634" spans="1:7" ht="14.4" x14ac:dyDescent="0.25">
      <c r="A634" s="108" t="s">
        <v>1373</v>
      </c>
      <c r="B634" s="109"/>
      <c r="C634" s="118" t="s">
        <v>1368</v>
      </c>
      <c r="D634" s="202"/>
      <c r="E634" s="202"/>
      <c r="F634" s="101"/>
      <c r="G634" s="204"/>
    </row>
    <row r="635" spans="1:7" ht="14.4" x14ac:dyDescent="0.25">
      <c r="A635" s="108" t="s">
        <v>1374</v>
      </c>
      <c r="B635" s="109"/>
      <c r="C635" s="118" t="s">
        <v>1367</v>
      </c>
      <c r="D635" s="202"/>
      <c r="E635" s="202"/>
      <c r="F635" s="101"/>
      <c r="G635" s="204"/>
    </row>
    <row r="636" spans="1:7" ht="14.4" x14ac:dyDescent="0.25">
      <c r="A636" s="108" t="s">
        <v>1375</v>
      </c>
      <c r="B636" s="109"/>
      <c r="C636" s="118" t="s">
        <v>1369</v>
      </c>
      <c r="D636" s="202"/>
      <c r="E636" s="202"/>
      <c r="F636" s="101"/>
      <c r="G636" s="204"/>
    </row>
    <row r="637" spans="1:7" x14ac:dyDescent="0.25">
      <c r="A637" s="103" t="s">
        <v>1353</v>
      </c>
      <c r="B637" s="204"/>
      <c r="C637" s="233" t="s">
        <v>1370</v>
      </c>
      <c r="D637" s="202"/>
      <c r="E637" s="202"/>
      <c r="F637" s="101"/>
      <c r="G637" s="204"/>
    </row>
    <row r="638" spans="1:7" ht="27.6" x14ac:dyDescent="0.25">
      <c r="A638" s="103" t="s">
        <v>1354</v>
      </c>
      <c r="B638" s="204"/>
      <c r="C638" s="233" t="s">
        <v>1362</v>
      </c>
      <c r="D638" s="202"/>
      <c r="E638" s="202"/>
      <c r="F638" s="101"/>
      <c r="G638" s="204"/>
    </row>
    <row r="639" spans="1:7" x14ac:dyDescent="0.25">
      <c r="A639" s="103" t="s">
        <v>1355</v>
      </c>
      <c r="B639" s="204"/>
      <c r="C639" s="233" t="s">
        <v>1363</v>
      </c>
      <c r="D639" s="202"/>
      <c r="E639" s="202"/>
      <c r="F639" s="101"/>
      <c r="G639" s="204"/>
    </row>
    <row r="640" spans="1:7" ht="41.4" x14ac:dyDescent="0.25">
      <c r="A640" s="103" t="s">
        <v>1356</v>
      </c>
      <c r="B640" s="204"/>
      <c r="C640" s="233" t="s">
        <v>1492</v>
      </c>
      <c r="D640" s="202"/>
      <c r="E640" s="202"/>
      <c r="F640" s="101"/>
      <c r="G640" s="204"/>
    </row>
    <row r="641" spans="1:7" ht="41.4" x14ac:dyDescent="0.25">
      <c r="A641" s="120" t="s">
        <v>1376</v>
      </c>
      <c r="B641" s="110"/>
      <c r="C641" s="110" t="s">
        <v>1371</v>
      </c>
      <c r="D641" s="202"/>
      <c r="E641" s="202"/>
      <c r="F641" s="101"/>
      <c r="G641" s="204"/>
    </row>
    <row r="642" spans="1:7" ht="14.4" x14ac:dyDescent="0.25">
      <c r="A642" s="120" t="s">
        <v>1378</v>
      </c>
      <c r="B642" s="109"/>
      <c r="C642" s="118" t="s">
        <v>1377</v>
      </c>
      <c r="D642" s="202"/>
      <c r="E642" s="202"/>
      <c r="F642" s="101"/>
      <c r="G642" s="204"/>
    </row>
    <row r="643" spans="1:7" ht="14.4" x14ac:dyDescent="0.25">
      <c r="A643" s="108" t="s">
        <v>1379</v>
      </c>
      <c r="B643" s="109"/>
      <c r="C643" s="118" t="s">
        <v>1403</v>
      </c>
      <c r="D643" s="202"/>
      <c r="E643" s="202"/>
      <c r="F643" s="101"/>
      <c r="G643" s="204"/>
    </row>
    <row r="644" spans="1:7" ht="14.4" x14ac:dyDescent="0.25">
      <c r="A644" s="108" t="s">
        <v>1380</v>
      </c>
      <c r="B644" s="109"/>
      <c r="C644" s="118" t="s">
        <v>1404</v>
      </c>
      <c r="D644" s="202"/>
      <c r="E644" s="202"/>
      <c r="F644" s="101"/>
      <c r="G644" s="204"/>
    </row>
    <row r="645" spans="1:7" ht="14.4" x14ac:dyDescent="0.25">
      <c r="A645" s="108" t="s">
        <v>1381</v>
      </c>
      <c r="B645" s="109"/>
      <c r="C645" s="118" t="s">
        <v>1364</v>
      </c>
      <c r="D645" s="202"/>
      <c r="E645" s="202"/>
      <c r="F645" s="101"/>
      <c r="G645" s="204"/>
    </row>
    <row r="646" spans="1:7" ht="14.4" x14ac:dyDescent="0.25">
      <c r="A646" s="108" t="s">
        <v>1382</v>
      </c>
      <c r="B646" s="109"/>
      <c r="C646" s="118" t="s">
        <v>1480</v>
      </c>
      <c r="D646" s="202"/>
      <c r="E646" s="202"/>
      <c r="F646" s="107"/>
      <c r="G646" s="204"/>
    </row>
    <row r="647" spans="1:7" ht="27.6" x14ac:dyDescent="0.25">
      <c r="A647" s="103" t="s">
        <v>1357</v>
      </c>
      <c r="B647" s="204"/>
      <c r="C647" s="233" t="s">
        <v>1430</v>
      </c>
      <c r="D647" s="202"/>
      <c r="E647" s="202"/>
      <c r="F647" s="107"/>
      <c r="G647" s="204"/>
    </row>
    <row r="648" spans="1:7" ht="27.6" x14ac:dyDescent="0.25">
      <c r="A648" s="103" t="s">
        <v>1358</v>
      </c>
      <c r="B648" s="204"/>
      <c r="C648" s="233" t="s">
        <v>1365</v>
      </c>
      <c r="D648" s="202"/>
      <c r="E648" s="202"/>
      <c r="F648" s="101"/>
      <c r="G648" s="204"/>
    </row>
    <row r="649" spans="1:7" ht="14.4" thickBot="1" x14ac:dyDescent="0.3">
      <c r="A649" s="235"/>
      <c r="B649" s="199"/>
      <c r="C649" s="236"/>
      <c r="D649" s="201"/>
      <c r="E649" s="201"/>
      <c r="F649" s="134"/>
      <c r="G649" s="199"/>
    </row>
    <row r="650" spans="1:7" ht="17.399999999999999" x14ac:dyDescent="0.3">
      <c r="A650" s="188" t="s">
        <v>1340</v>
      </c>
      <c r="B650" s="224" t="s">
        <v>1446</v>
      </c>
      <c r="C650" s="225"/>
      <c r="D650" s="226"/>
      <c r="E650" s="226"/>
      <c r="F650" s="227"/>
      <c r="G650" s="228"/>
    </row>
    <row r="651" spans="1:7" ht="15.6" x14ac:dyDescent="0.3">
      <c r="A651" s="229"/>
      <c r="B651" s="230" t="s">
        <v>1383</v>
      </c>
      <c r="C651" s="231"/>
      <c r="D651" s="367"/>
      <c r="E651" s="367"/>
      <c r="F651" s="368"/>
      <c r="G651" s="204"/>
    </row>
    <row r="652" spans="1:7" ht="41.4" x14ac:dyDescent="0.25">
      <c r="A652" s="97" t="s">
        <v>1384</v>
      </c>
      <c r="B652" s="204"/>
      <c r="C652" s="233" t="s">
        <v>1390</v>
      </c>
      <c r="D652" s="202"/>
      <c r="E652" s="202"/>
      <c r="F652" s="101"/>
      <c r="G652" s="204"/>
    </row>
    <row r="653" spans="1:7" ht="28.2" x14ac:dyDescent="0.25">
      <c r="A653" s="120" t="s">
        <v>1392</v>
      </c>
      <c r="B653" s="110"/>
      <c r="C653" s="110" t="s">
        <v>1583</v>
      </c>
      <c r="D653" s="202"/>
      <c r="E653" s="202"/>
      <c r="F653" s="101"/>
      <c r="G653" s="204"/>
    </row>
    <row r="654" spans="1:7" ht="14.4" x14ac:dyDescent="0.25">
      <c r="A654" s="120" t="s">
        <v>1393</v>
      </c>
      <c r="B654" s="109"/>
      <c r="C654" s="118" t="s">
        <v>1391</v>
      </c>
      <c r="D654" s="202"/>
      <c r="E654" s="202"/>
      <c r="F654" s="101"/>
      <c r="G654" s="204"/>
    </row>
    <row r="655" spans="1:7" ht="14.4" x14ac:dyDescent="0.25">
      <c r="A655" s="108" t="s">
        <v>1394</v>
      </c>
      <c r="B655" s="109"/>
      <c r="C655" s="118" t="s">
        <v>1401</v>
      </c>
      <c r="D655" s="202"/>
      <c r="E655" s="202"/>
      <c r="F655" s="101"/>
      <c r="G655" s="204"/>
    </row>
    <row r="656" spans="1:7" ht="14.4" x14ac:dyDescent="0.25">
      <c r="A656" s="108" t="s">
        <v>1395</v>
      </c>
      <c r="B656" s="109"/>
      <c r="C656" s="118" t="s">
        <v>1402</v>
      </c>
      <c r="D656" s="202"/>
      <c r="E656" s="202"/>
      <c r="F656" s="101"/>
      <c r="G656" s="204"/>
    </row>
    <row r="657" spans="1:7" ht="27.6" x14ac:dyDescent="0.25">
      <c r="A657" s="97" t="s">
        <v>1385</v>
      </c>
      <c r="B657" s="204"/>
      <c r="C657" s="233" t="s">
        <v>1493</v>
      </c>
      <c r="D657" s="202"/>
      <c r="E657" s="202"/>
      <c r="F657" s="101"/>
      <c r="G657" s="204"/>
    </row>
    <row r="658" spans="1:7" ht="30.75" customHeight="1" x14ac:dyDescent="0.25">
      <c r="A658" s="97" t="s">
        <v>1386</v>
      </c>
      <c r="B658" s="204"/>
      <c r="C658" s="233" t="s">
        <v>1397</v>
      </c>
      <c r="D658" s="202"/>
      <c r="E658" s="202"/>
      <c r="F658" s="101"/>
      <c r="G658" s="204"/>
    </row>
    <row r="659" spans="1:7" ht="55.2" x14ac:dyDescent="0.25">
      <c r="A659" s="97" t="s">
        <v>1387</v>
      </c>
      <c r="B659" s="204"/>
      <c r="C659" s="233" t="s">
        <v>1396</v>
      </c>
      <c r="D659" s="202"/>
      <c r="E659" s="202"/>
      <c r="F659" s="101"/>
      <c r="G659" s="204"/>
    </row>
    <row r="660" spans="1:7" ht="56.4" x14ac:dyDescent="0.25">
      <c r="A660" s="120" t="s">
        <v>1408</v>
      </c>
      <c r="B660" s="110"/>
      <c r="C660" s="118" t="s">
        <v>1398</v>
      </c>
      <c r="D660" s="202"/>
      <c r="E660" s="202"/>
      <c r="F660" s="101"/>
      <c r="G660" s="204"/>
    </row>
    <row r="661" spans="1:7" ht="14.4" x14ac:dyDescent="0.25">
      <c r="A661" s="120" t="s">
        <v>1409</v>
      </c>
      <c r="B661" s="109"/>
      <c r="C661" s="118" t="s">
        <v>1399</v>
      </c>
      <c r="D661" s="202"/>
      <c r="E661" s="202"/>
      <c r="F661" s="101"/>
      <c r="G661" s="204"/>
    </row>
    <row r="662" spans="1:7" ht="43.2" x14ac:dyDescent="0.25">
      <c r="A662" s="108" t="s">
        <v>1410</v>
      </c>
      <c r="B662" s="109"/>
      <c r="C662" s="118" t="s">
        <v>1400</v>
      </c>
      <c r="D662" s="202"/>
      <c r="E662" s="202"/>
      <c r="F662" s="101"/>
      <c r="G662" s="204"/>
    </row>
    <row r="663" spans="1:7" ht="28.8" x14ac:dyDescent="0.25">
      <c r="A663" s="108" t="s">
        <v>1411</v>
      </c>
      <c r="B663" s="109"/>
      <c r="C663" s="118" t="s">
        <v>1405</v>
      </c>
      <c r="D663" s="202"/>
      <c r="E663" s="202"/>
      <c r="F663" s="101"/>
      <c r="G663" s="204"/>
    </row>
    <row r="664" spans="1:7" ht="14.4" x14ac:dyDescent="0.25">
      <c r="A664" s="108" t="s">
        <v>1407</v>
      </c>
      <c r="B664" s="109"/>
      <c r="C664" s="118" t="s">
        <v>1496</v>
      </c>
      <c r="D664" s="202"/>
      <c r="E664" s="202"/>
      <c r="F664" s="101"/>
      <c r="G664" s="204"/>
    </row>
    <row r="665" spans="1:7" ht="14.4" x14ac:dyDescent="0.25">
      <c r="A665" s="108" t="s">
        <v>1412</v>
      </c>
      <c r="B665" s="109"/>
      <c r="C665" s="118" t="s">
        <v>1497</v>
      </c>
      <c r="D665" s="202"/>
      <c r="E665" s="202"/>
      <c r="F665" s="101"/>
      <c r="G665" s="204"/>
    </row>
    <row r="666" spans="1:7" ht="14.4" x14ac:dyDescent="0.25">
      <c r="A666" s="108" t="s">
        <v>1494</v>
      </c>
      <c r="B666" s="109"/>
      <c r="C666" s="118" t="s">
        <v>1406</v>
      </c>
      <c r="D666" s="202"/>
      <c r="E666" s="202"/>
      <c r="F666" s="101"/>
      <c r="G666" s="204"/>
    </row>
    <row r="667" spans="1:7" x14ac:dyDescent="0.25">
      <c r="A667" s="95"/>
      <c r="B667" s="232"/>
      <c r="C667" s="218"/>
      <c r="D667" s="206"/>
      <c r="E667" s="206"/>
      <c r="F667" s="150"/>
      <c r="G667" s="204"/>
    </row>
    <row r="668" spans="1:7" ht="72" x14ac:dyDescent="0.25">
      <c r="A668" s="120" t="s">
        <v>1413</v>
      </c>
      <c r="B668" s="110"/>
      <c r="C668" s="118" t="s">
        <v>1431</v>
      </c>
      <c r="D668" s="202"/>
      <c r="E668" s="202"/>
      <c r="F668" s="101"/>
      <c r="G668" s="204"/>
    </row>
    <row r="669" spans="1:7" ht="33" customHeight="1" x14ac:dyDescent="0.25">
      <c r="A669" s="120" t="s">
        <v>1415</v>
      </c>
      <c r="B669" s="109"/>
      <c r="C669" s="118" t="s">
        <v>1414</v>
      </c>
      <c r="D669" s="202"/>
      <c r="E669" s="202"/>
      <c r="F669" s="101"/>
      <c r="G669" s="204"/>
    </row>
    <row r="670" spans="1:7" ht="57.6" x14ac:dyDescent="0.25">
      <c r="A670" s="108" t="s">
        <v>1416</v>
      </c>
      <c r="B670" s="109"/>
      <c r="C670" s="118" t="s">
        <v>1495</v>
      </c>
      <c r="D670" s="202"/>
      <c r="E670" s="202"/>
      <c r="F670" s="101"/>
      <c r="G670" s="204"/>
    </row>
    <row r="671" spans="1:7" ht="43.2" x14ac:dyDescent="0.25">
      <c r="A671" s="108" t="s">
        <v>1417</v>
      </c>
      <c r="B671" s="109"/>
      <c r="C671" s="118" t="s">
        <v>1420</v>
      </c>
      <c r="D671" s="202"/>
      <c r="E671" s="202"/>
      <c r="F671" s="101"/>
      <c r="G671" s="204"/>
    </row>
    <row r="672" spans="1:7" ht="28.8" x14ac:dyDescent="0.25">
      <c r="A672" s="108" t="s">
        <v>1418</v>
      </c>
      <c r="B672" s="109"/>
      <c r="C672" s="118" t="s">
        <v>1421</v>
      </c>
      <c r="D672" s="202"/>
      <c r="E672" s="202"/>
      <c r="F672" s="101"/>
      <c r="G672" s="204"/>
    </row>
    <row r="673" spans="1:9" ht="28.8" x14ac:dyDescent="0.25">
      <c r="A673" s="108" t="s">
        <v>1419</v>
      </c>
      <c r="B673" s="109"/>
      <c r="C673" s="118" t="s">
        <v>1422</v>
      </c>
      <c r="D673" s="202"/>
      <c r="E673" s="202"/>
      <c r="F673" s="101"/>
      <c r="G673" s="204"/>
    </row>
    <row r="674" spans="1:9" ht="28.8" x14ac:dyDescent="0.25">
      <c r="A674" s="108" t="s">
        <v>1423</v>
      </c>
      <c r="B674" s="109"/>
      <c r="C674" s="118" t="s">
        <v>1427</v>
      </c>
      <c r="D674" s="202"/>
      <c r="E674" s="202"/>
      <c r="F674" s="101"/>
      <c r="G674" s="204"/>
    </row>
    <row r="675" spans="1:9" ht="28.8" x14ac:dyDescent="0.25">
      <c r="A675" s="108" t="s">
        <v>1424</v>
      </c>
      <c r="B675" s="109"/>
      <c r="C675" s="118" t="s">
        <v>1428</v>
      </c>
      <c r="D675" s="202"/>
      <c r="E675" s="202"/>
      <c r="F675" s="101"/>
      <c r="G675" s="204"/>
    </row>
    <row r="676" spans="1:9" ht="28.8" x14ac:dyDescent="0.25">
      <c r="A676" s="108" t="s">
        <v>1425</v>
      </c>
      <c r="B676" s="109"/>
      <c r="C676" s="118" t="s">
        <v>1429</v>
      </c>
      <c r="D676" s="202"/>
      <c r="E676" s="202"/>
      <c r="F676" s="101"/>
      <c r="G676" s="204"/>
    </row>
    <row r="677" spans="1:9" ht="28.8" x14ac:dyDescent="0.25">
      <c r="A677" s="108" t="s">
        <v>1426</v>
      </c>
      <c r="B677" s="109"/>
      <c r="C677" s="118" t="s">
        <v>1570</v>
      </c>
      <c r="D677" s="202"/>
      <c r="E677" s="202"/>
      <c r="F677" s="101"/>
      <c r="G677" s="204"/>
      <c r="H677" s="347"/>
      <c r="I677" s="347"/>
    </row>
    <row r="678" spans="1:9" ht="28.2" x14ac:dyDescent="0.25">
      <c r="A678" s="97" t="s">
        <v>1388</v>
      </c>
      <c r="B678" s="204"/>
      <c r="C678" s="277" t="s">
        <v>1432</v>
      </c>
      <c r="D678" s="202"/>
      <c r="E678" s="202"/>
      <c r="F678" s="107"/>
      <c r="G678" s="204"/>
      <c r="H678" s="347"/>
      <c r="I678" s="347"/>
    </row>
    <row r="679" spans="1:9" ht="41.4" x14ac:dyDescent="0.25">
      <c r="A679" s="97" t="s">
        <v>1389</v>
      </c>
      <c r="B679" s="204"/>
      <c r="C679" s="233" t="s">
        <v>1433</v>
      </c>
      <c r="D679" s="202"/>
      <c r="E679" s="202"/>
      <c r="F679" s="101"/>
      <c r="G679" s="204"/>
      <c r="H679" s="347"/>
      <c r="I679" s="347"/>
    </row>
    <row r="680" spans="1:9" ht="14.4" thickBot="1" x14ac:dyDescent="0.3">
      <c r="A680" s="237"/>
      <c r="B680" s="217"/>
      <c r="C680" s="238"/>
      <c r="D680" s="219"/>
      <c r="E680" s="219"/>
      <c r="F680" s="220"/>
      <c r="G680" s="217"/>
      <c r="H680" s="347"/>
      <c r="I680" s="347"/>
    </row>
    <row r="681" spans="1:9" ht="17.399999999999999" x14ac:dyDescent="0.3">
      <c r="A681" s="188" t="s">
        <v>1341</v>
      </c>
      <c r="B681" s="224" t="s">
        <v>1585</v>
      </c>
      <c r="C681" s="225"/>
      <c r="D681" s="226"/>
      <c r="E681" s="226"/>
      <c r="F681" s="227"/>
      <c r="G681" s="228"/>
      <c r="H681" s="347"/>
      <c r="I681" s="347"/>
    </row>
    <row r="682" spans="1:9" ht="15.6" x14ac:dyDescent="0.3">
      <c r="A682" s="229"/>
      <c r="B682" s="230" t="s">
        <v>1434</v>
      </c>
      <c r="C682" s="231"/>
      <c r="D682" s="367"/>
      <c r="E682" s="367"/>
      <c r="F682" s="368"/>
      <c r="G682" s="204"/>
      <c r="H682" s="347"/>
      <c r="I682" s="347"/>
    </row>
    <row r="683" spans="1:9" x14ac:dyDescent="0.25">
      <c r="A683" s="95" t="s">
        <v>1605</v>
      </c>
      <c r="B683" s="232" t="s">
        <v>1592</v>
      </c>
      <c r="C683" s="195"/>
      <c r="D683" s="206"/>
      <c r="E683" s="206"/>
      <c r="F683" s="150"/>
      <c r="G683" s="204"/>
      <c r="H683" s="347"/>
      <c r="I683" s="347"/>
    </row>
    <row r="684" spans="1:9" ht="41.4" x14ac:dyDescent="0.25">
      <c r="A684" s="95"/>
      <c r="B684" s="232"/>
      <c r="C684" s="233" t="s">
        <v>1627</v>
      </c>
      <c r="D684" s="206"/>
      <c r="E684" s="206"/>
      <c r="F684" s="150"/>
      <c r="G684" s="204"/>
      <c r="H684" s="347"/>
      <c r="I684" s="347"/>
    </row>
    <row r="685" spans="1:9" ht="28.5" customHeight="1" x14ac:dyDescent="0.25">
      <c r="A685" s="212" t="s">
        <v>1342</v>
      </c>
      <c r="B685" s="372" t="s">
        <v>1626</v>
      </c>
      <c r="C685" s="373"/>
      <c r="D685" s="206"/>
      <c r="E685" s="206"/>
      <c r="F685" s="150"/>
      <c r="G685" s="204"/>
      <c r="H685" s="347"/>
      <c r="I685" s="347"/>
    </row>
    <row r="686" spans="1:9" ht="74.25" customHeight="1" x14ac:dyDescent="0.25">
      <c r="A686" s="97" t="s">
        <v>1343</v>
      </c>
      <c r="B686" s="232"/>
      <c r="C686" s="233" t="s">
        <v>1586</v>
      </c>
      <c r="D686" s="202"/>
      <c r="E686" s="202"/>
      <c r="F686" s="150"/>
      <c r="G686" s="204"/>
      <c r="H686" s="347"/>
      <c r="I686" s="347"/>
    </row>
    <row r="687" spans="1:9" ht="72.599999999999994" customHeight="1" x14ac:dyDescent="0.25">
      <c r="A687" s="97" t="s">
        <v>1344</v>
      </c>
      <c r="B687" s="232"/>
      <c r="C687" s="233" t="s">
        <v>1587</v>
      </c>
      <c r="D687" s="202"/>
      <c r="E687" s="202"/>
      <c r="F687" s="150"/>
      <c r="G687" s="204"/>
      <c r="H687" s="347"/>
      <c r="I687" s="347"/>
    </row>
    <row r="688" spans="1:9" ht="27.6" x14ac:dyDescent="0.25">
      <c r="A688" s="97" t="s">
        <v>1345</v>
      </c>
      <c r="B688" s="232"/>
      <c r="C688" s="218" t="s">
        <v>1594</v>
      </c>
      <c r="D688" s="202"/>
      <c r="E688" s="202"/>
      <c r="F688" s="150"/>
      <c r="G688" s="204"/>
      <c r="H688" s="347"/>
      <c r="I688" s="347"/>
    </row>
    <row r="689" spans="1:9" x14ac:dyDescent="0.25">
      <c r="A689" s="212" t="s">
        <v>1346</v>
      </c>
      <c r="B689" s="369" t="s">
        <v>1628</v>
      </c>
      <c r="C689" s="370"/>
      <c r="D689" s="206"/>
      <c r="E689" s="206"/>
      <c r="F689" s="150"/>
      <c r="G689" s="204"/>
      <c r="H689" s="347"/>
      <c r="I689" s="347"/>
    </row>
    <row r="690" spans="1:9" ht="57.75" customHeight="1" x14ac:dyDescent="0.25">
      <c r="A690" s="97" t="s">
        <v>1611</v>
      </c>
      <c r="B690" s="204"/>
      <c r="C690" s="233" t="s">
        <v>1589</v>
      </c>
      <c r="D690" s="202"/>
      <c r="E690" s="202"/>
      <c r="F690" s="101"/>
      <c r="G690" s="204"/>
      <c r="H690" s="347"/>
      <c r="I690" s="347"/>
    </row>
    <row r="691" spans="1:9" ht="16.2" customHeight="1" x14ac:dyDescent="0.25">
      <c r="A691" s="212" t="s">
        <v>1347</v>
      </c>
      <c r="B691" s="372" t="s">
        <v>1624</v>
      </c>
      <c r="C691" s="373"/>
      <c r="D691" s="206"/>
      <c r="E691" s="206"/>
      <c r="F691" s="150"/>
      <c r="G691" s="204"/>
      <c r="H691" s="347"/>
      <c r="I691" s="347"/>
    </row>
    <row r="692" spans="1:9" ht="43.5" customHeight="1" x14ac:dyDescent="0.25">
      <c r="A692" s="97" t="s">
        <v>1348</v>
      </c>
      <c r="B692" s="204"/>
      <c r="C692" s="233" t="s">
        <v>1600</v>
      </c>
      <c r="D692" s="202"/>
      <c r="E692" s="202"/>
      <c r="F692" s="101"/>
      <c r="G692" s="204"/>
      <c r="H692" s="347"/>
      <c r="I692" s="347"/>
    </row>
    <row r="693" spans="1:9" ht="41.4" x14ac:dyDescent="0.25">
      <c r="A693" s="97" t="s">
        <v>1635</v>
      </c>
      <c r="B693" s="204"/>
      <c r="C693" s="233" t="s">
        <v>1602</v>
      </c>
      <c r="D693" s="202"/>
      <c r="E693" s="202"/>
      <c r="F693" s="101"/>
      <c r="G693" s="204"/>
      <c r="H693" s="347"/>
      <c r="I693" s="347"/>
    </row>
    <row r="694" spans="1:9" ht="29.4" customHeight="1" x14ac:dyDescent="0.25">
      <c r="A694" s="212" t="s">
        <v>1609</v>
      </c>
      <c r="B694" s="371" t="s">
        <v>1590</v>
      </c>
      <c r="C694" s="371"/>
      <c r="D694" s="206"/>
      <c r="E694" s="206"/>
      <c r="F694" s="150"/>
      <c r="G694" s="204"/>
      <c r="H694" s="347"/>
      <c r="I694" s="347"/>
    </row>
    <row r="695" spans="1:9" ht="42" customHeight="1" x14ac:dyDescent="0.25">
      <c r="A695" s="97" t="s">
        <v>1610</v>
      </c>
      <c r="B695" s="204"/>
      <c r="C695" s="233" t="s">
        <v>1608</v>
      </c>
      <c r="D695" s="202"/>
      <c r="E695" s="202"/>
      <c r="F695" s="101"/>
      <c r="G695" s="204"/>
      <c r="H695" s="347"/>
      <c r="I695" s="347"/>
    </row>
    <row r="696" spans="1:9" x14ac:dyDescent="0.25">
      <c r="A696" s="212" t="s">
        <v>1612</v>
      </c>
      <c r="B696" s="371" t="s">
        <v>1625</v>
      </c>
      <c r="C696" s="371"/>
      <c r="D696" s="206"/>
      <c r="E696" s="206"/>
      <c r="F696" s="150"/>
      <c r="G696" s="204"/>
      <c r="H696" s="347"/>
      <c r="I696" s="347"/>
    </row>
    <row r="697" spans="1:9" ht="143.4" customHeight="1" x14ac:dyDescent="0.25">
      <c r="A697" s="97" t="s">
        <v>1613</v>
      </c>
      <c r="B697" s="204"/>
      <c r="C697" s="233" t="s">
        <v>1603</v>
      </c>
      <c r="D697" s="202"/>
      <c r="E697" s="202"/>
      <c r="F697" s="101"/>
      <c r="G697" s="204"/>
      <c r="H697" s="347"/>
      <c r="I697" s="347"/>
    </row>
    <row r="698" spans="1:9" ht="41.4" x14ac:dyDescent="0.25">
      <c r="A698" s="97" t="s">
        <v>1614</v>
      </c>
      <c r="B698" s="204"/>
      <c r="C698" s="233" t="s">
        <v>1593</v>
      </c>
      <c r="D698" s="202"/>
      <c r="E698" s="202"/>
      <c r="F698" s="101"/>
      <c r="G698" s="204"/>
      <c r="H698" s="347"/>
      <c r="I698" s="347"/>
    </row>
    <row r="699" spans="1:9" ht="41.4" x14ac:dyDescent="0.25">
      <c r="A699" s="97" t="s">
        <v>1615</v>
      </c>
      <c r="B699" s="204"/>
      <c r="C699" s="233" t="s">
        <v>1595</v>
      </c>
      <c r="D699" s="202"/>
      <c r="E699" s="202"/>
      <c r="F699" s="101"/>
      <c r="G699" s="204"/>
      <c r="H699" s="347"/>
      <c r="I699" s="347"/>
    </row>
    <row r="700" spans="1:9" x14ac:dyDescent="0.25">
      <c r="A700" s="212" t="s">
        <v>1616</v>
      </c>
      <c r="B700" s="371" t="s">
        <v>1598</v>
      </c>
      <c r="C700" s="371"/>
      <c r="D700" s="206"/>
      <c r="E700" s="206"/>
      <c r="F700" s="150"/>
      <c r="G700" s="204"/>
      <c r="H700" s="347"/>
      <c r="I700" s="347"/>
    </row>
    <row r="701" spans="1:9" ht="30" customHeight="1" x14ac:dyDescent="0.25">
      <c r="A701" s="97" t="s">
        <v>1617</v>
      </c>
      <c r="B701" s="204"/>
      <c r="C701" s="233" t="s">
        <v>1597</v>
      </c>
      <c r="D701" s="202"/>
      <c r="E701" s="202"/>
      <c r="F701" s="101"/>
      <c r="G701" s="204"/>
      <c r="H701" s="347"/>
      <c r="I701" s="347"/>
    </row>
    <row r="702" spans="1:9" x14ac:dyDescent="0.25">
      <c r="A702" s="212" t="s">
        <v>1618</v>
      </c>
      <c r="B702" s="371" t="s">
        <v>1619</v>
      </c>
      <c r="C702" s="371"/>
      <c r="D702" s="206"/>
      <c r="E702" s="206"/>
      <c r="F702" s="150"/>
      <c r="G702" s="204"/>
      <c r="H702" s="347"/>
      <c r="I702" s="347"/>
    </row>
    <row r="703" spans="1:9" ht="28.5" customHeight="1" x14ac:dyDescent="0.25">
      <c r="A703" s="97" t="s">
        <v>1620</v>
      </c>
      <c r="B703" s="204"/>
      <c r="C703" s="233" t="s">
        <v>1606</v>
      </c>
      <c r="D703" s="202"/>
      <c r="E703" s="202"/>
      <c r="F703" s="101"/>
      <c r="G703" s="204"/>
      <c r="H703" s="348"/>
      <c r="I703" s="347"/>
    </row>
    <row r="704" spans="1:9" ht="43.5" customHeight="1" x14ac:dyDescent="0.25">
      <c r="A704" s="97" t="s">
        <v>1621</v>
      </c>
      <c r="B704" s="204"/>
      <c r="C704" s="233" t="s">
        <v>1607</v>
      </c>
      <c r="D704" s="202"/>
      <c r="E704" s="202"/>
      <c r="F704" s="101"/>
      <c r="G704" s="204"/>
      <c r="H704" s="347"/>
      <c r="I704" s="347"/>
    </row>
    <row r="705" spans="1:9" ht="17.25" customHeight="1" x14ac:dyDescent="0.25">
      <c r="A705" s="234" t="s">
        <v>1622</v>
      </c>
      <c r="B705" s="204"/>
      <c r="C705" s="99" t="s">
        <v>1584</v>
      </c>
      <c r="D705" s="202"/>
      <c r="E705" s="202"/>
      <c r="F705" s="101"/>
      <c r="G705" s="204"/>
      <c r="H705" s="347"/>
      <c r="I705" s="347"/>
    </row>
    <row r="706" spans="1:9" ht="30.75" customHeight="1" x14ac:dyDescent="0.25">
      <c r="A706" s="234" t="s">
        <v>1623</v>
      </c>
      <c r="B706" s="204"/>
      <c r="C706" s="99" t="s">
        <v>1599</v>
      </c>
      <c r="D706" s="202"/>
      <c r="E706" s="202"/>
      <c r="F706" s="101"/>
      <c r="G706" s="204"/>
      <c r="H706" s="347"/>
      <c r="I706" s="347"/>
    </row>
    <row r="707" spans="1:9" x14ac:dyDescent="0.25">
      <c r="A707" s="237"/>
      <c r="B707" s="217"/>
      <c r="C707" s="238"/>
      <c r="D707" s="219"/>
      <c r="E707" s="219"/>
      <c r="F707" s="220"/>
      <c r="G707" s="217"/>
      <c r="H707" s="347"/>
      <c r="I707" s="347"/>
    </row>
    <row r="708" spans="1:9" x14ac:dyDescent="0.25">
      <c r="A708" s="237"/>
      <c r="B708" s="217"/>
      <c r="C708" s="238"/>
      <c r="D708" s="219"/>
      <c r="E708" s="219"/>
      <c r="F708" s="220"/>
      <c r="G708" s="217"/>
      <c r="H708" s="347"/>
      <c r="I708" s="347"/>
    </row>
    <row r="709" spans="1:9" x14ac:dyDescent="0.25">
      <c r="A709" s="237"/>
      <c r="B709" s="217"/>
      <c r="C709" s="238"/>
      <c r="D709" s="219"/>
      <c r="E709" s="219"/>
      <c r="F709" s="220"/>
      <c r="G709" s="217"/>
      <c r="H709" s="347"/>
      <c r="I709" s="347"/>
    </row>
    <row r="710" spans="1:9" x14ac:dyDescent="0.25">
      <c r="A710" s="237"/>
      <c r="B710" s="217"/>
      <c r="C710" s="238"/>
      <c r="D710" s="219"/>
      <c r="E710" s="219"/>
      <c r="F710" s="220"/>
      <c r="G710" s="217"/>
      <c r="H710" s="347"/>
      <c r="I710" s="347"/>
    </row>
    <row r="711" spans="1:9" x14ac:dyDescent="0.25">
      <c r="A711" s="237"/>
      <c r="B711" s="217"/>
      <c r="C711" s="238"/>
      <c r="D711" s="219"/>
      <c r="E711" s="219"/>
      <c r="F711" s="220"/>
      <c r="G711" s="217"/>
      <c r="H711" s="347"/>
      <c r="I711" s="347"/>
    </row>
    <row r="712" spans="1:9" x14ac:dyDescent="0.25">
      <c r="C712" s="238"/>
      <c r="D712" s="219"/>
      <c r="E712" s="219"/>
      <c r="F712" s="220"/>
      <c r="G712" s="217"/>
      <c r="H712" s="347"/>
      <c r="I712" s="347"/>
    </row>
  </sheetData>
  <sheetProtection selectLockedCells="1"/>
  <autoFilter ref="A2:G648" xr:uid="{00000000-0009-0000-0000-000003000000}"/>
  <dataConsolidate/>
  <mergeCells count="28">
    <mergeCell ref="A1:G1"/>
    <mergeCell ref="D4:F4"/>
    <mergeCell ref="D460:F460"/>
    <mergeCell ref="D325:F325"/>
    <mergeCell ref="D376:F376"/>
    <mergeCell ref="D402:F402"/>
    <mergeCell ref="D441:F441"/>
    <mergeCell ref="D459:F459"/>
    <mergeCell ref="G106:G107"/>
    <mergeCell ref="D66:F66"/>
    <mergeCell ref="D246:F246"/>
    <mergeCell ref="B5:C5"/>
    <mergeCell ref="D148:F148"/>
    <mergeCell ref="B56:C56"/>
    <mergeCell ref="B42:C42"/>
    <mergeCell ref="B702:C702"/>
    <mergeCell ref="B696:C696"/>
    <mergeCell ref="D627:F627"/>
    <mergeCell ref="D573:F573"/>
    <mergeCell ref="D605:F605"/>
    <mergeCell ref="B700:C700"/>
    <mergeCell ref="D572:F572"/>
    <mergeCell ref="D651:F651"/>
    <mergeCell ref="D682:F682"/>
    <mergeCell ref="B689:C689"/>
    <mergeCell ref="B694:C694"/>
    <mergeCell ref="B685:C685"/>
    <mergeCell ref="B691:C691"/>
  </mergeCells>
  <pageMargins left="0.23622047244094491" right="0.23622047244094491" top="0.74803149606299213" bottom="0.74803149606299213" header="0.31496062992125984" footer="0.31496062992125984"/>
  <pageSetup paperSize="9" orientation="landscape" r:id="rId1"/>
  <headerFooter>
    <oddHeader>&amp;R&amp;G</oddHeader>
    <oddFooter>&amp;L&amp;"Arial,Standard"&amp;10Selbstbeurteilung Integrierte Sicherheit&amp;C&amp;"Arial,Standard"&amp;8FO.250.d.V14&amp;R&amp;"Arial,Standard"&amp;10Seite &amp;P von &amp;N</oddFooter>
  </headerFooter>
  <rowBreaks count="13" manualBreakCount="13">
    <brk id="64" max="16383" man="1"/>
    <brk id="146" max="16383" man="1"/>
    <brk id="244" max="16383" man="1"/>
    <brk id="323" max="16383" man="1"/>
    <brk id="374" max="16383" man="1"/>
    <brk id="400" max="16383" man="1"/>
    <brk id="439" max="16383" man="1"/>
    <brk id="457" max="16383" man="1"/>
    <brk id="570" max="16383" man="1"/>
    <brk id="603" max="16383" man="1"/>
    <brk id="625" max="16383" man="1"/>
    <brk id="649" max="16383" man="1"/>
    <brk id="680" max="16383" man="1"/>
  </rowBreaks>
  <ignoredErrors>
    <ignoredError sqref="E233:E236" unlockedFormula="1"/>
  </ignoredErrors>
  <legacy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10"/>
  <dimension ref="A1:B43"/>
  <sheetViews>
    <sheetView zoomScale="80" zoomScaleNormal="80" workbookViewId="0">
      <pane ySplit="2" topLeftCell="A3" activePane="bottomLeft" state="frozen"/>
      <selection pane="bottomLeft" activeCell="E7" sqref="E7"/>
    </sheetView>
  </sheetViews>
  <sheetFormatPr defaultColWidth="11.44140625" defaultRowHeight="14.4" x14ac:dyDescent="0.3"/>
  <cols>
    <col min="1" max="1" width="13.109375" customWidth="1"/>
    <col min="2" max="2" width="73.5546875" customWidth="1"/>
    <col min="3" max="4" width="11.44140625" customWidth="1"/>
  </cols>
  <sheetData>
    <row r="1" spans="1:2" ht="39" customHeight="1" x14ac:dyDescent="0.3">
      <c r="A1" s="386" t="s">
        <v>1335</v>
      </c>
      <c r="B1" s="387"/>
    </row>
    <row r="2" spans="1:2" x14ac:dyDescent="0.3">
      <c r="A2" s="245" t="s">
        <v>691</v>
      </c>
      <c r="B2" s="246" t="s">
        <v>692</v>
      </c>
    </row>
    <row r="3" spans="1:2" x14ac:dyDescent="0.3">
      <c r="A3" s="253" t="s">
        <v>661</v>
      </c>
      <c r="B3" s="252" t="s">
        <v>1059</v>
      </c>
    </row>
    <row r="4" spans="1:2" x14ac:dyDescent="0.3">
      <c r="A4" s="253" t="s">
        <v>662</v>
      </c>
      <c r="B4" s="252" t="s">
        <v>717</v>
      </c>
    </row>
    <row r="5" spans="1:2" x14ac:dyDescent="0.3">
      <c r="A5" s="253" t="s">
        <v>663</v>
      </c>
      <c r="B5" s="252" t="s">
        <v>698</v>
      </c>
    </row>
    <row r="6" spans="1:2" x14ac:dyDescent="0.3">
      <c r="A6" s="253" t="s">
        <v>664</v>
      </c>
      <c r="B6" s="252" t="s">
        <v>742</v>
      </c>
    </row>
    <row r="7" spans="1:2" x14ac:dyDescent="0.3">
      <c r="A7" s="253" t="s">
        <v>665</v>
      </c>
      <c r="B7" s="252" t="s">
        <v>718</v>
      </c>
    </row>
    <row r="8" spans="1:2" x14ac:dyDescent="0.3">
      <c r="A8" s="253" t="s">
        <v>666</v>
      </c>
      <c r="B8" s="252" t="s">
        <v>719</v>
      </c>
    </row>
    <row r="9" spans="1:2" x14ac:dyDescent="0.3">
      <c r="A9" s="253" t="s">
        <v>667</v>
      </c>
      <c r="B9" s="252" t="s">
        <v>751</v>
      </c>
    </row>
    <row r="10" spans="1:2" x14ac:dyDescent="0.3">
      <c r="A10" s="253" t="s">
        <v>668</v>
      </c>
      <c r="B10" s="252" t="s">
        <v>1508</v>
      </c>
    </row>
    <row r="11" spans="1:2" ht="27.6" x14ac:dyDescent="0.3">
      <c r="A11" s="253" t="s">
        <v>720</v>
      </c>
      <c r="B11" s="252" t="s">
        <v>1329</v>
      </c>
    </row>
    <row r="12" spans="1:2" x14ac:dyDescent="0.3">
      <c r="A12" s="96" t="s">
        <v>721</v>
      </c>
      <c r="B12" s="252" t="s">
        <v>1507</v>
      </c>
    </row>
    <row r="13" spans="1:2" x14ac:dyDescent="0.3">
      <c r="A13" s="253" t="s">
        <v>722</v>
      </c>
      <c r="B13" s="252" t="s">
        <v>699</v>
      </c>
    </row>
    <row r="14" spans="1:2" x14ac:dyDescent="0.3">
      <c r="A14" s="96" t="s">
        <v>730</v>
      </c>
      <c r="B14" s="252" t="s">
        <v>700</v>
      </c>
    </row>
    <row r="15" spans="1:2" x14ac:dyDescent="0.3">
      <c r="A15" s="253" t="s">
        <v>734</v>
      </c>
      <c r="B15" s="116" t="s">
        <v>737</v>
      </c>
    </row>
    <row r="16" spans="1:2" x14ac:dyDescent="0.3">
      <c r="A16" s="253" t="s">
        <v>733</v>
      </c>
      <c r="B16" s="116" t="s">
        <v>984</v>
      </c>
    </row>
    <row r="17" spans="1:2" x14ac:dyDescent="0.3">
      <c r="A17" s="253" t="s">
        <v>741</v>
      </c>
      <c r="B17" s="116" t="s">
        <v>1506</v>
      </c>
    </row>
    <row r="18" spans="1:2" x14ac:dyDescent="0.3">
      <c r="A18" s="253" t="s">
        <v>669</v>
      </c>
      <c r="B18" s="252" t="s">
        <v>1505</v>
      </c>
    </row>
    <row r="19" spans="1:2" x14ac:dyDescent="0.3">
      <c r="A19" s="253" t="s">
        <v>670</v>
      </c>
      <c r="B19" s="252" t="s">
        <v>729</v>
      </c>
    </row>
    <row r="20" spans="1:2" ht="27.6" x14ac:dyDescent="0.3">
      <c r="A20" s="96" t="s">
        <v>671</v>
      </c>
      <c r="B20" s="252" t="s">
        <v>1060</v>
      </c>
    </row>
    <row r="21" spans="1:2" x14ac:dyDescent="0.3">
      <c r="A21" s="96" t="s">
        <v>672</v>
      </c>
      <c r="B21" s="252" t="s">
        <v>723</v>
      </c>
    </row>
    <row r="22" spans="1:2" x14ac:dyDescent="0.3">
      <c r="A22" s="96" t="s">
        <v>673</v>
      </c>
      <c r="B22" s="252" t="s">
        <v>991</v>
      </c>
    </row>
    <row r="23" spans="1:2" x14ac:dyDescent="0.3">
      <c r="A23" s="96" t="s">
        <v>992</v>
      </c>
      <c r="B23" s="252" t="s">
        <v>752</v>
      </c>
    </row>
    <row r="24" spans="1:2" ht="41.4" x14ac:dyDescent="0.3">
      <c r="A24" s="96" t="s">
        <v>674</v>
      </c>
      <c r="B24" s="116" t="s">
        <v>1504</v>
      </c>
    </row>
    <row r="25" spans="1:2" ht="27.6" x14ac:dyDescent="0.3">
      <c r="A25" s="96" t="s">
        <v>675</v>
      </c>
      <c r="B25" s="252" t="s">
        <v>702</v>
      </c>
    </row>
    <row r="26" spans="1:2" x14ac:dyDescent="0.3">
      <c r="A26" s="253" t="s">
        <v>676</v>
      </c>
      <c r="B26" s="116" t="s">
        <v>708</v>
      </c>
    </row>
    <row r="27" spans="1:2" ht="27.6" x14ac:dyDescent="0.3">
      <c r="A27" s="96" t="s">
        <v>677</v>
      </c>
      <c r="B27" s="252" t="s">
        <v>703</v>
      </c>
    </row>
    <row r="28" spans="1:2" ht="27.6" x14ac:dyDescent="0.3">
      <c r="A28" s="96" t="s">
        <v>678</v>
      </c>
      <c r="B28" s="252" t="s">
        <v>710</v>
      </c>
    </row>
    <row r="29" spans="1:2" x14ac:dyDescent="0.3">
      <c r="A29" s="96" t="s">
        <v>679</v>
      </c>
      <c r="B29" s="252" t="s">
        <v>724</v>
      </c>
    </row>
    <row r="30" spans="1:2" x14ac:dyDescent="0.3">
      <c r="A30" s="96" t="s">
        <v>680</v>
      </c>
      <c r="B30" s="116" t="s">
        <v>725</v>
      </c>
    </row>
    <row r="31" spans="1:2" x14ac:dyDescent="0.3">
      <c r="A31" s="253" t="s">
        <v>681</v>
      </c>
      <c r="B31" s="252" t="s">
        <v>1061</v>
      </c>
    </row>
    <row r="32" spans="1:2" ht="16.5" customHeight="1" x14ac:dyDescent="0.3">
      <c r="A32" s="96" t="s">
        <v>726</v>
      </c>
      <c r="B32" s="116" t="s">
        <v>1503</v>
      </c>
    </row>
    <row r="33" spans="1:2" x14ac:dyDescent="0.3">
      <c r="A33" s="254" t="s">
        <v>682</v>
      </c>
      <c r="B33" s="252" t="s">
        <v>705</v>
      </c>
    </row>
    <row r="34" spans="1:2" x14ac:dyDescent="0.3">
      <c r="A34" s="96" t="s">
        <v>683</v>
      </c>
      <c r="B34" s="116" t="s">
        <v>711</v>
      </c>
    </row>
    <row r="35" spans="1:2" x14ac:dyDescent="0.3">
      <c r="A35" s="96" t="s">
        <v>684</v>
      </c>
      <c r="B35" s="252" t="s">
        <v>731</v>
      </c>
    </row>
    <row r="36" spans="1:2" x14ac:dyDescent="0.3">
      <c r="A36" s="96" t="s">
        <v>685</v>
      </c>
      <c r="B36" s="252" t="s">
        <v>712</v>
      </c>
    </row>
    <row r="37" spans="1:2" x14ac:dyDescent="0.3">
      <c r="A37" s="96" t="s">
        <v>686</v>
      </c>
      <c r="B37" s="116" t="s">
        <v>706</v>
      </c>
    </row>
    <row r="38" spans="1:2" x14ac:dyDescent="0.3">
      <c r="A38" s="96" t="s">
        <v>687</v>
      </c>
      <c r="B38" s="116" t="s">
        <v>736</v>
      </c>
    </row>
    <row r="39" spans="1:2" ht="27.6" x14ac:dyDescent="0.3">
      <c r="A39" s="96" t="s">
        <v>688</v>
      </c>
      <c r="B39" s="252" t="s">
        <v>713</v>
      </c>
    </row>
    <row r="40" spans="1:2" x14ac:dyDescent="0.3">
      <c r="A40" s="96" t="s">
        <v>689</v>
      </c>
      <c r="B40" s="116" t="s">
        <v>727</v>
      </c>
    </row>
    <row r="41" spans="1:2" x14ac:dyDescent="0.3">
      <c r="A41" s="253" t="s">
        <v>690</v>
      </c>
      <c r="B41" s="252" t="s">
        <v>728</v>
      </c>
    </row>
    <row r="42" spans="1:2" x14ac:dyDescent="0.3">
      <c r="A42" s="96" t="s">
        <v>732</v>
      </c>
      <c r="B42" s="116" t="s">
        <v>1483</v>
      </c>
    </row>
    <row r="43" spans="1:2" x14ac:dyDescent="0.3">
      <c r="A43" s="96" t="s">
        <v>1482</v>
      </c>
      <c r="B43" s="116" t="s">
        <v>1481</v>
      </c>
    </row>
  </sheetData>
  <sheetProtection sheet="1" objects="1" scenarios="1" selectLockedCells="1"/>
  <mergeCells count="1">
    <mergeCell ref="A1:B1"/>
  </mergeCells>
  <pageMargins left="0.70866141732283472" right="0.70866141732283472" top="0.31496062992125984" bottom="0.43307086614173229" header="0.31496062992125984" footer="0.31496062992125984"/>
  <pageSetup paperSize="9" orientation="portrait" r:id="rId1"/>
  <headerFooter>
    <oddHeader>&amp;R&amp;G</oddHeader>
    <oddFooter>&amp;L&amp;"Arial,Standard"&amp;10Selbstbeurteilung Integrierte Sicherheit&amp;R&amp;"Arial,Standard"&amp;10Seite &amp;P von &amp;N</oddFooter>
  </headerFooter>
  <legacyDrawingHF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pageSetUpPr fitToPage="1"/>
  </sheetPr>
  <dimension ref="A1:U2865"/>
  <sheetViews>
    <sheetView zoomScaleNormal="100" workbookViewId="0">
      <pane ySplit="3" topLeftCell="A4" activePane="bottomLeft" state="frozen"/>
      <selection activeCell="D151" sqref="D151"/>
      <selection pane="bottomLeft" activeCell="C7" sqref="C7"/>
    </sheetView>
  </sheetViews>
  <sheetFormatPr defaultColWidth="11.44140625" defaultRowHeight="14.4" x14ac:dyDescent="0.3"/>
  <cols>
    <col min="1" max="1" width="10.6640625" style="23" customWidth="1"/>
    <col min="2" max="2" width="50.109375" customWidth="1"/>
    <col min="3" max="3" width="8.33203125" customWidth="1"/>
    <col min="4" max="4" width="1.109375" customWidth="1"/>
    <col min="5" max="5" width="25.33203125" style="23" bestFit="1" customWidth="1"/>
    <col min="6" max="11" width="3.5546875" style="22" customWidth="1"/>
    <col min="12" max="12" width="13.44140625" style="64" customWidth="1"/>
    <col min="13" max="13" width="3.33203125" bestFit="1" customWidth="1"/>
    <col min="14" max="14" width="4.6640625" customWidth="1"/>
    <col min="15" max="15" width="8.5546875" style="70" bestFit="1" customWidth="1"/>
    <col min="16" max="16" width="8.5546875" style="67" bestFit="1" customWidth="1"/>
    <col min="17" max="17" width="6.33203125" customWidth="1"/>
    <col min="18" max="18" width="4.88671875" bestFit="1" customWidth="1"/>
  </cols>
  <sheetData>
    <row r="1" spans="1:20" s="301" customFormat="1" thickBot="1" x14ac:dyDescent="0.35">
      <c r="A1" s="297" t="s">
        <v>293</v>
      </c>
      <c r="B1" s="8" t="str">
        <f>Betriebsspiegel!C3</f>
        <v>Muster AG</v>
      </c>
      <c r="C1" s="298" t="s">
        <v>292</v>
      </c>
      <c r="D1" s="298"/>
      <c r="E1" s="265" t="s">
        <v>30</v>
      </c>
      <c r="F1" s="341"/>
      <c r="G1" s="341"/>
      <c r="H1" s="341"/>
      <c r="I1" s="341"/>
      <c r="J1" s="341"/>
      <c r="K1" s="341"/>
      <c r="L1" s="299"/>
      <c r="M1" s="300"/>
      <c r="N1" s="393"/>
      <c r="O1" s="394"/>
      <c r="P1" s="394"/>
      <c r="Q1" s="395"/>
      <c r="R1" s="340"/>
    </row>
    <row r="2" spans="1:20" ht="34.5" customHeight="1" x14ac:dyDescent="0.3">
      <c r="A2" s="389" t="s">
        <v>291</v>
      </c>
      <c r="B2" s="390"/>
      <c r="C2" s="388" t="s">
        <v>1053</v>
      </c>
      <c r="D2" s="388"/>
      <c r="E2" s="388"/>
      <c r="F2" s="396" t="s">
        <v>1490</v>
      </c>
      <c r="G2" s="397"/>
      <c r="H2" s="397"/>
      <c r="I2" s="397"/>
      <c r="J2" s="397"/>
      <c r="K2" s="398"/>
      <c r="L2" s="280" t="s">
        <v>1054</v>
      </c>
      <c r="M2" s="261" t="s">
        <v>1056</v>
      </c>
      <c r="N2" s="262"/>
      <c r="O2" s="263"/>
      <c r="P2" s="264"/>
      <c r="Q2" s="55"/>
      <c r="R2" s="56"/>
    </row>
    <row r="3" spans="1:20" ht="94.5" customHeight="1" x14ac:dyDescent="0.3">
      <c r="A3" s="391"/>
      <c r="B3" s="392"/>
      <c r="C3" s="51" t="s">
        <v>282</v>
      </c>
      <c r="D3" s="51" t="s">
        <v>1641</v>
      </c>
      <c r="E3" s="51" t="s">
        <v>1055</v>
      </c>
      <c r="F3" s="286" t="s">
        <v>1485</v>
      </c>
      <c r="G3" s="286" t="s">
        <v>1486</v>
      </c>
      <c r="H3" s="286" t="s">
        <v>290</v>
      </c>
      <c r="I3" s="286" t="s">
        <v>289</v>
      </c>
      <c r="J3" s="286" t="s">
        <v>1487</v>
      </c>
      <c r="K3" s="286" t="s">
        <v>1488</v>
      </c>
      <c r="L3" s="295" t="s">
        <v>1489</v>
      </c>
      <c r="M3" s="42" t="s">
        <v>288</v>
      </c>
      <c r="N3" s="41" t="s">
        <v>287</v>
      </c>
      <c r="O3" s="41" t="s">
        <v>286</v>
      </c>
      <c r="P3" s="66" t="s">
        <v>285</v>
      </c>
      <c r="Q3" s="57" t="s">
        <v>284</v>
      </c>
      <c r="R3" s="57" t="s">
        <v>283</v>
      </c>
    </row>
    <row r="4" spans="1:20" x14ac:dyDescent="0.3">
      <c r="A4" s="7">
        <v>1</v>
      </c>
      <c r="B4" s="7" t="str">
        <f>'Selbstbeurteilung Kunde'!B3</f>
        <v>Leitbild, Sicherheitsziele und Strategien</v>
      </c>
      <c r="C4" s="40">
        <f>O4/N4</f>
        <v>3.529411764705883E-2</v>
      </c>
      <c r="D4" s="40"/>
      <c r="E4" s="36"/>
      <c r="F4" s="25"/>
      <c r="G4" s="25"/>
      <c r="H4" s="25"/>
      <c r="I4" s="25"/>
      <c r="J4" s="25"/>
      <c r="K4" s="25"/>
      <c r="L4" s="281">
        <f>P4/N4</f>
        <v>0</v>
      </c>
      <c r="M4" s="5"/>
      <c r="N4" s="5">
        <f>SUM(M5,M15,M29,M42,M56)</f>
        <v>17</v>
      </c>
      <c r="O4" s="61">
        <f>SUM(Q5:Q63)</f>
        <v>0.60000000000000009</v>
      </c>
      <c r="P4" s="61">
        <f>SUM(R5:R63)</f>
        <v>0</v>
      </c>
      <c r="Q4" s="45"/>
      <c r="R4" s="45"/>
    </row>
    <row r="5" spans="1:20" x14ac:dyDescent="0.3">
      <c r="A5" s="26" t="str">
        <f>'Selbstbeurteilung Kunde'!A5</f>
        <v>1.1.</v>
      </c>
      <c r="B5" s="27" t="str">
        <f>'Selbstbeurteilung Kunde'!B5</f>
        <v>Unternehmensleitbild, Führungsgrundsätze</v>
      </c>
      <c r="C5" s="28">
        <f>O5/N5</f>
        <v>0.2</v>
      </c>
      <c r="D5" s="350"/>
      <c r="E5" s="37"/>
      <c r="F5" s="282"/>
      <c r="G5" s="282"/>
      <c r="H5" s="282"/>
      <c r="I5" s="282"/>
      <c r="J5" s="282"/>
      <c r="K5" s="282"/>
      <c r="L5" s="63">
        <f>P5/N5</f>
        <v>0</v>
      </c>
      <c r="M5" s="29">
        <v>3</v>
      </c>
      <c r="N5" s="29">
        <f>SUM(M6:M14)</f>
        <v>25</v>
      </c>
      <c r="O5" s="31">
        <f>SUM(O6:O14)</f>
        <v>5</v>
      </c>
      <c r="P5" s="31">
        <f>SUM(P6:P14)</f>
        <v>0</v>
      </c>
      <c r="Q5" s="65">
        <f>O5/$N5*$M5</f>
        <v>0.60000000000000009</v>
      </c>
      <c r="R5" s="65">
        <f>P5/$N5*$M5</f>
        <v>0</v>
      </c>
      <c r="T5" s="336"/>
    </row>
    <row r="6" spans="1:20" x14ac:dyDescent="0.3">
      <c r="A6" s="3" t="str">
        <f>'Selbstbeurteilung Kunde'!A6</f>
        <v>1.1.1.</v>
      </c>
      <c r="B6" s="6" t="str">
        <f>'Selbstbeurteilung Kunde'!C6</f>
        <v>Verfügt das Unternehmen über ein Unternehmensleitbild?</v>
      </c>
      <c r="C6" s="49"/>
      <c r="D6" s="49" t="str">
        <f>IF(AND('Selbstbeurteilung Kunde'!D6="",'Selbstbeurteilung Kunde'!E6=""),"*","")</f>
        <v/>
      </c>
      <c r="E6" s="49" t="str">
        <f>IF(ISBLANK('Selbstbeurteilung Kunde'!F6),"",'Selbstbeurteilung Kunde'!F6)</f>
        <v/>
      </c>
      <c r="F6" s="287"/>
      <c r="G6" s="287"/>
      <c r="H6" s="287"/>
      <c r="I6" s="287"/>
      <c r="J6" s="287"/>
      <c r="K6" s="287"/>
      <c r="L6" s="279"/>
      <c r="M6" s="47">
        <v>3</v>
      </c>
      <c r="N6" s="34"/>
      <c r="O6" s="35">
        <f t="shared" ref="O6:O14" si="0">C6*M6</f>
        <v>0</v>
      </c>
      <c r="P6" s="54">
        <f>L6*M6</f>
        <v>0</v>
      </c>
      <c r="Q6" s="46"/>
      <c r="R6" s="34"/>
    </row>
    <row r="7" spans="1:20" ht="26.4" x14ac:dyDescent="0.3">
      <c r="A7" s="3" t="str">
        <f>'Selbstbeurteilung Kunde'!A7</f>
        <v>1.1.2.</v>
      </c>
      <c r="B7" s="6" t="str">
        <f>'Selbstbeurteilung Kunde'!C7</f>
        <v>Sind Sicherheit und Gesundheit der Beschäftigten Bestandteil des Unternehmensleitbildes?</v>
      </c>
      <c r="C7" s="49">
        <v>0</v>
      </c>
      <c r="D7" s="49" t="str">
        <f>IF(AND('Selbstbeurteilung Kunde'!D7="",'Selbstbeurteilung Kunde'!E7=""),"*","")</f>
        <v/>
      </c>
      <c r="E7" s="49" t="str">
        <f>IF(ISBLANK('Selbstbeurteilung Kunde'!F7),"",'Selbstbeurteilung Kunde'!F7)</f>
        <v/>
      </c>
      <c r="F7" s="287"/>
      <c r="G7" s="287"/>
      <c r="H7" s="287"/>
      <c r="I7" s="287"/>
      <c r="J7" s="287"/>
      <c r="K7" s="287"/>
      <c r="L7" s="279"/>
      <c r="M7" s="47">
        <v>4</v>
      </c>
      <c r="N7" s="34"/>
      <c r="O7" s="35">
        <f t="shared" si="0"/>
        <v>0</v>
      </c>
      <c r="P7" s="54">
        <f t="shared" ref="P7:P14" si="1">L7*M7</f>
        <v>0</v>
      </c>
      <c r="Q7" s="46"/>
      <c r="R7" s="34"/>
    </row>
    <row r="8" spans="1:20" ht="39.6" x14ac:dyDescent="0.3">
      <c r="A8" s="3" t="str">
        <f>'Selbstbeurteilung Kunde'!A8</f>
        <v>1.1.3.</v>
      </c>
      <c r="B8" s="6" t="str">
        <f>'Selbstbeurteilung Kunde'!C8</f>
        <v>Sind alle Mitarbeiter über den Sinn und die praktischen Konsequenzen des Unternehmensleitbildes informiert, resp. sind die Mitarbeiter „im Bild“?</v>
      </c>
      <c r="C8" s="49">
        <f>IF(ISBLANK('Selbstbeurteilung Kunde'!D8),0,1)</f>
        <v>1</v>
      </c>
      <c r="D8" s="49" t="str">
        <f>IF(AND('Selbstbeurteilung Kunde'!D8="",'Selbstbeurteilung Kunde'!E8=""),"*","")</f>
        <v/>
      </c>
      <c r="E8" s="49" t="str">
        <f>IF(ISBLANK('Selbstbeurteilung Kunde'!F8),"",'Selbstbeurteilung Kunde'!F8)</f>
        <v>Wir sprechen jedes Jahr darüber.</v>
      </c>
      <c r="F8" s="287"/>
      <c r="G8" s="287"/>
      <c r="H8" s="287"/>
      <c r="I8" s="287"/>
      <c r="J8" s="287"/>
      <c r="K8" s="287"/>
      <c r="L8" s="279"/>
      <c r="M8" s="47">
        <v>5</v>
      </c>
      <c r="N8" s="34"/>
      <c r="O8" s="35">
        <f t="shared" si="0"/>
        <v>5</v>
      </c>
      <c r="P8" s="54">
        <f t="shared" si="1"/>
        <v>0</v>
      </c>
      <c r="Q8" s="46"/>
      <c r="R8" s="34"/>
    </row>
    <row r="9" spans="1:20" ht="26.4" x14ac:dyDescent="0.3">
      <c r="A9" s="3" t="str">
        <f>'Selbstbeurteilung Kunde'!A9</f>
        <v>1.1.4.</v>
      </c>
      <c r="B9" s="6" t="str">
        <f>'Selbstbeurteilung Kunde'!C9</f>
        <v xml:space="preserve">Stimmt das betriebliche Geschehen mit dem Unternehmensleitbild überein? </v>
      </c>
      <c r="C9" s="49">
        <f>IF(ISBLANK('Selbstbeurteilung Kunde'!D9),0,1)</f>
        <v>0</v>
      </c>
      <c r="D9" s="49" t="str">
        <f>IF(AND('Selbstbeurteilung Kunde'!D9="",'Selbstbeurteilung Kunde'!E9=""),"*","")</f>
        <v>*</v>
      </c>
      <c r="E9" s="49" t="str">
        <f>IF(ISBLANK('Selbstbeurteilung Kunde'!F9),"",'Selbstbeurteilung Kunde'!F9)</f>
        <v/>
      </c>
      <c r="F9" s="287"/>
      <c r="G9" s="287"/>
      <c r="H9" s="287"/>
      <c r="I9" s="287"/>
      <c r="J9" s="287"/>
      <c r="K9" s="287"/>
      <c r="L9" s="279"/>
      <c r="M9" s="47">
        <v>5</v>
      </c>
      <c r="N9" s="34"/>
      <c r="O9" s="35">
        <f t="shared" si="0"/>
        <v>0</v>
      </c>
      <c r="P9" s="54">
        <f t="shared" si="1"/>
        <v>0</v>
      </c>
      <c r="Q9" s="46"/>
      <c r="R9" s="34"/>
    </row>
    <row r="10" spans="1:20" ht="52.8" x14ac:dyDescent="0.3">
      <c r="A10" s="3" t="str">
        <f>'Selbstbeurteilung Kunde'!A10</f>
        <v>1.1.5.</v>
      </c>
      <c r="B10" s="6" t="str">
        <f>'Selbstbeurteilung Kunde'!C10</f>
        <v xml:space="preserve">Richtet sich das Führungsverhalten der Vorgesetzten in Ihrem Unternehmen nach bestimmten Führungsgrundsätzen oder Führungsrichtlinien? Wenn ja, nach welchen? </v>
      </c>
      <c r="C10" s="49">
        <f>IF(ISBLANK('Selbstbeurteilung Kunde'!D10),0,1)</f>
        <v>0</v>
      </c>
      <c r="D10" s="49" t="str">
        <f>IF(AND('Selbstbeurteilung Kunde'!D10="",'Selbstbeurteilung Kunde'!E10=""),"*","")</f>
        <v>*</v>
      </c>
      <c r="E10" s="49" t="str">
        <f>IF(ISBLANK('Selbstbeurteilung Kunde'!F10),"",'Selbstbeurteilung Kunde'!F10)</f>
        <v/>
      </c>
      <c r="F10" s="287"/>
      <c r="G10" s="287"/>
      <c r="H10" s="287"/>
      <c r="I10" s="287"/>
      <c r="J10" s="287"/>
      <c r="K10" s="287"/>
      <c r="L10" s="279"/>
      <c r="M10" s="47">
        <v>0</v>
      </c>
      <c r="N10" s="34"/>
      <c r="O10" s="35">
        <f t="shared" si="0"/>
        <v>0</v>
      </c>
      <c r="P10" s="54">
        <f t="shared" si="1"/>
        <v>0</v>
      </c>
      <c r="Q10" s="46"/>
      <c r="R10" s="34"/>
    </row>
    <row r="11" spans="1:20" ht="39.6" x14ac:dyDescent="0.3">
      <c r="A11" s="3" t="str">
        <f>'Selbstbeurteilung Kunde'!A11</f>
        <v>1.1.6.</v>
      </c>
      <c r="B11" s="6" t="str">
        <f>'Selbstbeurteilung Kunde'!C11</f>
        <v>Sind Sicherheit und Gesundheitsschutz ein ausdrücklicher Bestandteil der Führungsgrundsätze oder Führungsrichtlinien?</v>
      </c>
      <c r="C11" s="49">
        <f>IF(ISBLANK('Selbstbeurteilung Kunde'!D11),0,1)</f>
        <v>0</v>
      </c>
      <c r="D11" s="49" t="str">
        <f>IF(AND('Selbstbeurteilung Kunde'!D11="",'Selbstbeurteilung Kunde'!E11=""),"*","")</f>
        <v>*</v>
      </c>
      <c r="E11" s="49" t="str">
        <f>IF(ISBLANK('Selbstbeurteilung Kunde'!F11),"",'Selbstbeurteilung Kunde'!F11)</f>
        <v/>
      </c>
      <c r="F11" s="287"/>
      <c r="G11" s="287"/>
      <c r="H11" s="287"/>
      <c r="I11" s="287"/>
      <c r="J11" s="287"/>
      <c r="K11" s="287"/>
      <c r="L11" s="279"/>
      <c r="M11" s="47">
        <v>3</v>
      </c>
      <c r="N11" s="34"/>
      <c r="O11" s="35">
        <f t="shared" si="0"/>
        <v>0</v>
      </c>
      <c r="P11" s="54">
        <f t="shared" si="1"/>
        <v>0</v>
      </c>
      <c r="Q11" s="46"/>
      <c r="R11" s="34"/>
    </row>
    <row r="12" spans="1:20" ht="26.4" x14ac:dyDescent="0.3">
      <c r="A12" s="3" t="str">
        <f>'Selbstbeurteilung Kunde'!A12</f>
        <v>1.1.7.</v>
      </c>
      <c r="B12" s="6" t="str">
        <f>'Selbstbeurteilung Kunde'!C12</f>
        <v>Hat das Unternehmen die Sicherheitscharta der Suva unterzeichnet?</v>
      </c>
      <c r="C12" s="49">
        <f>IF(ISBLANK('Selbstbeurteilung Kunde'!D12),0,1)</f>
        <v>0</v>
      </c>
      <c r="D12" s="49" t="str">
        <f>IF(AND('Selbstbeurteilung Kunde'!D12="",'Selbstbeurteilung Kunde'!E12=""),"*","")</f>
        <v>*</v>
      </c>
      <c r="E12" s="49" t="str">
        <f>IF(ISBLANK('Selbstbeurteilung Kunde'!F12),"",'Selbstbeurteilung Kunde'!F12)</f>
        <v/>
      </c>
      <c r="F12" s="287"/>
      <c r="G12" s="287"/>
      <c r="H12" s="287"/>
      <c r="I12" s="287"/>
      <c r="J12" s="287"/>
      <c r="K12" s="287"/>
      <c r="L12" s="279"/>
      <c r="M12" s="47">
        <v>2</v>
      </c>
      <c r="N12" s="34"/>
      <c r="O12" s="35">
        <f t="shared" si="0"/>
        <v>0</v>
      </c>
      <c r="P12" s="54">
        <f t="shared" si="1"/>
        <v>0</v>
      </c>
      <c r="Q12" s="46"/>
      <c r="R12" s="34"/>
    </row>
    <row r="13" spans="1:20" ht="52.8" x14ac:dyDescent="0.3">
      <c r="A13" s="3" t="str">
        <f>'Selbstbeurteilung Kunde'!A13</f>
        <v>1.1.8.a</v>
      </c>
      <c r="B13" s="6" t="str">
        <f>'Selbstbeurteilung Kunde'!C13</f>
        <v>Ist eines der Folgenden Managementsysteme/Zertifizierungen im Betrieb eingefürt? 
ISO 9001, ISO 14001, ISO 45001, OHSAS18001
Falls ja, welches?</v>
      </c>
      <c r="C13" s="49">
        <f>IF(ISBLANK('Selbstbeurteilung Kunde'!D13),0,1)</f>
        <v>0</v>
      </c>
      <c r="D13" s="49" t="str">
        <f>IF(AND('Selbstbeurteilung Kunde'!D13="",'Selbstbeurteilung Kunde'!E13=""),"*","")</f>
        <v>*</v>
      </c>
      <c r="E13" s="49" t="str">
        <f>IF(ISBLANK('Selbstbeurteilung Kunde'!F13),"",'Selbstbeurteilung Kunde'!F13)</f>
        <v/>
      </c>
      <c r="F13" s="288"/>
      <c r="G13" s="288"/>
      <c r="H13" s="288"/>
      <c r="I13" s="288"/>
      <c r="J13" s="288"/>
      <c r="K13" s="288"/>
      <c r="L13" s="279"/>
      <c r="M13" s="47">
        <v>3</v>
      </c>
      <c r="N13" s="34"/>
      <c r="O13" s="35">
        <f t="shared" si="0"/>
        <v>0</v>
      </c>
      <c r="P13" s="54">
        <f t="shared" si="1"/>
        <v>0</v>
      </c>
      <c r="Q13" s="46"/>
      <c r="R13" s="34"/>
    </row>
    <row r="14" spans="1:20" ht="39.6" x14ac:dyDescent="0.3">
      <c r="A14" s="3" t="str">
        <f>'Selbstbeurteilung Kunde'!A14</f>
        <v>1.1.8.b</v>
      </c>
      <c r="B14" s="6" t="str">
        <f>'Selbstbeurteilung Kunde'!C14</f>
        <v xml:space="preserve">Sind im Betrieb andere Managementsysteme/Zertifizierungen eingeführt? Falls ja, welche? </v>
      </c>
      <c r="C14" s="49">
        <f>IF(ISBLANK('Selbstbeurteilung Kunde'!D14),0,1)</f>
        <v>0</v>
      </c>
      <c r="D14" s="49" t="str">
        <f>IF(AND('Selbstbeurteilung Kunde'!D14="",'Selbstbeurteilung Kunde'!E14=""),"*","")</f>
        <v>*</v>
      </c>
      <c r="E14" s="49" t="str">
        <f>IF(ISBLANK('Selbstbeurteilung Kunde'!F14),"",'Selbstbeurteilung Kunde'!F14)</f>
        <v/>
      </c>
      <c r="F14" s="287"/>
      <c r="G14" s="287"/>
      <c r="H14" s="287"/>
      <c r="I14" s="287"/>
      <c r="J14" s="287"/>
      <c r="K14" s="287"/>
      <c r="L14" s="279"/>
      <c r="M14" s="47">
        <v>0</v>
      </c>
      <c r="N14" s="34"/>
      <c r="O14" s="35">
        <f t="shared" si="0"/>
        <v>0</v>
      </c>
      <c r="P14" s="54">
        <f t="shared" si="1"/>
        <v>0</v>
      </c>
      <c r="Q14" s="46"/>
      <c r="R14" s="34"/>
    </row>
    <row r="15" spans="1:20" x14ac:dyDescent="0.3">
      <c r="A15" s="26" t="str">
        <f>'Selbstbeurteilung Kunde'!A15</f>
        <v>1.2.</v>
      </c>
      <c r="B15" s="27" t="str">
        <f>'Selbstbeurteilung Kunde'!B15</f>
        <v>Engagement der Geschäftsleitung</v>
      </c>
      <c r="C15" s="28">
        <f>O15/N15</f>
        <v>0</v>
      </c>
      <c r="D15" s="350"/>
      <c r="E15" s="37"/>
      <c r="F15" s="282"/>
      <c r="G15" s="282"/>
      <c r="H15" s="282"/>
      <c r="I15" s="282"/>
      <c r="J15" s="282"/>
      <c r="K15" s="282"/>
      <c r="L15" s="63">
        <f>P15/N15</f>
        <v>0</v>
      </c>
      <c r="M15" s="29">
        <v>5</v>
      </c>
      <c r="N15" s="29">
        <f>SUM(M16:M28)</f>
        <v>14</v>
      </c>
      <c r="O15" s="31">
        <f>SUM(O16:O28)</f>
        <v>0</v>
      </c>
      <c r="P15" s="31">
        <f>SUM(P16:P28)</f>
        <v>0</v>
      </c>
      <c r="Q15" s="65">
        <f>O15/$N15*$M15</f>
        <v>0</v>
      </c>
      <c r="R15" s="65">
        <f>P15/$N15*$M15</f>
        <v>0</v>
      </c>
    </row>
    <row r="16" spans="1:20" ht="52.8" x14ac:dyDescent="0.3">
      <c r="A16" s="3" t="str">
        <f>'Selbstbeurteilung Kunde'!A16</f>
        <v>1.2.1.</v>
      </c>
      <c r="B16" s="6" t="str">
        <f>'Selbstbeurteilung Kunde'!C16</f>
        <v>Werden Sicherheit und Gesundheit von der obersten Geschäftsleitung vorgelebt und mit Forderungen, Entscheidungen, Regelungen und Anweisungen massgebend gefördert?</v>
      </c>
      <c r="C16" s="49">
        <f>IF(ISBLANK('Selbstbeurteilung Kunde'!D16),0,1)</f>
        <v>0</v>
      </c>
      <c r="D16" s="49" t="str">
        <f>IF(AND('Selbstbeurteilung Kunde'!D16="",'Selbstbeurteilung Kunde'!E16=""),"*","")</f>
        <v>*</v>
      </c>
      <c r="E16" s="49" t="str">
        <f>IF(ISBLANK('Selbstbeurteilung Kunde'!F16),"",'Selbstbeurteilung Kunde'!F16)</f>
        <v/>
      </c>
      <c r="F16" s="287"/>
      <c r="G16" s="287"/>
      <c r="H16" s="287"/>
      <c r="I16" s="287"/>
      <c r="J16" s="287"/>
      <c r="K16" s="287"/>
      <c r="L16" s="279"/>
      <c r="M16" s="47">
        <v>5</v>
      </c>
      <c r="N16" s="34"/>
      <c r="O16" s="35">
        <f t="shared" ref="O16:O28" si="2">M16*C16</f>
        <v>0</v>
      </c>
      <c r="P16" s="54">
        <f t="shared" ref="P16:P27" si="3">L16*M16</f>
        <v>0</v>
      </c>
      <c r="Q16" s="46"/>
      <c r="R16" s="34"/>
    </row>
    <row r="17" spans="1:18" ht="26.4" x14ac:dyDescent="0.3">
      <c r="A17" s="3" t="str">
        <f>'Selbstbeurteilung Kunde'!A17</f>
        <v>1.2.2.</v>
      </c>
      <c r="B17" s="6" t="str">
        <f>'Selbstbeurteilung Kunde'!C17</f>
        <v>Hat in Ihrer Unternehmen Arbeitssicherheit den gleichen Stellenwert wie Qualität und Produktivität?</v>
      </c>
      <c r="C17" s="49">
        <f>IF(ISBLANK('Selbstbeurteilung Kunde'!D17),0,1)</f>
        <v>0</v>
      </c>
      <c r="D17" s="49" t="str">
        <f>IF(AND('Selbstbeurteilung Kunde'!D17="",'Selbstbeurteilung Kunde'!E17=""),"*","")</f>
        <v>*</v>
      </c>
      <c r="E17" s="49" t="str">
        <f>IF(ISBLANK('Selbstbeurteilung Kunde'!F17),"",'Selbstbeurteilung Kunde'!F17)</f>
        <v/>
      </c>
      <c r="F17" s="287"/>
      <c r="G17" s="287"/>
      <c r="H17" s="287"/>
      <c r="I17" s="287"/>
      <c r="J17" s="287"/>
      <c r="K17" s="287"/>
      <c r="L17" s="279"/>
      <c r="M17" s="47">
        <v>5</v>
      </c>
      <c r="N17" s="34"/>
      <c r="O17" s="35">
        <f t="shared" si="2"/>
        <v>0</v>
      </c>
      <c r="P17" s="54">
        <f t="shared" si="3"/>
        <v>0</v>
      </c>
      <c r="Q17" s="46"/>
      <c r="R17" s="34"/>
    </row>
    <row r="18" spans="1:18" ht="26.4" x14ac:dyDescent="0.3">
      <c r="A18" s="3" t="str">
        <f>'Selbstbeurteilung Kunde'!A18</f>
        <v>1.2.3.</v>
      </c>
      <c r="B18" s="6" t="str">
        <f>'Selbstbeurteilung Kunde'!C18</f>
        <v>Spricht die Geschäftsleitung bei Betriebsrundgängen unsichere Zustände und Handlungen an?</v>
      </c>
      <c r="C18" s="49">
        <f>IF(ISBLANK('Selbstbeurteilung Kunde'!D18),0,1)</f>
        <v>0</v>
      </c>
      <c r="D18" s="49" t="str">
        <f>IF(AND('Selbstbeurteilung Kunde'!D18="",'Selbstbeurteilung Kunde'!E18=""),"*","")</f>
        <v>*</v>
      </c>
      <c r="E18" s="49" t="str">
        <f>IF(ISBLANK('Selbstbeurteilung Kunde'!F18),"",'Selbstbeurteilung Kunde'!F18)</f>
        <v/>
      </c>
      <c r="F18" s="287"/>
      <c r="G18" s="287"/>
      <c r="H18" s="287"/>
      <c r="I18" s="287"/>
      <c r="J18" s="287"/>
      <c r="K18" s="287"/>
      <c r="L18" s="279"/>
      <c r="M18" s="47">
        <v>3</v>
      </c>
      <c r="N18" s="34"/>
      <c r="O18" s="35">
        <f t="shared" si="2"/>
        <v>0</v>
      </c>
      <c r="P18" s="54">
        <f t="shared" si="3"/>
        <v>0</v>
      </c>
      <c r="Q18" s="46"/>
      <c r="R18" s="46"/>
    </row>
    <row r="19" spans="1:18" ht="26.4" x14ac:dyDescent="0.3">
      <c r="A19" s="3" t="str">
        <f>'Selbstbeurteilung Kunde'!A19</f>
        <v>1.2.4.</v>
      </c>
      <c r="B19" s="6" t="str">
        <f>'Selbstbeurteilung Kunde'!C19</f>
        <v>Besteht für Arbeitssicherheit und Gesundheitsschutz eine Budgetposition?</v>
      </c>
      <c r="C19" s="49">
        <f>IF(ISBLANK('Selbstbeurteilung Kunde'!D19),0,1)</f>
        <v>0</v>
      </c>
      <c r="D19" s="49" t="str">
        <f>IF(AND('Selbstbeurteilung Kunde'!D19="",'Selbstbeurteilung Kunde'!E19=""),"*","")</f>
        <v>*</v>
      </c>
      <c r="E19" s="49" t="str">
        <f>IF(ISBLANK('Selbstbeurteilung Kunde'!F19),"",'Selbstbeurteilung Kunde'!F19)</f>
        <v/>
      </c>
      <c r="F19" s="287"/>
      <c r="G19" s="287"/>
      <c r="H19" s="287"/>
      <c r="I19" s="287"/>
      <c r="J19" s="287"/>
      <c r="K19" s="287"/>
      <c r="L19" s="279"/>
      <c r="M19" s="47">
        <v>1</v>
      </c>
      <c r="N19" s="34"/>
      <c r="O19" s="35">
        <f t="shared" si="2"/>
        <v>0</v>
      </c>
      <c r="P19" s="54">
        <f t="shared" si="3"/>
        <v>0</v>
      </c>
      <c r="Q19" s="46"/>
      <c r="R19" s="34"/>
    </row>
    <row r="20" spans="1:18" ht="39.6" x14ac:dyDescent="0.3">
      <c r="A20" s="3" t="str">
        <f>'Selbstbeurteilung Kunde'!A20</f>
        <v>1.2.5.a</v>
      </c>
      <c r="B20" s="6" t="str">
        <f>'Selbstbeurteilung Kunde'!C20</f>
        <v>Unterstützt die Geschäftsleitung die folgenden Aktivitäten im Betrieb:
Risikobeurteilungen?</v>
      </c>
      <c r="C20" s="49">
        <f>IF(ISBLANK('Selbstbeurteilung Kunde'!D20),0,1)</f>
        <v>0</v>
      </c>
      <c r="D20" s="49" t="str">
        <f>IF(AND('Selbstbeurteilung Kunde'!D20="",'Selbstbeurteilung Kunde'!E20=""),"*","")</f>
        <v>*</v>
      </c>
      <c r="E20" s="49" t="str">
        <f>IF(ISBLANK('Selbstbeurteilung Kunde'!F20),"",'Selbstbeurteilung Kunde'!F20)</f>
        <v/>
      </c>
      <c r="F20" s="287"/>
      <c r="G20" s="287"/>
      <c r="H20" s="287"/>
      <c r="I20" s="287"/>
      <c r="J20" s="287"/>
      <c r="K20" s="287"/>
      <c r="L20" s="279"/>
      <c r="M20" s="47">
        <v>0</v>
      </c>
      <c r="N20" s="34"/>
      <c r="O20" s="35">
        <f t="shared" si="2"/>
        <v>0</v>
      </c>
      <c r="P20" s="54">
        <f t="shared" si="3"/>
        <v>0</v>
      </c>
      <c r="Q20" s="46"/>
      <c r="R20" s="34"/>
    </row>
    <row r="21" spans="1:18" x14ac:dyDescent="0.3">
      <c r="A21" s="3" t="str">
        <f>'Selbstbeurteilung Kunde'!A21</f>
        <v>1.2.5.b</v>
      </c>
      <c r="B21" s="6" t="str">
        <f>'Selbstbeurteilung Kunde'!C21</f>
        <v>Audits und Kontrollen?</v>
      </c>
      <c r="C21" s="49">
        <f>IF(ISBLANK('Selbstbeurteilung Kunde'!D21),0,1)</f>
        <v>0</v>
      </c>
      <c r="D21" s="49" t="str">
        <f>IF(AND('Selbstbeurteilung Kunde'!D21="",'Selbstbeurteilung Kunde'!E21=""),"*","")</f>
        <v>*</v>
      </c>
      <c r="E21" s="49" t="str">
        <f>IF(ISBLANK('Selbstbeurteilung Kunde'!F21),"",'Selbstbeurteilung Kunde'!F21)</f>
        <v/>
      </c>
      <c r="F21" s="287"/>
      <c r="G21" s="287"/>
      <c r="H21" s="287"/>
      <c r="I21" s="287"/>
      <c r="J21" s="287"/>
      <c r="K21" s="287"/>
      <c r="L21" s="279"/>
      <c r="M21" s="47">
        <v>0</v>
      </c>
      <c r="N21" s="34"/>
      <c r="O21" s="35">
        <f t="shared" si="2"/>
        <v>0</v>
      </c>
      <c r="P21" s="54">
        <f t="shared" si="3"/>
        <v>0</v>
      </c>
      <c r="Q21" s="46"/>
      <c r="R21" s="34"/>
    </row>
    <row r="22" spans="1:18" x14ac:dyDescent="0.3">
      <c r="A22" s="3" t="str">
        <f>'Selbstbeurteilung Kunde'!A22</f>
        <v>1.2.5.c</v>
      </c>
      <c r="B22" s="6" t="str">
        <f>'Selbstbeurteilung Kunde'!C22</f>
        <v>Unfallabklärungen?</v>
      </c>
      <c r="C22" s="49">
        <f>IF(ISBLANK('Selbstbeurteilung Kunde'!D22),0,1)</f>
        <v>0</v>
      </c>
      <c r="D22" s="49" t="str">
        <f>IF(AND('Selbstbeurteilung Kunde'!D22="",'Selbstbeurteilung Kunde'!E22=""),"*","")</f>
        <v>*</v>
      </c>
      <c r="E22" s="49" t="str">
        <f>IF(ISBLANK('Selbstbeurteilung Kunde'!F22),"",'Selbstbeurteilung Kunde'!F22)</f>
        <v/>
      </c>
      <c r="F22" s="287"/>
      <c r="G22" s="287"/>
      <c r="H22" s="287"/>
      <c r="I22" s="287"/>
      <c r="J22" s="287"/>
      <c r="K22" s="287"/>
      <c r="L22" s="279"/>
      <c r="M22" s="47">
        <v>0</v>
      </c>
      <c r="N22" s="34"/>
      <c r="O22" s="35">
        <f t="shared" si="2"/>
        <v>0</v>
      </c>
      <c r="P22" s="54">
        <f t="shared" si="3"/>
        <v>0</v>
      </c>
      <c r="Q22" s="46"/>
      <c r="R22" s="34"/>
    </row>
    <row r="23" spans="1:18" x14ac:dyDescent="0.3">
      <c r="A23" s="3" t="str">
        <f>'Selbstbeurteilung Kunde'!A23</f>
        <v>1.2.5.d</v>
      </c>
      <c r="B23" s="6" t="str">
        <f>'Selbstbeurteilung Kunde'!C23</f>
        <v>Mitarbeiterschulungen am Arbeitsplatz?</v>
      </c>
      <c r="C23" s="49">
        <f>IF(ISBLANK('Selbstbeurteilung Kunde'!D23),0,1)</f>
        <v>0</v>
      </c>
      <c r="D23" s="49" t="str">
        <f>IF(AND('Selbstbeurteilung Kunde'!D23="",'Selbstbeurteilung Kunde'!E23=""),"*","")</f>
        <v>*</v>
      </c>
      <c r="E23" s="49" t="str">
        <f>IF(ISBLANK('Selbstbeurteilung Kunde'!F23),"",'Selbstbeurteilung Kunde'!F23)</f>
        <v/>
      </c>
      <c r="F23" s="287"/>
      <c r="G23" s="287"/>
      <c r="H23" s="287"/>
      <c r="I23" s="287"/>
      <c r="J23" s="287"/>
      <c r="K23" s="287"/>
      <c r="L23" s="279"/>
      <c r="M23" s="47">
        <v>0</v>
      </c>
      <c r="N23" s="34"/>
      <c r="O23" s="35">
        <f t="shared" si="2"/>
        <v>0</v>
      </c>
      <c r="P23" s="54">
        <f t="shared" si="3"/>
        <v>0</v>
      </c>
      <c r="Q23" s="46"/>
      <c r="R23" s="34"/>
    </row>
    <row r="24" spans="1:18" x14ac:dyDescent="0.3">
      <c r="A24" s="3" t="str">
        <f>'Selbstbeurteilung Kunde'!A24</f>
        <v>1.2.5.e</v>
      </c>
      <c r="B24" s="6" t="str">
        <f>'Selbstbeurteilung Kunde'!C24</f>
        <v>Umsetzung von Massnahmen?</v>
      </c>
      <c r="C24" s="49">
        <f>IF(ISBLANK('Selbstbeurteilung Kunde'!D24),0,1)</f>
        <v>0</v>
      </c>
      <c r="D24" s="49" t="str">
        <f>IF(AND('Selbstbeurteilung Kunde'!D24="",'Selbstbeurteilung Kunde'!E24=""),"*","")</f>
        <v>*</v>
      </c>
      <c r="E24" s="49" t="str">
        <f>IF(ISBLANK('Selbstbeurteilung Kunde'!F24),"",'Selbstbeurteilung Kunde'!F24)</f>
        <v/>
      </c>
      <c r="F24" s="287"/>
      <c r="G24" s="287"/>
      <c r="H24" s="287"/>
      <c r="I24" s="287"/>
      <c r="J24" s="287"/>
      <c r="K24" s="287"/>
      <c r="L24" s="279"/>
      <c r="M24" s="47">
        <v>0</v>
      </c>
      <c r="N24" s="34"/>
      <c r="O24" s="35">
        <f t="shared" si="2"/>
        <v>0</v>
      </c>
      <c r="P24" s="54">
        <f t="shared" si="3"/>
        <v>0</v>
      </c>
      <c r="Q24" s="46"/>
      <c r="R24" s="34"/>
    </row>
    <row r="25" spans="1:18" x14ac:dyDescent="0.3">
      <c r="A25" s="3" t="str">
        <f>'Selbstbeurteilung Kunde'!A25</f>
        <v>1.2.5.f</v>
      </c>
      <c r="B25" s="6" t="str">
        <f>'Selbstbeurteilung Kunde'!C25</f>
        <v>Kampagnen zur Arbeitssicherheit?</v>
      </c>
      <c r="C25" s="49">
        <f>IF(ISBLANK('Selbstbeurteilung Kunde'!D25),0,1)</f>
        <v>0</v>
      </c>
      <c r="D25" s="49" t="str">
        <f>IF(AND('Selbstbeurteilung Kunde'!D25="",'Selbstbeurteilung Kunde'!E25=""),"*","")</f>
        <v>*</v>
      </c>
      <c r="E25" s="49" t="str">
        <f>IF(ISBLANK('Selbstbeurteilung Kunde'!F25),"",'Selbstbeurteilung Kunde'!F25)</f>
        <v/>
      </c>
      <c r="F25" s="287"/>
      <c r="G25" s="287"/>
      <c r="H25" s="287"/>
      <c r="I25" s="287"/>
      <c r="J25" s="287"/>
      <c r="K25" s="287"/>
      <c r="L25" s="279"/>
      <c r="M25" s="47">
        <v>0</v>
      </c>
      <c r="N25" s="34"/>
      <c r="O25" s="35">
        <f t="shared" si="2"/>
        <v>0</v>
      </c>
      <c r="P25" s="54">
        <f t="shared" si="3"/>
        <v>0</v>
      </c>
      <c r="Q25" s="46"/>
      <c r="R25" s="34"/>
    </row>
    <row r="26" spans="1:18" x14ac:dyDescent="0.3">
      <c r="A26" s="3" t="str">
        <f>'Selbstbeurteilung Kunde'!A26</f>
        <v>1.2.5.g</v>
      </c>
      <c r="B26" s="6" t="str">
        <f>'Selbstbeurteilung Kunde'!C26</f>
        <v>Kampagnen zur Freizeitsicherheit?</v>
      </c>
      <c r="C26" s="49">
        <f>IF(ISBLANK('Selbstbeurteilung Kunde'!D26),0,1)</f>
        <v>0</v>
      </c>
      <c r="D26" s="49" t="str">
        <f>IF(AND('Selbstbeurteilung Kunde'!D26="",'Selbstbeurteilung Kunde'!E26=""),"*","")</f>
        <v>*</v>
      </c>
      <c r="E26" s="49" t="str">
        <f>IF(ISBLANK('Selbstbeurteilung Kunde'!F26),"",'Selbstbeurteilung Kunde'!F26)</f>
        <v/>
      </c>
      <c r="F26" s="287"/>
      <c r="G26" s="287"/>
      <c r="H26" s="287"/>
      <c r="I26" s="287"/>
      <c r="J26" s="287"/>
      <c r="K26" s="287"/>
      <c r="L26" s="279"/>
      <c r="M26" s="47">
        <v>0</v>
      </c>
      <c r="N26" s="34"/>
      <c r="O26" s="35">
        <f t="shared" si="2"/>
        <v>0</v>
      </c>
      <c r="P26" s="54">
        <f>L26*M26</f>
        <v>0</v>
      </c>
      <c r="Q26" s="46"/>
      <c r="R26" s="34"/>
    </row>
    <row r="27" spans="1:18" x14ac:dyDescent="0.3">
      <c r="A27" s="3" t="str">
        <f>'Selbstbeurteilung Kunde'!A27</f>
        <v>1.2.5.h</v>
      </c>
      <c r="B27" s="6" t="str">
        <f>'Selbstbeurteilung Kunde'!C27</f>
        <v>Absenzenmanagement?</v>
      </c>
      <c r="C27" s="49">
        <f>IF(ISBLANK('Selbstbeurteilung Kunde'!D27),0,1)</f>
        <v>0</v>
      </c>
      <c r="D27" s="49" t="str">
        <f>IF(AND('Selbstbeurteilung Kunde'!D27="",'Selbstbeurteilung Kunde'!E27=""),"*","")</f>
        <v>*</v>
      </c>
      <c r="E27" s="49" t="str">
        <f>IF(ISBLANK('Selbstbeurteilung Kunde'!F27),"",'Selbstbeurteilung Kunde'!F27)</f>
        <v/>
      </c>
      <c r="F27" s="287"/>
      <c r="G27" s="287"/>
      <c r="H27" s="287"/>
      <c r="I27" s="287"/>
      <c r="J27" s="287"/>
      <c r="K27" s="287"/>
      <c r="L27" s="279"/>
      <c r="M27" s="47">
        <v>0</v>
      </c>
      <c r="N27" s="34"/>
      <c r="O27" s="35">
        <f t="shared" si="2"/>
        <v>0</v>
      </c>
      <c r="P27" s="54">
        <f t="shared" si="3"/>
        <v>0</v>
      </c>
      <c r="Q27" s="46"/>
      <c r="R27" s="34"/>
    </row>
    <row r="28" spans="1:18" x14ac:dyDescent="0.3">
      <c r="A28" s="3" t="str">
        <f>'Selbstbeurteilung Kunde'!A28</f>
        <v>1.2.5.i</v>
      </c>
      <c r="B28" s="6" t="str">
        <f>'Selbstbeurteilung Kunde'!C28</f>
        <v>Weitere/andere? Falls ja, welche?</v>
      </c>
      <c r="C28" s="49">
        <f>IF(ISBLANK('Selbstbeurteilung Kunde'!D28),0,1)</f>
        <v>0</v>
      </c>
      <c r="D28" s="49" t="str">
        <f>IF(AND('Selbstbeurteilung Kunde'!D28="",'Selbstbeurteilung Kunde'!E28=""),"*","")</f>
        <v>*</v>
      </c>
      <c r="E28" s="49" t="str">
        <f>IF(ISBLANK('Selbstbeurteilung Kunde'!F28),"",'Selbstbeurteilung Kunde'!F28)</f>
        <v/>
      </c>
      <c r="F28" s="287"/>
      <c r="G28" s="287"/>
      <c r="H28" s="287"/>
      <c r="I28" s="287"/>
      <c r="J28" s="287"/>
      <c r="K28" s="287"/>
      <c r="L28" s="279"/>
      <c r="M28" s="47">
        <v>0</v>
      </c>
      <c r="N28" s="34"/>
      <c r="O28" s="35">
        <f t="shared" si="2"/>
        <v>0</v>
      </c>
      <c r="P28" s="54">
        <f>L28*M28</f>
        <v>0</v>
      </c>
      <c r="Q28" s="46"/>
      <c r="R28" s="34"/>
    </row>
    <row r="29" spans="1:18" x14ac:dyDescent="0.3">
      <c r="A29" s="33" t="str">
        <f>'Selbstbeurteilung Kunde'!A29</f>
        <v>1.3.</v>
      </c>
      <c r="B29" s="32" t="str">
        <f>'Selbstbeurteilung Kunde'!B29</f>
        <v>Engagement der Linienvorgesetzten</v>
      </c>
      <c r="C29" s="28">
        <f>O29/N29</f>
        <v>0</v>
      </c>
      <c r="D29" s="350"/>
      <c r="E29" s="38"/>
      <c r="F29" s="283"/>
      <c r="G29" s="283"/>
      <c r="H29" s="283"/>
      <c r="I29" s="283"/>
      <c r="J29" s="283"/>
      <c r="K29" s="283"/>
      <c r="L29" s="63">
        <f>P29/N29</f>
        <v>0</v>
      </c>
      <c r="M29" s="29">
        <v>5</v>
      </c>
      <c r="N29" s="29">
        <f>SUM(M30:M41)</f>
        <v>21</v>
      </c>
      <c r="O29" s="31">
        <f>SUM(O30:O41)</f>
        <v>0</v>
      </c>
      <c r="P29" s="31">
        <f>SUM(P30:P41)</f>
        <v>0</v>
      </c>
      <c r="Q29" s="65">
        <f>O29/$N29*$M29</f>
        <v>0</v>
      </c>
      <c r="R29" s="65">
        <f>P29/$N29*$M29</f>
        <v>0</v>
      </c>
    </row>
    <row r="30" spans="1:18" ht="52.8" x14ac:dyDescent="0.3">
      <c r="A30" s="3" t="str">
        <f>'Selbstbeurteilung Kunde'!A30</f>
        <v>1.3.1.a</v>
      </c>
      <c r="B30" s="6" t="str">
        <f>'Selbstbeurteilung Kunde'!C30</f>
        <v>Wird Sicherheit und Gesundheit von den Linienvorgesetzten gefördert durch:
Vorleben der Sicherheitsvorschriften (z.B. Tragen von persönlicher Schutzausrüstung (PSA))?</v>
      </c>
      <c r="C30" s="49">
        <f>IF(ISBLANK('Selbstbeurteilung Kunde'!D30),0,1)</f>
        <v>0</v>
      </c>
      <c r="D30" s="49" t="str">
        <f>IF(AND('Selbstbeurteilung Kunde'!D30="",'Selbstbeurteilung Kunde'!E30=""),"*","")</f>
        <v>*</v>
      </c>
      <c r="E30" s="50" t="str">
        <f>IF(ISBLANK('Selbstbeurteilung Kunde'!F30),"",'Selbstbeurteilung Kunde'!F30)</f>
        <v/>
      </c>
      <c r="F30" s="287"/>
      <c r="G30" s="287"/>
      <c r="H30" s="287"/>
      <c r="I30" s="287"/>
      <c r="J30" s="287"/>
      <c r="K30" s="287"/>
      <c r="L30" s="279"/>
      <c r="M30" s="47">
        <v>5</v>
      </c>
      <c r="N30" s="34"/>
      <c r="O30" s="35">
        <f t="shared" ref="O30:O41" si="4">M30*C30</f>
        <v>0</v>
      </c>
      <c r="P30" s="54">
        <f t="shared" ref="P30:P41" si="5">L30*M30</f>
        <v>0</v>
      </c>
      <c r="Q30" s="46"/>
      <c r="R30" s="34"/>
    </row>
    <row r="31" spans="1:18" x14ac:dyDescent="0.3">
      <c r="A31" s="3" t="str">
        <f>'Selbstbeurteilung Kunde'!A31</f>
        <v>1.3.1.b</v>
      </c>
      <c r="B31" s="6" t="str">
        <f>'Selbstbeurteilung Kunde'!C31</f>
        <v>Durchsetzen von Sicherheitsvorschriften?</v>
      </c>
      <c r="C31" s="49">
        <f>IF(ISBLANK('Selbstbeurteilung Kunde'!D31),0,1)</f>
        <v>0</v>
      </c>
      <c r="D31" s="49" t="str">
        <f>IF(AND('Selbstbeurteilung Kunde'!D31="",'Selbstbeurteilung Kunde'!E31=""),"*","")</f>
        <v>*</v>
      </c>
      <c r="E31" s="50" t="str">
        <f>IF(ISBLANK('Selbstbeurteilung Kunde'!F31),"",'Selbstbeurteilung Kunde'!F31)</f>
        <v/>
      </c>
      <c r="F31" s="287"/>
      <c r="G31" s="287"/>
      <c r="H31" s="287"/>
      <c r="I31" s="287"/>
      <c r="J31" s="287"/>
      <c r="K31" s="287"/>
      <c r="L31" s="279"/>
      <c r="M31" s="47">
        <v>5</v>
      </c>
      <c r="N31" s="34"/>
      <c r="O31" s="35">
        <f t="shared" si="4"/>
        <v>0</v>
      </c>
      <c r="P31" s="54">
        <f t="shared" si="5"/>
        <v>0</v>
      </c>
      <c r="Q31" s="46"/>
      <c r="R31" s="34"/>
    </row>
    <row r="32" spans="1:18" ht="26.4" x14ac:dyDescent="0.3">
      <c r="A32" s="3" t="str">
        <f>'Selbstbeurteilung Kunde'!A32</f>
        <v>1.3.1.c</v>
      </c>
      <c r="B32" s="6" t="str">
        <f>'Selbstbeurteilung Kunde'!C32</f>
        <v>Weitere/andere Verhaltensweisen und Anreize? Falls ja, welche?</v>
      </c>
      <c r="C32" s="49">
        <f>IF(ISBLANK('Selbstbeurteilung Kunde'!D32),0,1)</f>
        <v>0</v>
      </c>
      <c r="D32" s="49" t="str">
        <f>IF(AND('Selbstbeurteilung Kunde'!D32="",'Selbstbeurteilung Kunde'!E32=""),"*","")</f>
        <v>*</v>
      </c>
      <c r="E32" s="50" t="str">
        <f>IF(ISBLANK('Selbstbeurteilung Kunde'!F32),"",'Selbstbeurteilung Kunde'!F32)</f>
        <v/>
      </c>
      <c r="F32" s="287"/>
      <c r="G32" s="287"/>
      <c r="H32" s="287"/>
      <c r="I32" s="287"/>
      <c r="J32" s="287"/>
      <c r="K32" s="287"/>
      <c r="L32" s="279"/>
      <c r="M32" s="47">
        <v>0</v>
      </c>
      <c r="N32" s="34"/>
      <c r="O32" s="35">
        <f t="shared" si="4"/>
        <v>0</v>
      </c>
      <c r="P32" s="54">
        <f t="shared" si="5"/>
        <v>0</v>
      </c>
      <c r="Q32" s="46"/>
      <c r="R32" s="34"/>
    </row>
    <row r="33" spans="1:18" ht="52.8" x14ac:dyDescent="0.3">
      <c r="A33" s="3" t="str">
        <f>'Selbstbeurteilung Kunde'!A33</f>
        <v>1.3.2.a</v>
      </c>
      <c r="B33" s="6" t="str">
        <f>'Selbstbeurteilung Kunde'!C33</f>
        <v>Engagieren sich die Linienvorgesetzten für Sicherheit und Gesundheit der Beschäftigten, indem sie die folgenden Aktivitäten durchführen:
Risikobeurteilungen?</v>
      </c>
      <c r="C33" s="49">
        <f>IF(ISBLANK('Selbstbeurteilung Kunde'!D33),0,1)</f>
        <v>0</v>
      </c>
      <c r="D33" s="49" t="str">
        <f>IF(AND('Selbstbeurteilung Kunde'!D33="",'Selbstbeurteilung Kunde'!E33=""),"*","")</f>
        <v>*</v>
      </c>
      <c r="E33" s="50" t="str">
        <f>IF(ISBLANK('Selbstbeurteilung Kunde'!F33),"",'Selbstbeurteilung Kunde'!F33)</f>
        <v/>
      </c>
      <c r="F33" s="287"/>
      <c r="G33" s="287"/>
      <c r="H33" s="287"/>
      <c r="I33" s="287"/>
      <c r="J33" s="287"/>
      <c r="K33" s="287"/>
      <c r="L33" s="279"/>
      <c r="M33" s="47">
        <v>0</v>
      </c>
      <c r="N33" s="34"/>
      <c r="O33" s="35">
        <f t="shared" si="4"/>
        <v>0</v>
      </c>
      <c r="P33" s="54">
        <f t="shared" si="5"/>
        <v>0</v>
      </c>
      <c r="Q33" s="46"/>
      <c r="R33" s="46"/>
    </row>
    <row r="34" spans="1:18" x14ac:dyDescent="0.3">
      <c r="A34" s="3" t="str">
        <f>'Selbstbeurteilung Kunde'!A34</f>
        <v>1.3.2.b</v>
      </c>
      <c r="B34" s="6" t="str">
        <f>'Selbstbeurteilung Kunde'!C34</f>
        <v>Audits/Kontrollen?</v>
      </c>
      <c r="C34" s="49">
        <f>IF(ISBLANK('Selbstbeurteilung Kunde'!D34),0,1)</f>
        <v>0</v>
      </c>
      <c r="D34" s="49" t="str">
        <f>IF(AND('Selbstbeurteilung Kunde'!D34="",'Selbstbeurteilung Kunde'!E34=""),"*","")</f>
        <v>*</v>
      </c>
      <c r="E34" s="50" t="str">
        <f>IF(ISBLANK('Selbstbeurteilung Kunde'!F34),"",'Selbstbeurteilung Kunde'!F34)</f>
        <v/>
      </c>
      <c r="F34" s="287"/>
      <c r="G34" s="287"/>
      <c r="H34" s="287"/>
      <c r="I34" s="287"/>
      <c r="J34" s="287"/>
      <c r="K34" s="287"/>
      <c r="L34" s="279"/>
      <c r="M34" s="47">
        <v>2</v>
      </c>
      <c r="N34" s="48"/>
      <c r="O34" s="35">
        <f t="shared" si="4"/>
        <v>0</v>
      </c>
      <c r="P34" s="54">
        <f t="shared" si="5"/>
        <v>0</v>
      </c>
      <c r="Q34" s="46"/>
      <c r="R34" s="48"/>
    </row>
    <row r="35" spans="1:18" x14ac:dyDescent="0.3">
      <c r="A35" s="3" t="str">
        <f>'Selbstbeurteilung Kunde'!A35</f>
        <v>1.3.2.c</v>
      </c>
      <c r="B35" s="6" t="str">
        <f>'Selbstbeurteilung Kunde'!C35</f>
        <v>Unfallabklärungen?</v>
      </c>
      <c r="C35" s="49">
        <f>IF(ISBLANK('Selbstbeurteilung Kunde'!D35),0,1)</f>
        <v>0</v>
      </c>
      <c r="D35" s="49" t="str">
        <f>IF(AND('Selbstbeurteilung Kunde'!D35="",'Selbstbeurteilung Kunde'!E35=""),"*","")</f>
        <v>*</v>
      </c>
      <c r="E35" s="50" t="str">
        <f>IF(ISBLANK('Selbstbeurteilung Kunde'!F35),"",'Selbstbeurteilung Kunde'!F35)</f>
        <v/>
      </c>
      <c r="F35" s="287"/>
      <c r="G35" s="287"/>
      <c r="H35" s="287"/>
      <c r="I35" s="287"/>
      <c r="J35" s="287"/>
      <c r="K35" s="287"/>
      <c r="L35" s="279"/>
      <c r="M35" s="47">
        <v>2</v>
      </c>
      <c r="N35" s="48"/>
      <c r="O35" s="35">
        <f t="shared" si="4"/>
        <v>0</v>
      </c>
      <c r="P35" s="54">
        <f t="shared" si="5"/>
        <v>0</v>
      </c>
      <c r="Q35" s="46"/>
      <c r="R35" s="48"/>
    </row>
    <row r="36" spans="1:18" x14ac:dyDescent="0.3">
      <c r="A36" s="3" t="str">
        <f>'Selbstbeurteilung Kunde'!A36</f>
        <v>1.3.2.d</v>
      </c>
      <c r="B36" s="6" t="str">
        <f>'Selbstbeurteilung Kunde'!C36</f>
        <v>Mitarbeiterschulungen am Arbeitsplatz?</v>
      </c>
      <c r="C36" s="49">
        <f>IF(ISBLANK('Selbstbeurteilung Kunde'!D36),0,1)</f>
        <v>0</v>
      </c>
      <c r="D36" s="49" t="str">
        <f>IF(AND('Selbstbeurteilung Kunde'!D36="",'Selbstbeurteilung Kunde'!E36=""),"*","")</f>
        <v>*</v>
      </c>
      <c r="E36" s="50" t="str">
        <f>IF(ISBLANK('Selbstbeurteilung Kunde'!F36),"",'Selbstbeurteilung Kunde'!F36)</f>
        <v/>
      </c>
      <c r="F36" s="287"/>
      <c r="G36" s="287"/>
      <c r="H36" s="287"/>
      <c r="I36" s="287"/>
      <c r="J36" s="287"/>
      <c r="K36" s="287"/>
      <c r="L36" s="279"/>
      <c r="M36" s="47">
        <v>2</v>
      </c>
      <c r="N36" s="48"/>
      <c r="O36" s="35">
        <f t="shared" si="4"/>
        <v>0</v>
      </c>
      <c r="P36" s="54">
        <f t="shared" si="5"/>
        <v>0</v>
      </c>
      <c r="Q36" s="46"/>
      <c r="R36" s="48"/>
    </row>
    <row r="37" spans="1:18" x14ac:dyDescent="0.3">
      <c r="A37" s="3" t="str">
        <f>'Selbstbeurteilung Kunde'!A37</f>
        <v>1.3.2.e</v>
      </c>
      <c r="B37" s="6" t="str">
        <f>'Selbstbeurteilung Kunde'!C37</f>
        <v>Kampagnen für Arbeitssicherheit?</v>
      </c>
      <c r="C37" s="49">
        <f>IF(ISBLANK('Selbstbeurteilung Kunde'!D37),0,1)</f>
        <v>0</v>
      </c>
      <c r="D37" s="49" t="str">
        <f>IF(AND('Selbstbeurteilung Kunde'!D37="",'Selbstbeurteilung Kunde'!E37=""),"*","")</f>
        <v>*</v>
      </c>
      <c r="E37" s="50" t="str">
        <f>IF(ISBLANK('Selbstbeurteilung Kunde'!F37),"",'Selbstbeurteilung Kunde'!F37)</f>
        <v/>
      </c>
      <c r="F37" s="287"/>
      <c r="G37" s="287"/>
      <c r="H37" s="287"/>
      <c r="I37" s="287"/>
      <c r="J37" s="287"/>
      <c r="K37" s="287"/>
      <c r="L37" s="279"/>
      <c r="M37" s="47">
        <v>0</v>
      </c>
      <c r="N37" s="48"/>
      <c r="O37" s="35">
        <f t="shared" si="4"/>
        <v>0</v>
      </c>
      <c r="P37" s="54">
        <f t="shared" si="5"/>
        <v>0</v>
      </c>
      <c r="Q37" s="46"/>
      <c r="R37" s="48"/>
    </row>
    <row r="38" spans="1:18" x14ac:dyDescent="0.3">
      <c r="A38" s="3" t="str">
        <f>'Selbstbeurteilung Kunde'!A38</f>
        <v>1.3.2.f</v>
      </c>
      <c r="B38" s="6" t="str">
        <f>'Selbstbeurteilung Kunde'!C38</f>
        <v>Kampagnen für Freizeitsicherheit?</v>
      </c>
      <c r="C38" s="49">
        <f>IF(ISBLANK('Selbstbeurteilung Kunde'!D38),0,1)</f>
        <v>0</v>
      </c>
      <c r="D38" s="49" t="str">
        <f>IF(AND('Selbstbeurteilung Kunde'!D38="",'Selbstbeurteilung Kunde'!E38=""),"*","")</f>
        <v>*</v>
      </c>
      <c r="E38" s="50" t="str">
        <f>IF(ISBLANK('Selbstbeurteilung Kunde'!F38),"",'Selbstbeurteilung Kunde'!F38)</f>
        <v/>
      </c>
      <c r="F38" s="287"/>
      <c r="G38" s="287"/>
      <c r="H38" s="287"/>
      <c r="I38" s="287"/>
      <c r="J38" s="287"/>
      <c r="K38" s="287"/>
      <c r="L38" s="279"/>
      <c r="M38" s="47">
        <v>0</v>
      </c>
      <c r="N38" s="48"/>
      <c r="O38" s="35">
        <f t="shared" si="4"/>
        <v>0</v>
      </c>
      <c r="P38" s="54">
        <f t="shared" si="5"/>
        <v>0</v>
      </c>
      <c r="Q38" s="46"/>
      <c r="R38" s="48"/>
    </row>
    <row r="39" spans="1:18" x14ac:dyDescent="0.3">
      <c r="A39" s="3" t="str">
        <f>'Selbstbeurteilung Kunde'!A39</f>
        <v>1.3.2.g</v>
      </c>
      <c r="B39" s="6" t="str">
        <f>'Selbstbeurteilung Kunde'!C39</f>
        <v>Absenzenmanagement?</v>
      </c>
      <c r="C39" s="49">
        <f>IF(ISBLANK('Selbstbeurteilung Kunde'!D39),0,1)</f>
        <v>0</v>
      </c>
      <c r="D39" s="49" t="str">
        <f>IF(AND('Selbstbeurteilung Kunde'!D39="",'Selbstbeurteilung Kunde'!E39=""),"*","")</f>
        <v>*</v>
      </c>
      <c r="E39" s="50" t="str">
        <f>IF(ISBLANK('Selbstbeurteilung Kunde'!F39),"",'Selbstbeurteilung Kunde'!F39)</f>
        <v/>
      </c>
      <c r="F39" s="287"/>
      <c r="G39" s="287"/>
      <c r="H39" s="287"/>
      <c r="I39" s="287"/>
      <c r="J39" s="287"/>
      <c r="K39" s="287"/>
      <c r="L39" s="279"/>
      <c r="M39" s="47">
        <v>2</v>
      </c>
      <c r="N39" s="48"/>
      <c r="O39" s="35">
        <f t="shared" si="4"/>
        <v>0</v>
      </c>
      <c r="P39" s="54">
        <f t="shared" si="5"/>
        <v>0</v>
      </c>
      <c r="Q39" s="46"/>
      <c r="R39" s="48"/>
    </row>
    <row r="40" spans="1:18" x14ac:dyDescent="0.3">
      <c r="A40" s="3" t="str">
        <f>'Selbstbeurteilung Kunde'!A40</f>
        <v>1.3.2.h</v>
      </c>
      <c r="B40" s="6" t="str">
        <f>'Selbstbeurteilung Kunde'!C40</f>
        <v>Weitere/andere? Falls ja, welche?</v>
      </c>
      <c r="C40" s="49">
        <f>IF(ISBLANK('Selbstbeurteilung Kunde'!D40),0,1)</f>
        <v>0</v>
      </c>
      <c r="D40" s="49" t="str">
        <f>IF(AND('Selbstbeurteilung Kunde'!D40="",'Selbstbeurteilung Kunde'!E40=""),"*","")</f>
        <v>*</v>
      </c>
      <c r="E40" s="50" t="str">
        <f>IF(ISBLANK('Selbstbeurteilung Kunde'!F40),"",'Selbstbeurteilung Kunde'!F40)</f>
        <v/>
      </c>
      <c r="F40" s="287"/>
      <c r="G40" s="287"/>
      <c r="H40" s="287"/>
      <c r="I40" s="287"/>
      <c r="J40" s="287"/>
      <c r="K40" s="287"/>
      <c r="L40" s="279"/>
      <c r="M40" s="47">
        <v>0</v>
      </c>
      <c r="N40" s="48"/>
      <c r="O40" s="35">
        <f t="shared" si="4"/>
        <v>0</v>
      </c>
      <c r="P40" s="54">
        <f t="shared" si="5"/>
        <v>0</v>
      </c>
      <c r="Q40" s="46"/>
      <c r="R40" s="48"/>
    </row>
    <row r="41" spans="1:18" ht="39.6" x14ac:dyDescent="0.3">
      <c r="A41" s="3" t="str">
        <f>'Selbstbeurteilung Kunde'!A41</f>
        <v>1.3.3</v>
      </c>
      <c r="B41" s="6" t="str">
        <f>'Selbstbeurteilung Kunde'!C41</f>
        <v>Kennen die Linienvorgesetzten Pflichten und Rechte, die sich aus gesetzlichen Anforderungen bezüglich Sicherheit und Gesundheit ergeben?</v>
      </c>
      <c r="C41" s="49">
        <f>IF(ISBLANK('Selbstbeurteilung Kunde'!D41),0,1)</f>
        <v>0</v>
      </c>
      <c r="D41" s="49" t="str">
        <f>IF(AND('Selbstbeurteilung Kunde'!D41="",'Selbstbeurteilung Kunde'!E41=""),"*","")</f>
        <v>*</v>
      </c>
      <c r="E41" s="50" t="str">
        <f>IF(ISBLANK('Selbstbeurteilung Kunde'!F41),"",'Selbstbeurteilung Kunde'!F41)</f>
        <v/>
      </c>
      <c r="F41" s="287"/>
      <c r="G41" s="287"/>
      <c r="H41" s="287"/>
      <c r="I41" s="287"/>
      <c r="J41" s="287"/>
      <c r="K41" s="287"/>
      <c r="L41" s="279"/>
      <c r="M41" s="47">
        <v>3</v>
      </c>
      <c r="N41" s="48"/>
      <c r="O41" s="35">
        <f t="shared" si="4"/>
        <v>0</v>
      </c>
      <c r="P41" s="54">
        <f t="shared" si="5"/>
        <v>0</v>
      </c>
      <c r="Q41" s="46"/>
      <c r="R41" s="48"/>
    </row>
    <row r="42" spans="1:18" x14ac:dyDescent="0.3">
      <c r="A42" s="26" t="str">
        <f>'Selbstbeurteilung Kunde'!A42</f>
        <v>1.4.</v>
      </c>
      <c r="B42" s="32" t="str">
        <f>'Selbstbeurteilung Kunde'!B42</f>
        <v>Sicherheitsziele</v>
      </c>
      <c r="C42" s="28">
        <f>O42/N42</f>
        <v>0</v>
      </c>
      <c r="D42" s="350"/>
      <c r="E42" s="39"/>
      <c r="F42" s="283"/>
      <c r="G42" s="283"/>
      <c r="H42" s="283"/>
      <c r="I42" s="283"/>
      <c r="J42" s="283"/>
      <c r="K42" s="283"/>
      <c r="L42" s="63">
        <f>P42/N42</f>
        <v>0</v>
      </c>
      <c r="M42" s="29">
        <v>2</v>
      </c>
      <c r="N42" s="29">
        <f>SUM(M43:M55)</f>
        <v>21</v>
      </c>
      <c r="O42" s="31">
        <f>SUM(O43:O55)</f>
        <v>0</v>
      </c>
      <c r="P42" s="31">
        <f>SUM(P43:P55)</f>
        <v>0</v>
      </c>
      <c r="Q42" s="65">
        <f>O42/$N42*$M42</f>
        <v>0</v>
      </c>
      <c r="R42" s="65">
        <f>P42/$N42*$M42</f>
        <v>0</v>
      </c>
    </row>
    <row r="43" spans="1:18" ht="81" customHeight="1" x14ac:dyDescent="0.3">
      <c r="A43" s="3" t="str">
        <f>'Selbstbeurteilung Kunde'!A43</f>
        <v>1.4.1.a</v>
      </c>
      <c r="B43" s="6" t="str">
        <f>'Selbstbeurteilung Kunde'!C43</f>
        <v>Bestehen messbare Ziele in Bezug auf die Begrenzung der Häufigkeiten* der folgenden Ereignisse:
*Häufigkeit: Anzahl Ereignisse im Verhältnis zur produktiven Arbeitszeit oder Anzahl Ereignisse im Verhältnis zur Anzahl der Vollbeschäftigten während einer bestimmten Periode.
Berufsunfälle/Berufskrankheiten?</v>
      </c>
      <c r="C43" s="49">
        <f>IF(ISBLANK('Selbstbeurteilung Kunde'!D43),0,1)</f>
        <v>0</v>
      </c>
      <c r="D43" s="49" t="str">
        <f>IF(AND('Selbstbeurteilung Kunde'!D43="",'Selbstbeurteilung Kunde'!E43=""),"*","")</f>
        <v>*</v>
      </c>
      <c r="E43" s="50" t="str">
        <f>IF(ISBLANK('Selbstbeurteilung Kunde'!F43),"",'Selbstbeurteilung Kunde'!F43)</f>
        <v/>
      </c>
      <c r="F43" s="287"/>
      <c r="G43" s="287"/>
      <c r="H43" s="287"/>
      <c r="I43" s="287"/>
      <c r="J43" s="287"/>
      <c r="K43" s="287"/>
      <c r="L43" s="279"/>
      <c r="M43" s="47">
        <v>5</v>
      </c>
      <c r="N43" s="48"/>
      <c r="O43" s="35">
        <f t="shared" ref="O43:O55" si="6">M43*C43</f>
        <v>0</v>
      </c>
      <c r="P43" s="54">
        <f t="shared" ref="P43:P55" si="7">L43*M43</f>
        <v>0</v>
      </c>
      <c r="Q43" s="46"/>
      <c r="R43" s="48"/>
    </row>
    <row r="44" spans="1:18" x14ac:dyDescent="0.3">
      <c r="A44" s="3" t="str">
        <f>'Selbstbeurteilung Kunde'!A44</f>
        <v>1.4.1.b</v>
      </c>
      <c r="B44" s="6" t="str">
        <f>'Selbstbeurteilung Kunde'!C44</f>
        <v>Nichtberufsunfälle?</v>
      </c>
      <c r="C44" s="49">
        <f>IF(ISBLANK('Selbstbeurteilung Kunde'!D44),0,1)</f>
        <v>0</v>
      </c>
      <c r="D44" s="49" t="str">
        <f>IF(AND('Selbstbeurteilung Kunde'!D44="",'Selbstbeurteilung Kunde'!E44=""),"*","")</f>
        <v>*</v>
      </c>
      <c r="E44" s="50" t="str">
        <f>IF(ISBLANK('Selbstbeurteilung Kunde'!F44),"",'Selbstbeurteilung Kunde'!F44)</f>
        <v/>
      </c>
      <c r="F44" s="287"/>
      <c r="G44" s="287"/>
      <c r="H44" s="287"/>
      <c r="I44" s="287"/>
      <c r="J44" s="287"/>
      <c r="K44" s="287"/>
      <c r="L44" s="279"/>
      <c r="M44" s="47">
        <v>3</v>
      </c>
      <c r="N44" s="48"/>
      <c r="O44" s="35">
        <f t="shared" si="6"/>
        <v>0</v>
      </c>
      <c r="P44" s="54">
        <f t="shared" si="7"/>
        <v>0</v>
      </c>
      <c r="Q44" s="46"/>
      <c r="R44" s="48"/>
    </row>
    <row r="45" spans="1:18" x14ac:dyDescent="0.3">
      <c r="A45" s="3" t="str">
        <f>'Selbstbeurteilung Kunde'!A45</f>
        <v>1.4.1.c</v>
      </c>
      <c r="B45" s="6" t="str">
        <f>'Selbstbeurteilung Kunde'!C45</f>
        <v>Krankheiten?</v>
      </c>
      <c r="C45" s="49">
        <f>IF(ISBLANK('Selbstbeurteilung Kunde'!D45),0,1)</f>
        <v>0</v>
      </c>
      <c r="D45" s="49" t="str">
        <f>IF(AND('Selbstbeurteilung Kunde'!D45="",'Selbstbeurteilung Kunde'!E45=""),"*","")</f>
        <v>*</v>
      </c>
      <c r="E45" s="50" t="str">
        <f>IF(ISBLANK('Selbstbeurteilung Kunde'!F45),"",'Selbstbeurteilung Kunde'!F45)</f>
        <v/>
      </c>
      <c r="F45" s="287"/>
      <c r="G45" s="287"/>
      <c r="H45" s="287"/>
      <c r="I45" s="287"/>
      <c r="J45" s="287"/>
      <c r="K45" s="287"/>
      <c r="L45" s="279"/>
      <c r="M45" s="47">
        <v>2</v>
      </c>
      <c r="N45" s="48"/>
      <c r="O45" s="35">
        <f t="shared" si="6"/>
        <v>0</v>
      </c>
      <c r="P45" s="54">
        <f t="shared" si="7"/>
        <v>0</v>
      </c>
      <c r="Q45" s="46"/>
      <c r="R45" s="48"/>
    </row>
    <row r="46" spans="1:18" x14ac:dyDescent="0.3">
      <c r="A46" s="3" t="str">
        <f>'Selbstbeurteilung Kunde'!A46</f>
        <v>1.4.1.d</v>
      </c>
      <c r="B46" s="6" t="str">
        <f>'Selbstbeurteilung Kunde'!C46</f>
        <v>Sachschäden?</v>
      </c>
      <c r="C46" s="49">
        <f>IF(ISBLANK('Selbstbeurteilung Kunde'!D46),0,1)</f>
        <v>0</v>
      </c>
      <c r="D46" s="49" t="str">
        <f>IF(AND('Selbstbeurteilung Kunde'!D46="",'Selbstbeurteilung Kunde'!E46=""),"*","")</f>
        <v>*</v>
      </c>
      <c r="E46" s="50" t="str">
        <f>IF(ISBLANK('Selbstbeurteilung Kunde'!F46),"",'Selbstbeurteilung Kunde'!F46)</f>
        <v/>
      </c>
      <c r="F46" s="287"/>
      <c r="G46" s="287"/>
      <c r="H46" s="287"/>
      <c r="I46" s="287"/>
      <c r="J46" s="287"/>
      <c r="K46" s="287"/>
      <c r="L46" s="279"/>
      <c r="M46" s="47">
        <v>3</v>
      </c>
      <c r="N46" s="48"/>
      <c r="O46" s="35">
        <f t="shared" si="6"/>
        <v>0</v>
      </c>
      <c r="P46" s="54">
        <f t="shared" si="7"/>
        <v>0</v>
      </c>
      <c r="Q46" s="46"/>
      <c r="R46" s="48"/>
    </row>
    <row r="47" spans="1:18" x14ac:dyDescent="0.3">
      <c r="A47" s="3" t="str">
        <f>'Selbstbeurteilung Kunde'!A47</f>
        <v>1.4.1.e</v>
      </c>
      <c r="B47" s="6" t="str">
        <f>'Selbstbeurteilung Kunde'!C47</f>
        <v>Störungen?</v>
      </c>
      <c r="C47" s="49">
        <f>IF(ISBLANK('Selbstbeurteilung Kunde'!D47),0,1)</f>
        <v>0</v>
      </c>
      <c r="D47" s="49" t="str">
        <f>IF(AND('Selbstbeurteilung Kunde'!D47="",'Selbstbeurteilung Kunde'!E47=""),"*","")</f>
        <v>*</v>
      </c>
      <c r="E47" s="50" t="str">
        <f>IF(ISBLANK('Selbstbeurteilung Kunde'!F47),"",'Selbstbeurteilung Kunde'!F47)</f>
        <v/>
      </c>
      <c r="F47" s="287"/>
      <c r="G47" s="287"/>
      <c r="H47" s="287"/>
      <c r="I47" s="287"/>
      <c r="J47" s="287"/>
      <c r="K47" s="287"/>
      <c r="L47" s="279"/>
      <c r="M47" s="47">
        <v>0</v>
      </c>
      <c r="N47" s="48"/>
      <c r="O47" s="35">
        <f t="shared" si="6"/>
        <v>0</v>
      </c>
      <c r="P47" s="54">
        <f t="shared" si="7"/>
        <v>0</v>
      </c>
      <c r="Q47" s="46"/>
      <c r="R47" s="48"/>
    </row>
    <row r="48" spans="1:18" x14ac:dyDescent="0.3">
      <c r="A48" s="3" t="str">
        <f>'Selbstbeurteilung Kunde'!A48</f>
        <v>1.4.1.f</v>
      </c>
      <c r="B48" s="6" t="str">
        <f>'Selbstbeurteilung Kunde'!C48</f>
        <v xml:space="preserve">Andere Ereignisse? Falls ja, welche Ereignisse? </v>
      </c>
      <c r="C48" s="49">
        <f>IF(ISBLANK('Selbstbeurteilung Kunde'!D48),0,1)</f>
        <v>0</v>
      </c>
      <c r="D48" s="49" t="str">
        <f>IF(AND('Selbstbeurteilung Kunde'!D48="",'Selbstbeurteilung Kunde'!E48=""),"*","")</f>
        <v>*</v>
      </c>
      <c r="E48" s="50" t="str">
        <f>IF(ISBLANK('Selbstbeurteilung Kunde'!F48),"",'Selbstbeurteilung Kunde'!F48)</f>
        <v/>
      </c>
      <c r="F48" s="289"/>
      <c r="G48" s="289"/>
      <c r="H48" s="289"/>
      <c r="I48" s="289"/>
      <c r="J48" s="289"/>
      <c r="K48" s="289"/>
      <c r="L48" s="279"/>
      <c r="M48" s="47">
        <v>0</v>
      </c>
      <c r="N48" s="48"/>
      <c r="O48" s="35">
        <f t="shared" si="6"/>
        <v>0</v>
      </c>
      <c r="P48" s="54">
        <f t="shared" si="7"/>
        <v>0</v>
      </c>
      <c r="Q48" s="46"/>
      <c r="R48" s="46"/>
    </row>
    <row r="49" spans="1:18" ht="52.8" x14ac:dyDescent="0.3">
      <c r="A49" s="3" t="str">
        <f>'Selbstbeurteilung Kunde'!A49</f>
        <v>1.4.2.a</v>
      </c>
      <c r="B49" s="6" t="str">
        <f>'Selbstbeurteilung Kunde'!C49</f>
        <v>Bestehen messbare Ziele in Bezug auf die Begrenzung von Ausfallzeiten die durch die folgenden Ereignisse  verursacht werden:
Berufsunfälle/Berufskrankheiten</v>
      </c>
      <c r="C49" s="49">
        <f>IF(ISBLANK('Selbstbeurteilung Kunde'!D49),0,1)</f>
        <v>0</v>
      </c>
      <c r="D49" s="49" t="str">
        <f>IF(AND('Selbstbeurteilung Kunde'!D49="",'Selbstbeurteilung Kunde'!E49=""),"*","")</f>
        <v>*</v>
      </c>
      <c r="E49" s="50" t="str">
        <f>IF(ISBLANK('Selbstbeurteilung Kunde'!F49),"",'Selbstbeurteilung Kunde'!F49)</f>
        <v/>
      </c>
      <c r="F49" s="287"/>
      <c r="G49" s="287"/>
      <c r="H49" s="287"/>
      <c r="I49" s="287"/>
      <c r="J49" s="287"/>
      <c r="K49" s="287"/>
      <c r="L49" s="279"/>
      <c r="M49" s="47">
        <v>1</v>
      </c>
      <c r="N49" s="48"/>
      <c r="O49" s="35">
        <f t="shared" si="6"/>
        <v>0</v>
      </c>
      <c r="P49" s="54">
        <f t="shared" si="7"/>
        <v>0</v>
      </c>
      <c r="Q49" s="46"/>
      <c r="R49" s="48"/>
    </row>
    <row r="50" spans="1:18" x14ac:dyDescent="0.3">
      <c r="A50" s="3" t="str">
        <f>'Selbstbeurteilung Kunde'!A50</f>
        <v>1.4.2.b</v>
      </c>
      <c r="B50" s="6" t="str">
        <f>'Selbstbeurteilung Kunde'!C50</f>
        <v>Nichtberufsunfälle?</v>
      </c>
      <c r="C50" s="49">
        <f>IF(ISBLANK('Selbstbeurteilung Kunde'!D50),0,1)</f>
        <v>0</v>
      </c>
      <c r="D50" s="49" t="str">
        <f>IF(AND('Selbstbeurteilung Kunde'!D50="",'Selbstbeurteilung Kunde'!E50=""),"*","")</f>
        <v>*</v>
      </c>
      <c r="E50" s="50" t="str">
        <f>IF(ISBLANK('Selbstbeurteilung Kunde'!F50),"",'Selbstbeurteilung Kunde'!F50)</f>
        <v/>
      </c>
      <c r="F50" s="288"/>
      <c r="G50" s="288"/>
      <c r="H50" s="288"/>
      <c r="I50" s="288"/>
      <c r="J50" s="288"/>
      <c r="K50" s="288"/>
      <c r="L50" s="279"/>
      <c r="M50" s="47">
        <v>1</v>
      </c>
      <c r="N50" s="34"/>
      <c r="O50" s="35">
        <f t="shared" si="6"/>
        <v>0</v>
      </c>
      <c r="P50" s="54">
        <f t="shared" si="7"/>
        <v>0</v>
      </c>
      <c r="Q50" s="46"/>
      <c r="R50" s="34"/>
    </row>
    <row r="51" spans="1:18" x14ac:dyDescent="0.3">
      <c r="A51" s="3" t="str">
        <f>'Selbstbeurteilung Kunde'!A51</f>
        <v>1.4.2.c</v>
      </c>
      <c r="B51" s="6" t="str">
        <f>'Selbstbeurteilung Kunde'!C51</f>
        <v>Krankheiten?</v>
      </c>
      <c r="C51" s="49">
        <f>IF(ISBLANK('Selbstbeurteilung Kunde'!D51),0,1)</f>
        <v>0</v>
      </c>
      <c r="D51" s="49" t="str">
        <f>IF(AND('Selbstbeurteilung Kunde'!D51="",'Selbstbeurteilung Kunde'!E51=""),"*","")</f>
        <v>*</v>
      </c>
      <c r="E51" s="50" t="str">
        <f>IF(ISBLANK('Selbstbeurteilung Kunde'!F51),"",'Selbstbeurteilung Kunde'!F51)</f>
        <v/>
      </c>
      <c r="F51" s="287"/>
      <c r="G51" s="287"/>
      <c r="H51" s="287"/>
      <c r="I51" s="287"/>
      <c r="J51" s="287"/>
      <c r="K51" s="287"/>
      <c r="L51" s="279"/>
      <c r="M51" s="47">
        <v>3</v>
      </c>
      <c r="N51" s="34"/>
      <c r="O51" s="35">
        <f t="shared" si="6"/>
        <v>0</v>
      </c>
      <c r="P51" s="54">
        <f t="shared" si="7"/>
        <v>0</v>
      </c>
      <c r="Q51" s="46"/>
      <c r="R51" s="34"/>
    </row>
    <row r="52" spans="1:18" x14ac:dyDescent="0.3">
      <c r="A52" s="3" t="str">
        <f>'Selbstbeurteilung Kunde'!A52</f>
        <v>1.4.2.d</v>
      </c>
      <c r="B52" s="6" t="str">
        <f>'Selbstbeurteilung Kunde'!C52</f>
        <v>Andere Ereignisse? Falls ja, welche Ereignisse?</v>
      </c>
      <c r="C52" s="49">
        <f>IF(ISBLANK('Selbstbeurteilung Kunde'!D52),0,1)</f>
        <v>0</v>
      </c>
      <c r="D52" s="49" t="str">
        <f>IF(AND('Selbstbeurteilung Kunde'!D52="",'Selbstbeurteilung Kunde'!E52=""),"*","")</f>
        <v>*</v>
      </c>
      <c r="E52" s="50" t="str">
        <f>IF(ISBLANK('Selbstbeurteilung Kunde'!F52),"",'Selbstbeurteilung Kunde'!F52)</f>
        <v/>
      </c>
      <c r="F52" s="287"/>
      <c r="G52" s="287"/>
      <c r="H52" s="287"/>
      <c r="I52" s="287"/>
      <c r="J52" s="287"/>
      <c r="K52" s="287"/>
      <c r="L52" s="279"/>
      <c r="M52" s="47">
        <v>0</v>
      </c>
      <c r="N52" s="34"/>
      <c r="O52" s="35">
        <f t="shared" si="6"/>
        <v>0</v>
      </c>
      <c r="P52" s="54">
        <f t="shared" si="7"/>
        <v>0</v>
      </c>
      <c r="Q52" s="46"/>
      <c r="R52" s="34"/>
    </row>
    <row r="53" spans="1:18" ht="26.4" x14ac:dyDescent="0.3">
      <c r="A53" s="3" t="str">
        <f>'Selbstbeurteilung Kunde'!A53</f>
        <v>1.4.3.</v>
      </c>
      <c r="B53" s="6" t="str">
        <f>'Selbstbeurteilung Kunde'!C53</f>
        <v>Beziehen sich Ihre Sicherheits- und Gesundheitsziele auf das ganze Unternehmen?</v>
      </c>
      <c r="C53" s="49">
        <f>IF(ISBLANK('Selbstbeurteilung Kunde'!D53),0,1)</f>
        <v>0</v>
      </c>
      <c r="D53" s="49" t="str">
        <f>IF(AND('Selbstbeurteilung Kunde'!D53="",'Selbstbeurteilung Kunde'!E53=""),"*","")</f>
        <v>*</v>
      </c>
      <c r="E53" s="50" t="str">
        <f>IF(ISBLANK('Selbstbeurteilung Kunde'!F53),"",'Selbstbeurteilung Kunde'!F53)</f>
        <v/>
      </c>
      <c r="F53" s="287"/>
      <c r="G53" s="287"/>
      <c r="H53" s="287"/>
      <c r="I53" s="287"/>
      <c r="J53" s="287"/>
      <c r="K53" s="287"/>
      <c r="L53" s="279"/>
      <c r="M53" s="47">
        <v>1</v>
      </c>
      <c r="N53" s="34"/>
      <c r="O53" s="35">
        <f t="shared" si="6"/>
        <v>0</v>
      </c>
      <c r="P53" s="54">
        <f t="shared" si="7"/>
        <v>0</v>
      </c>
      <c r="Q53" s="46"/>
      <c r="R53" s="34"/>
    </row>
    <row r="54" spans="1:18" ht="28.5" customHeight="1" x14ac:dyDescent="0.3">
      <c r="A54" s="3" t="str">
        <f>'Selbstbeurteilung Kunde'!A54</f>
        <v>1.4.4.</v>
      </c>
      <c r="B54" s="6" t="str">
        <f>'Selbstbeurteilung Kunde'!C54</f>
        <v>Beziehen sich Ihre Sicherheits- und Gesundheitsziele auf einzelne Organisationseinheiten?</v>
      </c>
      <c r="C54" s="49">
        <f>IF(ISBLANK('Selbstbeurteilung Kunde'!D54),0,1)</f>
        <v>0</v>
      </c>
      <c r="D54" s="49" t="str">
        <f>IF(AND('Selbstbeurteilung Kunde'!D54="",'Selbstbeurteilung Kunde'!E54=""),"*","")</f>
        <v>*</v>
      </c>
      <c r="E54" s="50" t="str">
        <f>IF(ISBLANK('Selbstbeurteilung Kunde'!F54),"",'Selbstbeurteilung Kunde'!F54)</f>
        <v/>
      </c>
      <c r="F54" s="287"/>
      <c r="G54" s="287"/>
      <c r="H54" s="287"/>
      <c r="I54" s="287"/>
      <c r="J54" s="287"/>
      <c r="K54" s="287"/>
      <c r="L54" s="279"/>
      <c r="M54" s="47">
        <v>1</v>
      </c>
      <c r="N54" s="34"/>
      <c r="O54" s="35">
        <f t="shared" si="6"/>
        <v>0</v>
      </c>
      <c r="P54" s="54">
        <f t="shared" si="7"/>
        <v>0</v>
      </c>
      <c r="Q54" s="46"/>
      <c r="R54" s="34"/>
    </row>
    <row r="55" spans="1:18" ht="39.6" x14ac:dyDescent="0.3">
      <c r="A55" s="3" t="str">
        <f>'Selbstbeurteilung Kunde'!A55</f>
        <v>1.4.5.</v>
      </c>
      <c r="B55" s="6" t="str">
        <f>'Selbstbeurteilung Kunde'!C55</f>
        <v>Verfügen Sie über Vergleichsmöglichkeiten mit den Zahlen Ihrer Branche oder vergleichbarer Unternehmen? Wenn ja, welche?</v>
      </c>
      <c r="C55" s="49">
        <f>IF(ISBLANK('Selbstbeurteilung Kunde'!D55),0,1)</f>
        <v>0</v>
      </c>
      <c r="D55" s="49" t="str">
        <f>IF(AND('Selbstbeurteilung Kunde'!D55="",'Selbstbeurteilung Kunde'!E55=""),"*","")</f>
        <v>*</v>
      </c>
      <c r="E55" s="50" t="str">
        <f>IF(ISBLANK('Selbstbeurteilung Kunde'!F55),"",'Selbstbeurteilung Kunde'!F55)</f>
        <v/>
      </c>
      <c r="F55" s="287"/>
      <c r="G55" s="287"/>
      <c r="H55" s="287"/>
      <c r="I55" s="287"/>
      <c r="J55" s="287"/>
      <c r="K55" s="287"/>
      <c r="L55" s="279"/>
      <c r="M55" s="47">
        <v>1</v>
      </c>
      <c r="N55" s="34"/>
      <c r="O55" s="35">
        <f t="shared" si="6"/>
        <v>0</v>
      </c>
      <c r="P55" s="54">
        <f t="shared" si="7"/>
        <v>0</v>
      </c>
      <c r="Q55" s="46"/>
      <c r="R55" s="34"/>
    </row>
    <row r="56" spans="1:18" x14ac:dyDescent="0.3">
      <c r="A56" s="26" t="str">
        <f>'Selbstbeurteilung Kunde'!A56</f>
        <v>1.5.</v>
      </c>
      <c r="B56" s="32" t="str">
        <f>'Selbstbeurteilung Kunde'!B56</f>
        <v>Zielbildung, Controlling und Strategie</v>
      </c>
      <c r="C56" s="28">
        <f>O56/N56</f>
        <v>0</v>
      </c>
      <c r="D56" s="350"/>
      <c r="E56" s="39"/>
      <c r="F56" s="283"/>
      <c r="G56" s="283"/>
      <c r="H56" s="283"/>
      <c r="I56" s="283"/>
      <c r="J56" s="283"/>
      <c r="K56" s="283"/>
      <c r="L56" s="63">
        <f>P56/N56</f>
        <v>0</v>
      </c>
      <c r="M56" s="29">
        <v>2</v>
      </c>
      <c r="N56" s="29">
        <f>SUM(M57:M63)</f>
        <v>17</v>
      </c>
      <c r="O56" s="31">
        <f>SUM(O57:O63)</f>
        <v>0</v>
      </c>
      <c r="P56" s="31">
        <f>SUM(P57:P63)</f>
        <v>0</v>
      </c>
      <c r="Q56" s="65">
        <f>O56/$N56*$M56</f>
        <v>0</v>
      </c>
      <c r="R56" s="65">
        <f>P56/$N56*$M56</f>
        <v>0</v>
      </c>
    </row>
    <row r="57" spans="1:18" ht="26.4" x14ac:dyDescent="0.3">
      <c r="A57" s="3" t="str">
        <f>'Selbstbeurteilung Kunde'!A57</f>
        <v>1.5.1.</v>
      </c>
      <c r="B57" s="6" t="str">
        <f>'Selbstbeurteilung Kunde'!C57</f>
        <v>Gibt es einen definierten Prozess für die Festlegung der Sicherheitsziele?</v>
      </c>
      <c r="C57" s="49">
        <f>IF(ISBLANK('Selbstbeurteilung Kunde'!D57),0,1)</f>
        <v>0</v>
      </c>
      <c r="D57" s="49" t="str">
        <f>IF(AND('Selbstbeurteilung Kunde'!D57="",'Selbstbeurteilung Kunde'!E57=""),"*","")</f>
        <v>*</v>
      </c>
      <c r="E57" s="50" t="str">
        <f>IF(ISBLANK('Selbstbeurteilung Kunde'!F57),"",'Selbstbeurteilung Kunde'!F57)</f>
        <v/>
      </c>
      <c r="F57" s="287"/>
      <c r="G57" s="287"/>
      <c r="H57" s="287"/>
      <c r="I57" s="287"/>
      <c r="J57" s="287"/>
      <c r="K57" s="287"/>
      <c r="L57" s="279"/>
      <c r="M57" s="47">
        <v>3</v>
      </c>
      <c r="N57" s="35"/>
      <c r="O57" s="35">
        <f t="shared" ref="O57:O63" si="8">M57*C57</f>
        <v>0</v>
      </c>
      <c r="P57" s="54">
        <f t="shared" ref="P57:P63" si="9">L57*M57</f>
        <v>0</v>
      </c>
      <c r="Q57" s="46"/>
      <c r="R57" s="34"/>
    </row>
    <row r="58" spans="1:18" ht="26.4" x14ac:dyDescent="0.3">
      <c r="A58" s="3" t="str">
        <f>'Selbstbeurteilung Kunde'!A58</f>
        <v>1.5.2.</v>
      </c>
      <c r="B58" s="6" t="str">
        <f>'Selbstbeurteilung Kunde'!C58</f>
        <v>Enthalten die Ziele auch die Verpflichtung zur kontinuierlichen Verbesserung des Sicherheitssystems?</v>
      </c>
      <c r="C58" s="49">
        <f>IF(ISBLANK('Selbstbeurteilung Kunde'!D58),0,1)</f>
        <v>0</v>
      </c>
      <c r="D58" s="49" t="str">
        <f>IF(AND('Selbstbeurteilung Kunde'!D58="",'Selbstbeurteilung Kunde'!E58=""),"*","")</f>
        <v>*</v>
      </c>
      <c r="E58" s="50" t="str">
        <f>IF(ISBLANK('Selbstbeurteilung Kunde'!F58),"",'Selbstbeurteilung Kunde'!F58)</f>
        <v/>
      </c>
      <c r="F58" s="287"/>
      <c r="G58" s="287"/>
      <c r="H58" s="287"/>
      <c r="I58" s="287"/>
      <c r="J58" s="287"/>
      <c r="K58" s="287"/>
      <c r="L58" s="279"/>
      <c r="M58" s="47">
        <v>3</v>
      </c>
      <c r="N58" s="34"/>
      <c r="O58" s="35">
        <f t="shared" si="8"/>
        <v>0</v>
      </c>
      <c r="P58" s="54">
        <f t="shared" si="9"/>
        <v>0</v>
      </c>
      <c r="Q58" s="46"/>
      <c r="R58" s="34"/>
    </row>
    <row r="59" spans="1:18" ht="26.4" x14ac:dyDescent="0.3">
      <c r="A59" s="3" t="str">
        <f>'Selbstbeurteilung Kunde'!A59</f>
        <v>1.5.3.</v>
      </c>
      <c r="B59" s="6" t="str">
        <f>'Selbstbeurteilung Kunde'!C59</f>
        <v>Werden Beschäftigte oder deren Vertretungen in den Zielbildungsprozess für die Sicherheitsziele einbezogen?</v>
      </c>
      <c r="C59" s="49">
        <f>IF(ISBLANK('Selbstbeurteilung Kunde'!D59),0,1)</f>
        <v>0</v>
      </c>
      <c r="D59" s="49" t="str">
        <f>IF(AND('Selbstbeurteilung Kunde'!D59="",'Selbstbeurteilung Kunde'!E59=""),"*","")</f>
        <v>*</v>
      </c>
      <c r="E59" s="50" t="str">
        <f>IF(ISBLANK('Selbstbeurteilung Kunde'!F59),"",'Selbstbeurteilung Kunde'!F59)</f>
        <v/>
      </c>
      <c r="F59" s="287"/>
      <c r="G59" s="287"/>
      <c r="H59" s="287"/>
      <c r="I59" s="287"/>
      <c r="J59" s="287"/>
      <c r="K59" s="287"/>
      <c r="L59" s="279"/>
      <c r="M59" s="47">
        <v>4</v>
      </c>
      <c r="N59" s="34"/>
      <c r="O59" s="35">
        <f t="shared" si="8"/>
        <v>0</v>
      </c>
      <c r="P59" s="54">
        <f t="shared" si="9"/>
        <v>0</v>
      </c>
      <c r="Q59" s="46"/>
      <c r="R59" s="34"/>
    </row>
    <row r="60" spans="1:18" ht="39.6" x14ac:dyDescent="0.3">
      <c r="A60" s="3" t="str">
        <f>'Selbstbeurteilung Kunde'!A60</f>
        <v xml:space="preserve">1.5.4. </v>
      </c>
      <c r="B60" s="6" t="str">
        <f>'Selbstbeurteilung Kunde'!C60</f>
        <v>Werden Zielabweichungen für das ganze Unternehmen durch eine zweckmässige Ereignisüberwachung bzw. ein Controlling frühzeitig festgestellt?</v>
      </c>
      <c r="C60" s="49">
        <f>IF(ISBLANK('Selbstbeurteilung Kunde'!D60),0,1)</f>
        <v>0</v>
      </c>
      <c r="D60" s="49" t="str">
        <f>IF(AND('Selbstbeurteilung Kunde'!D60="",'Selbstbeurteilung Kunde'!E60=""),"*","")</f>
        <v>*</v>
      </c>
      <c r="E60" s="50" t="str">
        <f>IF(ISBLANK('Selbstbeurteilung Kunde'!F60),"",'Selbstbeurteilung Kunde'!F60)</f>
        <v/>
      </c>
      <c r="F60" s="287"/>
      <c r="G60" s="287"/>
      <c r="H60" s="287"/>
      <c r="I60" s="287"/>
      <c r="J60" s="287"/>
      <c r="K60" s="287"/>
      <c r="L60" s="279"/>
      <c r="M60" s="47">
        <v>1</v>
      </c>
      <c r="N60" s="34"/>
      <c r="O60" s="35">
        <f t="shared" si="8"/>
        <v>0</v>
      </c>
      <c r="P60" s="54">
        <f t="shared" si="9"/>
        <v>0</v>
      </c>
      <c r="Q60" s="46"/>
      <c r="R60" s="34"/>
    </row>
    <row r="61" spans="1:18" ht="52.8" x14ac:dyDescent="0.3">
      <c r="A61" s="3" t="str">
        <f>'Selbstbeurteilung Kunde'!A61</f>
        <v>1.5.5.</v>
      </c>
      <c r="B61" s="6" t="str">
        <f>'Selbstbeurteilung Kunde'!C61</f>
        <v>Werden Zielabweichungen für einzelne Organisationseinheiten durch eine zweckmässige Ereignisüberwachung bzw. ein Controlling frühzeitig festgestellt?</v>
      </c>
      <c r="C61" s="49">
        <f>IF(ISBLANK('Selbstbeurteilung Kunde'!D61),0,1)</f>
        <v>0</v>
      </c>
      <c r="D61" s="49" t="str">
        <f>IF(AND('Selbstbeurteilung Kunde'!D61="",'Selbstbeurteilung Kunde'!E61=""),"*","")</f>
        <v>*</v>
      </c>
      <c r="E61" s="50" t="str">
        <f>IF(ISBLANK('Selbstbeurteilung Kunde'!F61),"",'Selbstbeurteilung Kunde'!F61)</f>
        <v/>
      </c>
      <c r="F61" s="287"/>
      <c r="G61" s="287"/>
      <c r="H61" s="287"/>
      <c r="I61" s="287"/>
      <c r="J61" s="287"/>
      <c r="K61" s="287"/>
      <c r="L61" s="279"/>
      <c r="M61" s="47">
        <v>1</v>
      </c>
      <c r="N61" s="34"/>
      <c r="O61" s="35">
        <f t="shared" si="8"/>
        <v>0</v>
      </c>
      <c r="P61" s="54">
        <f t="shared" si="9"/>
        <v>0</v>
      </c>
      <c r="Q61" s="46"/>
      <c r="R61" s="34"/>
    </row>
    <row r="62" spans="1:18" ht="52.8" x14ac:dyDescent="0.3">
      <c r="A62" s="3" t="str">
        <f>'Selbstbeurteilung Kunde'!A62</f>
        <v>1.5.6.</v>
      </c>
      <c r="B62" s="6" t="str">
        <f>'Selbstbeurteilung Kunde'!C62</f>
        <v>Werden beim Nichterreichen von Sicherheitszielen entsprechende Konsequenzen gezogen und die notwendigen Korrekturmassnahmen eingeleitet?                                                                                  Wenn ja, welche Konsequenzen?</v>
      </c>
      <c r="C62" s="49">
        <f>IF(ISBLANK('Selbstbeurteilung Kunde'!D62),0,1)</f>
        <v>0</v>
      </c>
      <c r="D62" s="49" t="str">
        <f>IF(AND('Selbstbeurteilung Kunde'!D62="",'Selbstbeurteilung Kunde'!E62=""),"*","")</f>
        <v>*</v>
      </c>
      <c r="E62" s="50" t="str">
        <f>IF(ISBLANK('Selbstbeurteilung Kunde'!F62),"",'Selbstbeurteilung Kunde'!F62)</f>
        <v/>
      </c>
      <c r="F62" s="287"/>
      <c r="G62" s="287"/>
      <c r="H62" s="287"/>
      <c r="I62" s="287"/>
      <c r="J62" s="287"/>
      <c r="K62" s="287"/>
      <c r="L62" s="279"/>
      <c r="M62" s="47">
        <v>3</v>
      </c>
      <c r="N62" s="34"/>
      <c r="O62" s="35">
        <f t="shared" si="8"/>
        <v>0</v>
      </c>
      <c r="P62" s="54">
        <f t="shared" si="9"/>
        <v>0</v>
      </c>
      <c r="Q62" s="46"/>
      <c r="R62" s="34"/>
    </row>
    <row r="63" spans="1:18" ht="66" x14ac:dyDescent="0.3">
      <c r="A63" s="3" t="str">
        <f>'Selbstbeurteilung Kunde'!A63</f>
        <v>1.5.7.</v>
      </c>
      <c r="B63" s="6" t="str">
        <f>'Selbstbeurteilung Kunde'!C63</f>
        <v>Verfügen Sie über eine Sicherheitsstrategie um Ihre Sicherheitsziele zu erreichen (z.B. mittelfristig ausgelegte Massnahmenpakete, zukünftige Trends, Anforderungen und Erwartungen interessierter Parteien)? Wenn ja, welche?</v>
      </c>
      <c r="C63" s="49">
        <f>IF(ISBLANK('Selbstbeurteilung Kunde'!D63),0,1)</f>
        <v>0</v>
      </c>
      <c r="D63" s="49" t="str">
        <f>IF(AND('Selbstbeurteilung Kunde'!D63="",'Selbstbeurteilung Kunde'!E63=""),"*","")</f>
        <v>*</v>
      </c>
      <c r="E63" s="50" t="str">
        <f>IF(ISBLANK('Selbstbeurteilung Kunde'!F63),"",'Selbstbeurteilung Kunde'!F63)</f>
        <v/>
      </c>
      <c r="F63" s="287"/>
      <c r="G63" s="287"/>
      <c r="H63" s="287"/>
      <c r="I63" s="287"/>
      <c r="J63" s="287"/>
      <c r="K63" s="287"/>
      <c r="L63" s="279"/>
      <c r="M63" s="47">
        <v>2</v>
      </c>
      <c r="N63" s="34"/>
      <c r="O63" s="35">
        <f t="shared" si="8"/>
        <v>0</v>
      </c>
      <c r="P63" s="54">
        <f t="shared" si="9"/>
        <v>0</v>
      </c>
      <c r="Q63" s="46"/>
      <c r="R63" s="71"/>
    </row>
    <row r="64" spans="1:18" x14ac:dyDescent="0.3">
      <c r="A64" s="7" t="str">
        <f>'Selbstbeurteilung Kunde'!A65</f>
        <v>2.</v>
      </c>
      <c r="B64" s="7" t="str">
        <f>'Selbstbeurteilung Kunde'!B65</f>
        <v>Organisation</v>
      </c>
      <c r="C64" s="40">
        <f>O64/N64</f>
        <v>0</v>
      </c>
      <c r="D64" s="40"/>
      <c r="E64" s="36"/>
      <c r="F64" s="25"/>
      <c r="G64" s="25"/>
      <c r="H64" s="25"/>
      <c r="I64" s="25"/>
      <c r="J64" s="25"/>
      <c r="K64" s="25"/>
      <c r="L64" s="281">
        <f>P64/N64</f>
        <v>0</v>
      </c>
      <c r="M64" s="5"/>
      <c r="N64" s="5">
        <f>SUM(M65,M106,M127)</f>
        <v>7</v>
      </c>
      <c r="O64" s="61">
        <f>SUM(Q65,Q106,Q127)</f>
        <v>0</v>
      </c>
      <c r="P64" s="61">
        <f>SUM(R65,R106,R127)</f>
        <v>0</v>
      </c>
      <c r="Q64" s="45"/>
      <c r="R64" s="45"/>
    </row>
    <row r="65" spans="1:18" x14ac:dyDescent="0.3">
      <c r="A65" s="26" t="str">
        <f>'Selbstbeurteilung Kunde'!A67</f>
        <v>2.1.</v>
      </c>
      <c r="B65" s="27" t="str">
        <f>'Selbstbeurteilung Kunde'!B67</f>
        <v>Betriebsorganisation</v>
      </c>
      <c r="C65" s="28">
        <f>O65/N65</f>
        <v>0</v>
      </c>
      <c r="D65" s="350"/>
      <c r="E65" s="37"/>
      <c r="F65" s="282"/>
      <c r="G65" s="282"/>
      <c r="H65" s="282"/>
      <c r="I65" s="282"/>
      <c r="J65" s="282"/>
      <c r="K65" s="282"/>
      <c r="L65" s="63">
        <f>P65/N65</f>
        <v>0</v>
      </c>
      <c r="M65" s="30">
        <v>3</v>
      </c>
      <c r="N65" s="29">
        <f>SUM(M66,M73,M91,M103)</f>
        <v>7</v>
      </c>
      <c r="O65" s="31">
        <f>SUM(Q66,Q73,Q91,Q103)</f>
        <v>0</v>
      </c>
      <c r="P65" s="31">
        <f>SUM(R66,R73,R91,R103)</f>
        <v>0</v>
      </c>
      <c r="Q65" s="65">
        <f>O65/$N65*$M65</f>
        <v>0</v>
      </c>
      <c r="R65" s="65">
        <f>P65/$N65*$M65</f>
        <v>0</v>
      </c>
    </row>
    <row r="66" spans="1:18" x14ac:dyDescent="0.3">
      <c r="A66" s="37" t="str">
        <f>'Selbstbeurteilung Kunde'!A68</f>
        <v>2.1.1</v>
      </c>
      <c r="B66" s="37" t="str">
        <f>'Selbstbeurteilung Kunde'!C68</f>
        <v>Organisationsform</v>
      </c>
      <c r="C66" s="28">
        <f>O66/N66</f>
        <v>0</v>
      </c>
      <c r="D66" s="350"/>
      <c r="E66" s="37"/>
      <c r="F66" s="284"/>
      <c r="G66" s="284"/>
      <c r="H66" s="284"/>
      <c r="I66" s="284"/>
      <c r="J66" s="284"/>
      <c r="K66" s="284"/>
      <c r="L66" s="63">
        <f>P66/N66</f>
        <v>0</v>
      </c>
      <c r="M66" s="30">
        <v>1</v>
      </c>
      <c r="N66" s="52">
        <f>MAX(M67:M72)</f>
        <v>1</v>
      </c>
      <c r="O66" s="68">
        <f>MAX(O67:O72)</f>
        <v>0</v>
      </c>
      <c r="P66" s="68">
        <f>MAX(P67:P72)</f>
        <v>0</v>
      </c>
      <c r="Q66" s="65">
        <f>O66/N66*M66</f>
        <v>0</v>
      </c>
      <c r="R66" s="65">
        <f>P66/N66*$M66</f>
        <v>0</v>
      </c>
    </row>
    <row r="67" spans="1:18" ht="38.25" customHeight="1" x14ac:dyDescent="0.3">
      <c r="A67" s="3" t="str">
        <f>'Selbstbeurteilung Kunde'!A69</f>
        <v>2.1.1.1.a</v>
      </c>
      <c r="B67" s="6" t="str">
        <f>'Selbstbeurteilung Kunde'!C69</f>
        <v>Welche Form der Aufbauorganisation besteht in Ihrem Unternehmen:
Linienorganisation?</v>
      </c>
      <c r="C67" s="49">
        <f>IF(ISBLANK('Selbstbeurteilung Kunde'!D69),0,1)</f>
        <v>0</v>
      </c>
      <c r="D67" s="49" t="str">
        <f>IF(AND('Selbstbeurteilung Kunde'!D69="",'Selbstbeurteilung Kunde'!E69=""),"*","")</f>
        <v>*</v>
      </c>
      <c r="E67" s="50" t="str">
        <f>IF(ISBLANK('Selbstbeurteilung Kunde'!F69),"",'Selbstbeurteilung Kunde'!F69)</f>
        <v/>
      </c>
      <c r="F67" s="287"/>
      <c r="G67" s="287"/>
      <c r="H67" s="287"/>
      <c r="I67" s="287"/>
      <c r="J67" s="287"/>
      <c r="K67" s="287"/>
      <c r="L67" s="279"/>
      <c r="M67" s="47">
        <v>1</v>
      </c>
      <c r="N67" s="34"/>
      <c r="O67" s="35">
        <f t="shared" ref="O67:O72" si="10">C67*M67</f>
        <v>0</v>
      </c>
      <c r="P67" s="54">
        <f t="shared" ref="P67:P71" si="11">L67*M67</f>
        <v>0</v>
      </c>
      <c r="Q67" s="46"/>
      <c r="R67" s="34"/>
    </row>
    <row r="68" spans="1:18" x14ac:dyDescent="0.3">
      <c r="A68" s="3" t="str">
        <f>'Selbstbeurteilung Kunde'!A70</f>
        <v>2.1.1.2.b</v>
      </c>
      <c r="B68" s="6" t="str">
        <f>'Selbstbeurteilung Kunde'!C70</f>
        <v>Linien-Stab-Organisation?</v>
      </c>
      <c r="C68" s="49">
        <f>IF(ISBLANK('Selbstbeurteilung Kunde'!D70),0,1)</f>
        <v>0</v>
      </c>
      <c r="D68" s="49" t="str">
        <f>IF(AND('Selbstbeurteilung Kunde'!D70="",'Selbstbeurteilung Kunde'!E70=""),"*","")</f>
        <v>*</v>
      </c>
      <c r="E68" s="50" t="str">
        <f>IF(ISBLANK('Selbstbeurteilung Kunde'!F70),"",'Selbstbeurteilung Kunde'!F70)</f>
        <v/>
      </c>
      <c r="F68" s="287"/>
      <c r="G68" s="287"/>
      <c r="H68" s="287"/>
      <c r="I68" s="287"/>
      <c r="J68" s="287"/>
      <c r="K68" s="287"/>
      <c r="L68" s="279"/>
      <c r="M68" s="47">
        <v>1</v>
      </c>
      <c r="N68" s="34"/>
      <c r="O68" s="35">
        <f t="shared" si="10"/>
        <v>0</v>
      </c>
      <c r="P68" s="54">
        <f t="shared" si="11"/>
        <v>0</v>
      </c>
      <c r="Q68" s="46"/>
      <c r="R68" s="34"/>
    </row>
    <row r="69" spans="1:18" x14ac:dyDescent="0.3">
      <c r="A69" s="3" t="str">
        <f>'Selbstbeurteilung Kunde'!A71</f>
        <v>2.1.1.2.c</v>
      </c>
      <c r="B69" s="6" t="str">
        <f>'Selbstbeurteilung Kunde'!C71</f>
        <v>Funktionale Organisation?</v>
      </c>
      <c r="C69" s="49">
        <f>IF(ISBLANK('Selbstbeurteilung Kunde'!D71),0,1)</f>
        <v>0</v>
      </c>
      <c r="D69" s="49" t="str">
        <f>IF(AND('Selbstbeurteilung Kunde'!D71="",'Selbstbeurteilung Kunde'!E71=""),"*","")</f>
        <v>*</v>
      </c>
      <c r="E69" s="50" t="str">
        <f>IF(ISBLANK('Selbstbeurteilung Kunde'!F71),"",'Selbstbeurteilung Kunde'!F71)</f>
        <v/>
      </c>
      <c r="F69" s="287"/>
      <c r="G69" s="287"/>
      <c r="H69" s="287"/>
      <c r="I69" s="287"/>
      <c r="J69" s="287"/>
      <c r="K69" s="287"/>
      <c r="L69" s="279"/>
      <c r="M69" s="47">
        <v>1</v>
      </c>
      <c r="N69" s="34"/>
      <c r="O69" s="35">
        <f t="shared" si="10"/>
        <v>0</v>
      </c>
      <c r="P69" s="54">
        <f t="shared" si="11"/>
        <v>0</v>
      </c>
      <c r="Q69" s="46"/>
      <c r="R69" s="34"/>
    </row>
    <row r="70" spans="1:18" x14ac:dyDescent="0.3">
      <c r="A70" s="3" t="str">
        <f>'Selbstbeurteilung Kunde'!A72</f>
        <v>2.1.1.2.d</v>
      </c>
      <c r="B70" s="6" t="str">
        <f>'Selbstbeurteilung Kunde'!C72</f>
        <v>Matrixorganisation?</v>
      </c>
      <c r="C70" s="49">
        <f>IF(ISBLANK('Selbstbeurteilung Kunde'!D72),0,1)</f>
        <v>0</v>
      </c>
      <c r="D70" s="49" t="str">
        <f>IF(AND('Selbstbeurteilung Kunde'!D72="",'Selbstbeurteilung Kunde'!E72=""),"*","")</f>
        <v>*</v>
      </c>
      <c r="E70" s="50" t="str">
        <f>IF(ISBLANK('Selbstbeurteilung Kunde'!F72),"",'Selbstbeurteilung Kunde'!F72)</f>
        <v/>
      </c>
      <c r="F70" s="287"/>
      <c r="G70" s="287"/>
      <c r="H70" s="287"/>
      <c r="I70" s="287"/>
      <c r="J70" s="287"/>
      <c r="K70" s="287"/>
      <c r="L70" s="279"/>
      <c r="M70" s="47">
        <v>1</v>
      </c>
      <c r="N70" s="34"/>
      <c r="O70" s="35">
        <f t="shared" si="10"/>
        <v>0</v>
      </c>
      <c r="P70" s="54">
        <f t="shared" si="11"/>
        <v>0</v>
      </c>
      <c r="Q70" s="46"/>
      <c r="R70" s="34"/>
    </row>
    <row r="71" spans="1:18" x14ac:dyDescent="0.3">
      <c r="A71" s="3" t="str">
        <f>'Selbstbeurteilung Kunde'!A73</f>
        <v>2.1.1.2.e</v>
      </c>
      <c r="B71" s="6" t="str">
        <f>'Selbstbeurteilung Kunde'!C73</f>
        <v>Projektorganisation?</v>
      </c>
      <c r="C71" s="49">
        <f>IF(ISBLANK('Selbstbeurteilung Kunde'!D73),0,1)</f>
        <v>0</v>
      </c>
      <c r="D71" s="49" t="str">
        <f>IF(AND('Selbstbeurteilung Kunde'!D73="",'Selbstbeurteilung Kunde'!E73=""),"*","")</f>
        <v>*</v>
      </c>
      <c r="E71" s="50" t="str">
        <f>IF(ISBLANK('Selbstbeurteilung Kunde'!F73),"",'Selbstbeurteilung Kunde'!F73)</f>
        <v/>
      </c>
      <c r="F71" s="290"/>
      <c r="G71" s="290"/>
      <c r="H71" s="290"/>
      <c r="I71" s="290"/>
      <c r="J71" s="290"/>
      <c r="K71" s="290"/>
      <c r="L71" s="279"/>
      <c r="M71" s="47">
        <v>1</v>
      </c>
      <c r="N71" s="34"/>
      <c r="O71" s="35">
        <f t="shared" si="10"/>
        <v>0</v>
      </c>
      <c r="P71" s="54">
        <f t="shared" si="11"/>
        <v>0</v>
      </c>
      <c r="Q71" s="46"/>
      <c r="R71" s="34"/>
    </row>
    <row r="72" spans="1:18" x14ac:dyDescent="0.3">
      <c r="A72" s="3" t="str">
        <f>'Selbstbeurteilung Kunde'!A74</f>
        <v>2.1.1.2.f</v>
      </c>
      <c r="B72" s="6" t="str">
        <f>'Selbstbeurteilung Kunde'!C74</f>
        <v>Andere Organisationsform? Wenn ja, welche?</v>
      </c>
      <c r="C72" s="49">
        <f>IF(ISBLANK('Selbstbeurteilung Kunde'!D74),0,1)</f>
        <v>0</v>
      </c>
      <c r="D72" s="49" t="str">
        <f>IF(AND('Selbstbeurteilung Kunde'!D74="",'Selbstbeurteilung Kunde'!E74=""),"*","")</f>
        <v>*</v>
      </c>
      <c r="E72" s="50" t="str">
        <f>IF(ISBLANK('Selbstbeurteilung Kunde'!F74),"",'Selbstbeurteilung Kunde'!F74)</f>
        <v/>
      </c>
      <c r="F72" s="290"/>
      <c r="G72" s="290"/>
      <c r="H72" s="290"/>
      <c r="I72" s="290"/>
      <c r="J72" s="290"/>
      <c r="K72" s="290"/>
      <c r="L72" s="279"/>
      <c r="M72" s="47">
        <v>1</v>
      </c>
      <c r="N72" s="34"/>
      <c r="O72" s="35">
        <f t="shared" si="10"/>
        <v>0</v>
      </c>
      <c r="P72" s="54">
        <f>L72*M72</f>
        <v>0</v>
      </c>
      <c r="Q72" s="46"/>
      <c r="R72" s="46"/>
    </row>
    <row r="73" spans="1:18" x14ac:dyDescent="0.3">
      <c r="A73" s="37" t="str">
        <f>'Selbstbeurteilung Kunde'!A75</f>
        <v>2.1.2.</v>
      </c>
      <c r="B73" s="38" t="str">
        <f>'Selbstbeurteilung Kunde'!C75</f>
        <v>Aufgaben, Kompetenzen, Verantwortung</v>
      </c>
      <c r="C73" s="28">
        <f>O73/N73</f>
        <v>0</v>
      </c>
      <c r="D73" s="350"/>
      <c r="E73" s="37" t="str">
        <f>IF(ISBLANK('Selbstbeurteilung Kunde'!F75),"",'Selbstbeurteilung Kunde'!F75)</f>
        <v/>
      </c>
      <c r="F73" s="284"/>
      <c r="G73" s="284"/>
      <c r="H73" s="284"/>
      <c r="I73" s="284"/>
      <c r="J73" s="284"/>
      <c r="K73" s="284"/>
      <c r="L73" s="63">
        <f>P73/N73</f>
        <v>0</v>
      </c>
      <c r="M73" s="37">
        <v>3</v>
      </c>
      <c r="N73" s="37">
        <f>SUM(M74:M90)</f>
        <v>21</v>
      </c>
      <c r="O73" s="69">
        <f>SUM(O74:O90)</f>
        <v>0</v>
      </c>
      <c r="P73" s="69">
        <f>SUM(P74:P90)</f>
        <v>0</v>
      </c>
      <c r="Q73" s="65">
        <f>O73/$N73*$M73</f>
        <v>0</v>
      </c>
      <c r="R73" s="65">
        <f>P73/$N73*$M73</f>
        <v>0</v>
      </c>
    </row>
    <row r="74" spans="1:18" ht="39.6" x14ac:dyDescent="0.3">
      <c r="A74" s="3" t="str">
        <f>'Selbstbeurteilung Kunde'!A76</f>
        <v>2.1.2.1.</v>
      </c>
      <c r="B74" s="6" t="str">
        <f>'Selbstbeurteilung Kunde'!C76</f>
        <v>Ist die Zuständigkeit und Verantwortlichkeit für die Sicherheit und Gesundheit der Mitarbeitenden schriftlich geregelt?</v>
      </c>
      <c r="C74" s="49">
        <f>IF(ISBLANK('Selbstbeurteilung Kunde'!D76),0,1)</f>
        <v>0</v>
      </c>
      <c r="D74" s="49" t="str">
        <f>IF(AND('Selbstbeurteilung Kunde'!D76="",'Selbstbeurteilung Kunde'!E76=""),"*","")</f>
        <v>*</v>
      </c>
      <c r="E74" s="50" t="str">
        <f>IF(ISBLANK('Selbstbeurteilung Kunde'!F76),"",'Selbstbeurteilung Kunde'!F76)</f>
        <v/>
      </c>
      <c r="F74" s="290"/>
      <c r="G74" s="290"/>
      <c r="H74" s="290"/>
      <c r="I74" s="290"/>
      <c r="J74" s="290"/>
      <c r="K74" s="290"/>
      <c r="L74" s="279"/>
      <c r="M74" s="47">
        <v>4</v>
      </c>
      <c r="N74" s="34"/>
      <c r="O74" s="35">
        <f t="shared" ref="O74:O90" si="12">C74*M74</f>
        <v>0</v>
      </c>
      <c r="P74" s="54">
        <f t="shared" ref="P74:P90" si="13">L74*M74</f>
        <v>0</v>
      </c>
      <c r="Q74" s="46"/>
      <c r="R74" s="34"/>
    </row>
    <row r="75" spans="1:18" ht="39.6" x14ac:dyDescent="0.3">
      <c r="A75" s="3" t="str">
        <f>'Selbstbeurteilung Kunde'!A77</f>
        <v>2.1.2.2.a</v>
      </c>
      <c r="B75" s="6" t="str">
        <f>'Selbstbeurteilung Kunde'!C77</f>
        <v>Verfügt Ihr Unternehmen über Organisationsdokumente wie:
Stellenbeschreibungen?</v>
      </c>
      <c r="C75" s="49">
        <f>IF(ISBLANK('Selbstbeurteilung Kunde'!D77),0,1)</f>
        <v>0</v>
      </c>
      <c r="D75" s="49" t="str">
        <f>IF(AND('Selbstbeurteilung Kunde'!D77="",'Selbstbeurteilung Kunde'!E77=""),"*","")</f>
        <v>*</v>
      </c>
      <c r="E75" s="50" t="str">
        <f>IF(ISBLANK('Selbstbeurteilung Kunde'!F77),"",'Selbstbeurteilung Kunde'!F77)</f>
        <v/>
      </c>
      <c r="F75" s="290"/>
      <c r="G75" s="290"/>
      <c r="H75" s="290"/>
      <c r="I75" s="290"/>
      <c r="J75" s="290"/>
      <c r="K75" s="290"/>
      <c r="L75" s="279"/>
      <c r="M75" s="47">
        <v>2</v>
      </c>
      <c r="N75" s="34"/>
      <c r="O75" s="35">
        <f t="shared" si="12"/>
        <v>0</v>
      </c>
      <c r="P75" s="54">
        <f t="shared" si="13"/>
        <v>0</v>
      </c>
      <c r="Q75" s="46"/>
      <c r="R75" s="34"/>
    </row>
    <row r="76" spans="1:18" x14ac:dyDescent="0.3">
      <c r="A76" s="3" t="str">
        <f>'Selbstbeurteilung Kunde'!A78</f>
        <v>2.1.2.2.b</v>
      </c>
      <c r="B76" s="6" t="str">
        <f>'Selbstbeurteilung Kunde'!C78</f>
        <v>Pflichtenhefte?</v>
      </c>
      <c r="C76" s="49">
        <f>IF(ISBLANK('Selbstbeurteilung Kunde'!D78),0,1)</f>
        <v>0</v>
      </c>
      <c r="D76" s="49" t="str">
        <f>IF(AND('Selbstbeurteilung Kunde'!D78="",'Selbstbeurteilung Kunde'!E78=""),"*","")</f>
        <v>*</v>
      </c>
      <c r="E76" s="50" t="str">
        <f>IF(ISBLANK('Selbstbeurteilung Kunde'!F78),"",'Selbstbeurteilung Kunde'!F78)</f>
        <v/>
      </c>
      <c r="F76" s="290"/>
      <c r="G76" s="290"/>
      <c r="H76" s="290"/>
      <c r="I76" s="290"/>
      <c r="J76" s="290"/>
      <c r="K76" s="290"/>
      <c r="L76" s="279"/>
      <c r="M76" s="47">
        <v>1</v>
      </c>
      <c r="N76" s="34"/>
      <c r="O76" s="35">
        <f t="shared" si="12"/>
        <v>0</v>
      </c>
      <c r="P76" s="54">
        <f t="shared" si="13"/>
        <v>0</v>
      </c>
      <c r="Q76" s="46"/>
      <c r="R76" s="34"/>
    </row>
    <row r="77" spans="1:18" x14ac:dyDescent="0.3">
      <c r="A77" s="3" t="str">
        <f>'Selbstbeurteilung Kunde'!A79</f>
        <v>2.1.2.2.c</v>
      </c>
      <c r="B77" s="6" t="str">
        <f>'Selbstbeurteilung Kunde'!C79</f>
        <v>Funktionsdiagramme?</v>
      </c>
      <c r="C77" s="49">
        <f>IF(ISBLANK('Selbstbeurteilung Kunde'!D79),0,1)</f>
        <v>0</v>
      </c>
      <c r="D77" s="49" t="str">
        <f>IF(AND('Selbstbeurteilung Kunde'!D79="",'Selbstbeurteilung Kunde'!E79=""),"*","")</f>
        <v>*</v>
      </c>
      <c r="E77" s="50" t="str">
        <f>IF(ISBLANK('Selbstbeurteilung Kunde'!F79),"",'Selbstbeurteilung Kunde'!F79)</f>
        <v/>
      </c>
      <c r="F77" s="290"/>
      <c r="G77" s="290"/>
      <c r="H77" s="290"/>
      <c r="I77" s="290"/>
      <c r="J77" s="290"/>
      <c r="K77" s="290"/>
      <c r="L77" s="279"/>
      <c r="M77" s="47">
        <v>0</v>
      </c>
      <c r="N77" s="34"/>
      <c r="O77" s="35">
        <f t="shared" si="12"/>
        <v>0</v>
      </c>
      <c r="P77" s="54">
        <f t="shared" si="13"/>
        <v>0</v>
      </c>
      <c r="Q77" s="46"/>
      <c r="R77" s="34"/>
    </row>
    <row r="78" spans="1:18" x14ac:dyDescent="0.3">
      <c r="A78" s="3" t="str">
        <f>'Selbstbeurteilung Kunde'!A80</f>
        <v>2.1.2.2.d</v>
      </c>
      <c r="B78" s="6" t="str">
        <f>'Selbstbeurteilung Kunde'!C80</f>
        <v>Reglemente?</v>
      </c>
      <c r="C78" s="49">
        <f>IF(ISBLANK('Selbstbeurteilung Kunde'!D80),0,1)</f>
        <v>0</v>
      </c>
      <c r="D78" s="49" t="str">
        <f>IF(AND('Selbstbeurteilung Kunde'!D80="",'Selbstbeurteilung Kunde'!E80=""),"*","")</f>
        <v>*</v>
      </c>
      <c r="E78" s="50" t="str">
        <f>IF(ISBLANK('Selbstbeurteilung Kunde'!F80),"",'Selbstbeurteilung Kunde'!F80)</f>
        <v/>
      </c>
      <c r="F78" s="290"/>
      <c r="G78" s="290"/>
      <c r="H78" s="290"/>
      <c r="I78" s="290"/>
      <c r="J78" s="290"/>
      <c r="K78" s="290"/>
      <c r="L78" s="279"/>
      <c r="M78" s="47">
        <v>2</v>
      </c>
      <c r="N78" s="34"/>
      <c r="O78" s="35">
        <f t="shared" si="12"/>
        <v>0</v>
      </c>
      <c r="P78" s="54">
        <f t="shared" si="13"/>
        <v>0</v>
      </c>
      <c r="Q78" s="46"/>
      <c r="R78" s="34"/>
    </row>
    <row r="79" spans="1:18" x14ac:dyDescent="0.3">
      <c r="A79" s="3" t="str">
        <f>'Selbstbeurteilung Kunde'!A81</f>
        <v>2.1.2.2.e</v>
      </c>
      <c r="B79" s="6" t="str">
        <f>'Selbstbeurteilung Kunde'!C81</f>
        <v>Einzelarbeitsverträge?</v>
      </c>
      <c r="C79" s="49">
        <f>IF(ISBLANK('Selbstbeurteilung Kunde'!D81),0,1)</f>
        <v>0</v>
      </c>
      <c r="D79" s="49" t="str">
        <f>IF(AND('Selbstbeurteilung Kunde'!D81="",'Selbstbeurteilung Kunde'!E81=""),"*","")</f>
        <v>*</v>
      </c>
      <c r="E79" s="50" t="str">
        <f>IF(ISBLANK('Selbstbeurteilung Kunde'!F81),"",'Selbstbeurteilung Kunde'!F81)</f>
        <v/>
      </c>
      <c r="F79" s="290"/>
      <c r="G79" s="290"/>
      <c r="H79" s="290"/>
      <c r="I79" s="290"/>
      <c r="J79" s="290"/>
      <c r="K79" s="290"/>
      <c r="L79" s="279"/>
      <c r="M79" s="47">
        <v>2</v>
      </c>
      <c r="N79" s="34"/>
      <c r="O79" s="35">
        <f t="shared" si="12"/>
        <v>0</v>
      </c>
      <c r="P79" s="54">
        <f t="shared" si="13"/>
        <v>0</v>
      </c>
      <c r="Q79" s="46"/>
      <c r="R79" s="34"/>
    </row>
    <row r="80" spans="1:18" x14ac:dyDescent="0.3">
      <c r="A80" s="3" t="str">
        <f>'Selbstbeurteilung Kunde'!A82</f>
        <v>2.1.2.2.f</v>
      </c>
      <c r="B80" s="6" t="str">
        <f>'Selbstbeurteilung Kunde'!C82</f>
        <v>Gesamtarbeitsverträge?</v>
      </c>
      <c r="C80" s="49">
        <f>IF(ISBLANK('Selbstbeurteilung Kunde'!D82),0,1)</f>
        <v>0</v>
      </c>
      <c r="D80" s="49" t="str">
        <f>IF(AND('Selbstbeurteilung Kunde'!D82="",'Selbstbeurteilung Kunde'!E82=""),"*","")</f>
        <v>*</v>
      </c>
      <c r="E80" s="50" t="str">
        <f>IF(ISBLANK('Selbstbeurteilung Kunde'!F82),"",'Selbstbeurteilung Kunde'!F82)</f>
        <v/>
      </c>
      <c r="F80" s="290"/>
      <c r="G80" s="290"/>
      <c r="H80" s="290"/>
      <c r="I80" s="290"/>
      <c r="J80" s="290"/>
      <c r="K80" s="290"/>
      <c r="L80" s="279"/>
      <c r="M80" s="47">
        <v>0</v>
      </c>
      <c r="N80" s="34"/>
      <c r="O80" s="35">
        <f t="shared" si="12"/>
        <v>0</v>
      </c>
      <c r="P80" s="54">
        <f t="shared" si="13"/>
        <v>0</v>
      </c>
      <c r="Q80" s="46"/>
      <c r="R80" s="34"/>
    </row>
    <row r="81" spans="1:18" x14ac:dyDescent="0.3">
      <c r="A81" s="3" t="str">
        <f>'Selbstbeurteilung Kunde'!A83</f>
        <v>2.1.2.2.g</v>
      </c>
      <c r="B81" s="6" t="str">
        <f>'Selbstbeurteilung Kunde'!C83</f>
        <v>Werkverträge?</v>
      </c>
      <c r="C81" s="49">
        <f>IF(ISBLANK('Selbstbeurteilung Kunde'!D83),0,1)</f>
        <v>0</v>
      </c>
      <c r="D81" s="49" t="str">
        <f>IF(AND('Selbstbeurteilung Kunde'!D83="",'Selbstbeurteilung Kunde'!E83=""),"*","")</f>
        <v>*</v>
      </c>
      <c r="E81" s="50" t="str">
        <f>IF(ISBLANK('Selbstbeurteilung Kunde'!F83),"",'Selbstbeurteilung Kunde'!F83)</f>
        <v/>
      </c>
      <c r="F81" s="290"/>
      <c r="G81" s="290"/>
      <c r="H81" s="290"/>
      <c r="I81" s="290"/>
      <c r="J81" s="290"/>
      <c r="K81" s="290"/>
      <c r="L81" s="279"/>
      <c r="M81" s="47">
        <v>1</v>
      </c>
      <c r="N81" s="34"/>
      <c r="O81" s="35">
        <f t="shared" si="12"/>
        <v>0</v>
      </c>
      <c r="P81" s="54">
        <f t="shared" si="13"/>
        <v>0</v>
      </c>
      <c r="Q81" s="46"/>
      <c r="R81" s="34"/>
    </row>
    <row r="82" spans="1:18" x14ac:dyDescent="0.3">
      <c r="A82" s="3" t="str">
        <f>'Selbstbeurteilung Kunde'!A84</f>
        <v>2.1.2.2.h</v>
      </c>
      <c r="B82" s="6" t="str">
        <f>'Selbstbeurteilung Kunde'!C84</f>
        <v xml:space="preserve">Andere Organisationsdokumente? Wenn ja, welche? </v>
      </c>
      <c r="C82" s="49">
        <f>IF(ISBLANK('Selbstbeurteilung Kunde'!D84),0,1)</f>
        <v>0</v>
      </c>
      <c r="D82" s="49" t="str">
        <f>IF(AND('Selbstbeurteilung Kunde'!D84="",'Selbstbeurteilung Kunde'!E84=""),"*","")</f>
        <v>*</v>
      </c>
      <c r="E82" s="50" t="str">
        <f>IF(ISBLANK('Selbstbeurteilung Kunde'!F84),"",'Selbstbeurteilung Kunde'!F84)</f>
        <v/>
      </c>
      <c r="F82" s="290"/>
      <c r="G82" s="290"/>
      <c r="H82" s="290"/>
      <c r="I82" s="290"/>
      <c r="J82" s="290"/>
      <c r="K82" s="290"/>
      <c r="L82" s="279"/>
      <c r="M82" s="47">
        <v>0</v>
      </c>
      <c r="N82" s="34"/>
      <c r="O82" s="35">
        <f t="shared" si="12"/>
        <v>0</v>
      </c>
      <c r="P82" s="54">
        <f t="shared" si="13"/>
        <v>0</v>
      </c>
      <c r="Q82" s="46"/>
      <c r="R82" s="34"/>
    </row>
    <row r="83" spans="1:18" ht="52.8" x14ac:dyDescent="0.3">
      <c r="A83" s="3" t="str">
        <f>'Selbstbeurteilung Kunde'!A85</f>
        <v>2.1.2.3.a</v>
      </c>
      <c r="B83" s="6" t="str">
        <f>'Selbstbeurteilung Kunde'!C85</f>
        <v>Sind Aufgaben, Kompetenzen, Verantwortlichkeit (Pflichten und Rechte) bezüglich Sicherheit und Gesundheit Bestandteil von: 
Stellenbeschreibungen?</v>
      </c>
      <c r="C83" s="49">
        <f>IF(ISBLANK('Selbstbeurteilung Kunde'!D85),0,1)</f>
        <v>0</v>
      </c>
      <c r="D83" s="49" t="str">
        <f>IF(AND('Selbstbeurteilung Kunde'!D85="",'Selbstbeurteilung Kunde'!E85=""),"*","")</f>
        <v>*</v>
      </c>
      <c r="E83" s="50" t="str">
        <f>IF(ISBLANK('Selbstbeurteilung Kunde'!F85),"",'Selbstbeurteilung Kunde'!F85)</f>
        <v/>
      </c>
      <c r="F83" s="290"/>
      <c r="G83" s="290"/>
      <c r="H83" s="290"/>
      <c r="I83" s="290"/>
      <c r="J83" s="290"/>
      <c r="K83" s="290"/>
      <c r="L83" s="279"/>
      <c r="M83" s="47">
        <v>5</v>
      </c>
      <c r="N83" s="34"/>
      <c r="O83" s="35">
        <f t="shared" si="12"/>
        <v>0</v>
      </c>
      <c r="P83" s="54">
        <f t="shared" si="13"/>
        <v>0</v>
      </c>
      <c r="Q83" s="46"/>
      <c r="R83" s="34"/>
    </row>
    <row r="84" spans="1:18" x14ac:dyDescent="0.3">
      <c r="A84" s="3" t="str">
        <f>'Selbstbeurteilung Kunde'!A86</f>
        <v>2.1.2.3.b</v>
      </c>
      <c r="B84" s="6" t="str">
        <f>'Selbstbeurteilung Kunde'!C86</f>
        <v>Pflichtenheften?</v>
      </c>
      <c r="C84" s="49">
        <f>IF(ISBLANK('Selbstbeurteilung Kunde'!D86),0,1)</f>
        <v>0</v>
      </c>
      <c r="D84" s="49" t="str">
        <f>IF(AND('Selbstbeurteilung Kunde'!D86="",'Selbstbeurteilung Kunde'!E86=""),"*","")</f>
        <v>*</v>
      </c>
      <c r="E84" s="50" t="str">
        <f>IF(ISBLANK('Selbstbeurteilung Kunde'!F86),"",'Selbstbeurteilung Kunde'!F86)</f>
        <v/>
      </c>
      <c r="F84" s="290"/>
      <c r="G84" s="290"/>
      <c r="H84" s="290"/>
      <c r="I84" s="290"/>
      <c r="J84" s="290"/>
      <c r="K84" s="290"/>
      <c r="L84" s="279"/>
      <c r="M84" s="47">
        <v>1</v>
      </c>
      <c r="N84" s="34"/>
      <c r="O84" s="35">
        <f t="shared" si="12"/>
        <v>0</v>
      </c>
      <c r="P84" s="54">
        <f t="shared" si="13"/>
        <v>0</v>
      </c>
      <c r="Q84" s="46"/>
      <c r="R84" s="34"/>
    </row>
    <row r="85" spans="1:18" x14ac:dyDescent="0.3">
      <c r="A85" s="3" t="str">
        <f>'Selbstbeurteilung Kunde'!A87</f>
        <v>2.1.2.3.c</v>
      </c>
      <c r="B85" s="6" t="str">
        <f>'Selbstbeurteilung Kunde'!C87</f>
        <v>Funktionsdiagrammen?</v>
      </c>
      <c r="C85" s="49">
        <f>IF(ISBLANK('Selbstbeurteilung Kunde'!D87),0,1)</f>
        <v>0</v>
      </c>
      <c r="D85" s="49" t="str">
        <f>IF(AND('Selbstbeurteilung Kunde'!D87="",'Selbstbeurteilung Kunde'!E87=""),"*","")</f>
        <v>*</v>
      </c>
      <c r="E85" s="50" t="str">
        <f>IF(ISBLANK('Selbstbeurteilung Kunde'!F87),"",'Selbstbeurteilung Kunde'!F87)</f>
        <v/>
      </c>
      <c r="F85" s="290"/>
      <c r="G85" s="290"/>
      <c r="H85" s="290"/>
      <c r="I85" s="290"/>
      <c r="J85" s="290"/>
      <c r="K85" s="290"/>
      <c r="L85" s="279"/>
      <c r="M85" s="47">
        <v>0</v>
      </c>
      <c r="N85" s="34"/>
      <c r="O85" s="35">
        <f t="shared" si="12"/>
        <v>0</v>
      </c>
      <c r="P85" s="54">
        <f t="shared" si="13"/>
        <v>0</v>
      </c>
      <c r="Q85" s="46"/>
      <c r="R85" s="46"/>
    </row>
    <row r="86" spans="1:18" x14ac:dyDescent="0.3">
      <c r="A86" s="3" t="str">
        <f>'Selbstbeurteilung Kunde'!A88</f>
        <v>2.1.2.3.d</v>
      </c>
      <c r="B86" s="6" t="str">
        <f>'Selbstbeurteilung Kunde'!C88</f>
        <v>Reglementen?</v>
      </c>
      <c r="C86" s="49">
        <f>IF(ISBLANK('Selbstbeurteilung Kunde'!D88),0,1)</f>
        <v>0</v>
      </c>
      <c r="D86" s="49" t="str">
        <f>IF(AND('Selbstbeurteilung Kunde'!D88="",'Selbstbeurteilung Kunde'!E88=""),"*","")</f>
        <v>*</v>
      </c>
      <c r="E86" s="50" t="str">
        <f>IF(ISBLANK('Selbstbeurteilung Kunde'!F88),"",'Selbstbeurteilung Kunde'!F88)</f>
        <v/>
      </c>
      <c r="F86" s="287"/>
      <c r="G86" s="287"/>
      <c r="H86" s="287"/>
      <c r="I86" s="287"/>
      <c r="J86" s="287"/>
      <c r="K86" s="287"/>
      <c r="L86" s="279"/>
      <c r="M86" s="47">
        <v>2</v>
      </c>
      <c r="N86" s="34"/>
      <c r="O86" s="35">
        <f t="shared" si="12"/>
        <v>0</v>
      </c>
      <c r="P86" s="54">
        <f t="shared" si="13"/>
        <v>0</v>
      </c>
      <c r="Q86" s="46"/>
      <c r="R86" s="34"/>
    </row>
    <row r="87" spans="1:18" x14ac:dyDescent="0.3">
      <c r="A87" s="3" t="str">
        <f>'Selbstbeurteilung Kunde'!A89</f>
        <v>2.1.2.3.e</v>
      </c>
      <c r="B87" s="6" t="str">
        <f>'Selbstbeurteilung Kunde'!C89</f>
        <v>Einzelarbeitsverträgen?</v>
      </c>
      <c r="C87" s="49">
        <f>IF(ISBLANK('Selbstbeurteilung Kunde'!D89),0,1)</f>
        <v>0</v>
      </c>
      <c r="D87" s="49" t="str">
        <f>IF(AND('Selbstbeurteilung Kunde'!D89="",'Selbstbeurteilung Kunde'!E89=""),"*","")</f>
        <v>*</v>
      </c>
      <c r="E87" s="50" t="str">
        <f>IF(ISBLANK('Selbstbeurteilung Kunde'!F89),"",'Selbstbeurteilung Kunde'!F89)</f>
        <v/>
      </c>
      <c r="F87" s="290"/>
      <c r="G87" s="290"/>
      <c r="H87" s="290"/>
      <c r="I87" s="290"/>
      <c r="J87" s="290"/>
      <c r="K87" s="290"/>
      <c r="L87" s="279"/>
      <c r="M87" s="47">
        <v>0</v>
      </c>
      <c r="N87" s="34"/>
      <c r="O87" s="35">
        <f t="shared" si="12"/>
        <v>0</v>
      </c>
      <c r="P87" s="54">
        <f t="shared" si="13"/>
        <v>0</v>
      </c>
      <c r="Q87" s="46"/>
      <c r="R87" s="34"/>
    </row>
    <row r="88" spans="1:18" x14ac:dyDescent="0.3">
      <c r="A88" s="3" t="str">
        <f>'Selbstbeurteilung Kunde'!A90</f>
        <v>2.1.2.3.f</v>
      </c>
      <c r="B88" s="6" t="str">
        <f>'Selbstbeurteilung Kunde'!C90</f>
        <v>Gesamtarbeitsverträgen?</v>
      </c>
      <c r="C88" s="49">
        <f>IF(ISBLANK('Selbstbeurteilung Kunde'!D90),0,1)</f>
        <v>0</v>
      </c>
      <c r="D88" s="49" t="str">
        <f>IF(AND('Selbstbeurteilung Kunde'!D90="",'Selbstbeurteilung Kunde'!E90=""),"*","")</f>
        <v>*</v>
      </c>
      <c r="E88" s="50" t="str">
        <f>IF(ISBLANK('Selbstbeurteilung Kunde'!F90),"",'Selbstbeurteilung Kunde'!F90)</f>
        <v/>
      </c>
      <c r="F88" s="287"/>
      <c r="G88" s="287"/>
      <c r="H88" s="287"/>
      <c r="I88" s="287"/>
      <c r="J88" s="287"/>
      <c r="K88" s="287"/>
      <c r="L88" s="279"/>
      <c r="M88" s="47">
        <v>0</v>
      </c>
      <c r="N88" s="34"/>
      <c r="O88" s="35">
        <f t="shared" si="12"/>
        <v>0</v>
      </c>
      <c r="P88" s="54">
        <f t="shared" si="13"/>
        <v>0</v>
      </c>
      <c r="Q88" s="46"/>
      <c r="R88" s="34"/>
    </row>
    <row r="89" spans="1:18" x14ac:dyDescent="0.3">
      <c r="A89" s="3" t="str">
        <f>'Selbstbeurteilung Kunde'!A91</f>
        <v>2.1.2.3.g</v>
      </c>
      <c r="B89" s="6" t="str">
        <f>'Selbstbeurteilung Kunde'!C91</f>
        <v>Werkverträgen?</v>
      </c>
      <c r="C89" s="49">
        <f>IF(ISBLANK('Selbstbeurteilung Kunde'!D91),0,1)</f>
        <v>0</v>
      </c>
      <c r="D89" s="49" t="str">
        <f>IF(AND('Selbstbeurteilung Kunde'!D91="",'Selbstbeurteilung Kunde'!E91=""),"*","")</f>
        <v>*</v>
      </c>
      <c r="E89" s="50" t="str">
        <f>IF(ISBLANK('Selbstbeurteilung Kunde'!F91),"",'Selbstbeurteilung Kunde'!F91)</f>
        <v/>
      </c>
      <c r="F89" s="287"/>
      <c r="G89" s="287"/>
      <c r="H89" s="287"/>
      <c r="I89" s="287"/>
      <c r="J89" s="287"/>
      <c r="K89" s="287"/>
      <c r="L89" s="279"/>
      <c r="M89" s="47">
        <v>1</v>
      </c>
      <c r="N89" s="34"/>
      <c r="O89" s="35">
        <f t="shared" si="12"/>
        <v>0</v>
      </c>
      <c r="P89" s="54">
        <f t="shared" si="13"/>
        <v>0</v>
      </c>
      <c r="Q89" s="46"/>
      <c r="R89" s="34"/>
    </row>
    <row r="90" spans="1:18" ht="26.4" x14ac:dyDescent="0.3">
      <c r="A90" s="3" t="str">
        <f>'Selbstbeurteilung Kunde'!A92</f>
        <v>2.1.2.3.h</v>
      </c>
      <c r="B90" s="6" t="str">
        <f>'Selbstbeurteilung Kunde'!C92</f>
        <v>Anderen Organisationsdokumenten?
Wenn ja, von welchen?</v>
      </c>
      <c r="C90" s="49">
        <f>IF(ISBLANK('Selbstbeurteilung Kunde'!D92),0,1)</f>
        <v>0</v>
      </c>
      <c r="D90" s="49" t="str">
        <f>IF(AND('Selbstbeurteilung Kunde'!D92="",'Selbstbeurteilung Kunde'!E92=""),"*","")</f>
        <v>*</v>
      </c>
      <c r="E90" s="50" t="str">
        <f>IF(ISBLANK('Selbstbeurteilung Kunde'!F92),"",'Selbstbeurteilung Kunde'!F92)</f>
        <v/>
      </c>
      <c r="F90" s="287"/>
      <c r="G90" s="287"/>
      <c r="H90" s="287"/>
      <c r="I90" s="287"/>
      <c r="J90" s="287"/>
      <c r="K90" s="287"/>
      <c r="L90" s="279"/>
      <c r="M90" s="47">
        <v>0</v>
      </c>
      <c r="N90" s="34"/>
      <c r="O90" s="35">
        <f t="shared" si="12"/>
        <v>0</v>
      </c>
      <c r="P90" s="54">
        <f t="shared" si="13"/>
        <v>0</v>
      </c>
      <c r="Q90" s="46"/>
      <c r="R90" s="34"/>
    </row>
    <row r="91" spans="1:18" x14ac:dyDescent="0.3">
      <c r="A91" s="37" t="str">
        <f>'Selbstbeurteilung Kunde'!A93</f>
        <v>2.1.3.</v>
      </c>
      <c r="B91" s="38" t="str">
        <f>'Selbstbeurteilung Kunde'!C93</f>
        <v>Arbeitsplanung und -organisation</v>
      </c>
      <c r="C91" s="28">
        <f>O91/N91</f>
        <v>0</v>
      </c>
      <c r="D91" s="350"/>
      <c r="E91" s="37" t="str">
        <f>IF(ISBLANK('Selbstbeurteilung Kunde'!F93),"",'Selbstbeurteilung Kunde'!F93)</f>
        <v/>
      </c>
      <c r="F91" s="284"/>
      <c r="G91" s="284"/>
      <c r="H91" s="284"/>
      <c r="I91" s="284"/>
      <c r="J91" s="284"/>
      <c r="K91" s="284"/>
      <c r="L91" s="63">
        <f>P91/N91</f>
        <v>0</v>
      </c>
      <c r="M91" s="37">
        <v>2</v>
      </c>
      <c r="N91" s="37">
        <f>SUM(M92:M102)</f>
        <v>17</v>
      </c>
      <c r="O91" s="69">
        <f>SUM(O92:O102)</f>
        <v>0</v>
      </c>
      <c r="P91" s="69">
        <f>SUM(P92:P102)</f>
        <v>0</v>
      </c>
      <c r="Q91" s="65">
        <f>O91/$N91*$M91</f>
        <v>0</v>
      </c>
      <c r="R91" s="65">
        <f>P91/$N91*$M91</f>
        <v>0</v>
      </c>
    </row>
    <row r="92" spans="1:18" ht="39.6" x14ac:dyDescent="0.3">
      <c r="A92" s="3" t="str">
        <f>'Selbstbeurteilung Kunde'!A94</f>
        <v>2.1.3.1.a</v>
      </c>
      <c r="B92" s="6" t="str">
        <f>'Selbstbeurteilung Kunde'!C94</f>
        <v>Wird die Planung, Kalkulation, Organisation und Vorbereitung von Arbeitsaufträgen durchgeführt von: 
Linienvorgesetzten?</v>
      </c>
      <c r="C92" s="49">
        <f>IF(ISBLANK('Selbstbeurteilung Kunde'!D94),0,1)</f>
        <v>0</v>
      </c>
      <c r="D92" s="49" t="str">
        <f>IF(AND('Selbstbeurteilung Kunde'!D94="",'Selbstbeurteilung Kunde'!E94=""),"*","")</f>
        <v>*</v>
      </c>
      <c r="E92" s="50" t="str">
        <f>IF(ISBLANK('Selbstbeurteilung Kunde'!F94),"",'Selbstbeurteilung Kunde'!F94)</f>
        <v/>
      </c>
      <c r="F92" s="287"/>
      <c r="G92" s="287"/>
      <c r="H92" s="287"/>
      <c r="I92" s="287"/>
      <c r="J92" s="287"/>
      <c r="K92" s="287"/>
      <c r="L92" s="279"/>
      <c r="M92" s="47">
        <v>3</v>
      </c>
      <c r="N92" s="34"/>
      <c r="O92" s="35">
        <f t="shared" ref="O92:O102" si="14">C92*M92</f>
        <v>0</v>
      </c>
      <c r="P92" s="54">
        <f t="shared" ref="P92:P102" si="15">L92*M92</f>
        <v>0</v>
      </c>
      <c r="Q92" s="46"/>
      <c r="R92" s="34"/>
    </row>
    <row r="93" spans="1:18" x14ac:dyDescent="0.3">
      <c r="A93" s="3" t="str">
        <f>'Selbstbeurteilung Kunde'!A95</f>
        <v>2.1.3.1.b</v>
      </c>
      <c r="B93" s="6" t="str">
        <f>'Selbstbeurteilung Kunde'!C95</f>
        <v>Projektteams?</v>
      </c>
      <c r="C93" s="49">
        <f>IF(ISBLANK('Selbstbeurteilung Kunde'!D95),0,1)</f>
        <v>0</v>
      </c>
      <c r="D93" s="49" t="str">
        <f>IF(AND('Selbstbeurteilung Kunde'!D95="",'Selbstbeurteilung Kunde'!E95=""),"*","")</f>
        <v>*</v>
      </c>
      <c r="E93" s="50" t="str">
        <f>IF(ISBLANK('Selbstbeurteilung Kunde'!F95),"",'Selbstbeurteilung Kunde'!F95)</f>
        <v/>
      </c>
      <c r="F93" s="287"/>
      <c r="G93" s="287"/>
      <c r="H93" s="287"/>
      <c r="I93" s="287"/>
      <c r="J93" s="287"/>
      <c r="K93" s="287"/>
      <c r="L93" s="279"/>
      <c r="M93" s="47">
        <v>0</v>
      </c>
      <c r="N93" s="34"/>
      <c r="O93" s="35">
        <f t="shared" si="14"/>
        <v>0</v>
      </c>
      <c r="P93" s="54">
        <f t="shared" si="15"/>
        <v>0</v>
      </c>
      <c r="Q93" s="46"/>
      <c r="R93" s="34"/>
    </row>
    <row r="94" spans="1:18" x14ac:dyDescent="0.3">
      <c r="A94" s="3" t="str">
        <f>'Selbstbeurteilung Kunde'!A96</f>
        <v>2.1.3.1.c</v>
      </c>
      <c r="B94" s="6" t="str">
        <f>'Selbstbeurteilung Kunde'!C96</f>
        <v>Einer speziellen Organisationseinheit (AVOR)?</v>
      </c>
      <c r="C94" s="49">
        <f>IF(ISBLANK('Selbstbeurteilung Kunde'!D96),0,1)</f>
        <v>0</v>
      </c>
      <c r="D94" s="49" t="str">
        <f>IF(AND('Selbstbeurteilung Kunde'!D96="",'Selbstbeurteilung Kunde'!E96=""),"*","")</f>
        <v>*</v>
      </c>
      <c r="E94" s="50" t="str">
        <f>IF(ISBLANK('Selbstbeurteilung Kunde'!F96),"",'Selbstbeurteilung Kunde'!F96)</f>
        <v/>
      </c>
      <c r="F94" s="287"/>
      <c r="G94" s="287"/>
      <c r="H94" s="287"/>
      <c r="I94" s="287"/>
      <c r="J94" s="287"/>
      <c r="K94" s="287"/>
      <c r="L94" s="279"/>
      <c r="M94" s="47">
        <v>0</v>
      </c>
      <c r="N94" s="34"/>
      <c r="O94" s="35">
        <f t="shared" si="14"/>
        <v>0</v>
      </c>
      <c r="P94" s="54">
        <f t="shared" si="15"/>
        <v>0</v>
      </c>
      <c r="Q94" s="46"/>
      <c r="R94" s="34"/>
    </row>
    <row r="95" spans="1:18" ht="26.4" x14ac:dyDescent="0.3">
      <c r="A95" s="3" t="str">
        <f>'Selbstbeurteilung Kunde'!A97</f>
        <v>2.1.3.1.d</v>
      </c>
      <c r="B95" s="6" t="str">
        <f>'Selbstbeurteilung Kunde'!C97</f>
        <v>Anderen/weiteren Organen/Personen? Wenn ja, von welchen Organen/Personen?</v>
      </c>
      <c r="C95" s="49">
        <f>IF(ISBLANK('Selbstbeurteilung Kunde'!D97),0,1)</f>
        <v>0</v>
      </c>
      <c r="D95" s="49" t="str">
        <f>IF(AND('Selbstbeurteilung Kunde'!D97="",'Selbstbeurteilung Kunde'!E97=""),"*","")</f>
        <v>*</v>
      </c>
      <c r="E95" s="50" t="str">
        <f>IF(ISBLANK('Selbstbeurteilung Kunde'!F97),"",'Selbstbeurteilung Kunde'!F97)</f>
        <v/>
      </c>
      <c r="F95" s="287"/>
      <c r="G95" s="287"/>
      <c r="H95" s="287"/>
      <c r="I95" s="287"/>
      <c r="J95" s="287"/>
      <c r="K95" s="287"/>
      <c r="L95" s="279"/>
      <c r="M95" s="47">
        <v>0</v>
      </c>
      <c r="N95" s="34"/>
      <c r="O95" s="35">
        <f t="shared" si="14"/>
        <v>0</v>
      </c>
      <c r="P95" s="54">
        <f t="shared" si="15"/>
        <v>0</v>
      </c>
      <c r="Q95" s="46"/>
      <c r="R95" s="34"/>
    </row>
    <row r="96" spans="1:18" ht="39.6" x14ac:dyDescent="0.3">
      <c r="A96" s="3" t="str">
        <f>'Selbstbeurteilung Kunde'!A98</f>
        <v>2.1.3.2.</v>
      </c>
      <c r="B96" s="6" t="str">
        <f>'Selbstbeurteilung Kunde'!C98</f>
        <v>Werden in der Phase der Planung, Organisation und Vorbereitung Aspekte der Arbeitssicherheit und des Gesundheitsschutzes berücksichtigt?</v>
      </c>
      <c r="C96" s="49">
        <f>IF(ISBLANK('Selbstbeurteilung Kunde'!D98),0,1)</f>
        <v>0</v>
      </c>
      <c r="D96" s="49" t="str">
        <f>IF(AND('Selbstbeurteilung Kunde'!D98="",'Selbstbeurteilung Kunde'!E98=""),"*","")</f>
        <v>*</v>
      </c>
      <c r="E96" s="50" t="str">
        <f>IF(ISBLANK('Selbstbeurteilung Kunde'!F98),"",'Selbstbeurteilung Kunde'!F98)</f>
        <v/>
      </c>
      <c r="F96" s="290"/>
      <c r="G96" s="290"/>
      <c r="H96" s="290"/>
      <c r="I96" s="290"/>
      <c r="J96" s="290"/>
      <c r="K96" s="290"/>
      <c r="L96" s="279"/>
      <c r="M96" s="47">
        <v>5</v>
      </c>
      <c r="N96" s="34"/>
      <c r="O96" s="35">
        <f t="shared" si="14"/>
        <v>0</v>
      </c>
      <c r="P96" s="54">
        <f t="shared" si="15"/>
        <v>0</v>
      </c>
      <c r="Q96" s="46"/>
      <c r="R96" s="34"/>
    </row>
    <row r="97" spans="1:18" ht="39.6" x14ac:dyDescent="0.3">
      <c r="A97" s="3" t="str">
        <f>'Selbstbeurteilung Kunde'!A99</f>
        <v>2.1.3.3.</v>
      </c>
      <c r="B97" s="6" t="str">
        <f>'Selbstbeurteilung Kunde'!C99</f>
        <v>Besteht eine strikte Trennung zwischen der Planung, Organisation und Vorbereitung (AVOR) von Arbeiten und der Ausführung von Arbeiten?</v>
      </c>
      <c r="C97" s="49">
        <f>IF(ISBLANK('Selbstbeurteilung Kunde'!D99),0,1)</f>
        <v>0</v>
      </c>
      <c r="D97" s="49" t="str">
        <f>IF(AND('Selbstbeurteilung Kunde'!D99="",'Selbstbeurteilung Kunde'!E99=""),"*","")</f>
        <v>*</v>
      </c>
      <c r="E97" s="50" t="str">
        <f>IF(ISBLANK('Selbstbeurteilung Kunde'!F99),"",'Selbstbeurteilung Kunde'!F99)</f>
        <v/>
      </c>
      <c r="F97" s="287"/>
      <c r="G97" s="287"/>
      <c r="H97" s="287"/>
      <c r="I97" s="287"/>
      <c r="J97" s="287"/>
      <c r="K97" s="287"/>
      <c r="L97" s="279"/>
      <c r="M97" s="47">
        <v>0</v>
      </c>
      <c r="N97" s="34"/>
      <c r="O97" s="35">
        <f t="shared" si="14"/>
        <v>0</v>
      </c>
      <c r="P97" s="54">
        <f t="shared" si="15"/>
        <v>0</v>
      </c>
      <c r="Q97" s="46"/>
      <c r="R97" s="34"/>
    </row>
    <row r="98" spans="1:18" ht="26.4" x14ac:dyDescent="0.3">
      <c r="A98" s="3" t="str">
        <f>'Selbstbeurteilung Kunde'!A100</f>
        <v>2.1.3.4.</v>
      </c>
      <c r="B98" s="6" t="str">
        <f>'Selbstbeurteilung Kunde'!C100</f>
        <v>Wird die Ausführungsebene in die Arbeitsvorbereitung einbezogen?</v>
      </c>
      <c r="C98" s="49">
        <f>IF(ISBLANK('Selbstbeurteilung Kunde'!D100),0,1)</f>
        <v>0</v>
      </c>
      <c r="D98" s="49" t="str">
        <f>IF(AND('Selbstbeurteilung Kunde'!D100="",'Selbstbeurteilung Kunde'!E100=""),"*","")</f>
        <v>*</v>
      </c>
      <c r="E98" s="50" t="str">
        <f>IF(ISBLANK('Selbstbeurteilung Kunde'!F100),"",'Selbstbeurteilung Kunde'!F100)</f>
        <v/>
      </c>
      <c r="F98" s="287"/>
      <c r="G98" s="287"/>
      <c r="H98" s="287"/>
      <c r="I98" s="287"/>
      <c r="J98" s="287"/>
      <c r="K98" s="287"/>
      <c r="L98" s="279"/>
      <c r="M98" s="47">
        <v>0</v>
      </c>
      <c r="N98" s="34"/>
      <c r="O98" s="35">
        <f t="shared" si="14"/>
        <v>0</v>
      </c>
      <c r="P98" s="54">
        <f t="shared" si="15"/>
        <v>0</v>
      </c>
      <c r="Q98" s="46"/>
      <c r="R98" s="34"/>
    </row>
    <row r="99" spans="1:18" x14ac:dyDescent="0.3">
      <c r="A99" s="3" t="str">
        <f>'Selbstbeurteilung Kunde'!A101</f>
        <v>2.1.3.5.</v>
      </c>
      <c r="B99" s="6" t="str">
        <f>'Selbstbeurteilung Kunde'!C101</f>
        <v>Werden Arbeitsaufträge erläutert und besprochen?</v>
      </c>
      <c r="C99" s="49">
        <f>IF(ISBLANK('Selbstbeurteilung Kunde'!D101),0,1)</f>
        <v>0</v>
      </c>
      <c r="D99" s="49" t="str">
        <f>IF(AND('Selbstbeurteilung Kunde'!D101="",'Selbstbeurteilung Kunde'!E101=""),"*","")</f>
        <v>*</v>
      </c>
      <c r="E99" s="50" t="str">
        <f>IF(ISBLANK('Selbstbeurteilung Kunde'!F101),"",'Selbstbeurteilung Kunde'!F101)</f>
        <v/>
      </c>
      <c r="F99" s="287"/>
      <c r="G99" s="287"/>
      <c r="H99" s="287"/>
      <c r="I99" s="287"/>
      <c r="J99" s="287"/>
      <c r="K99" s="287"/>
      <c r="L99" s="279"/>
      <c r="M99" s="47">
        <v>3</v>
      </c>
      <c r="N99" s="34"/>
      <c r="O99" s="35">
        <f t="shared" si="14"/>
        <v>0</v>
      </c>
      <c r="P99" s="54">
        <f t="shared" si="15"/>
        <v>0</v>
      </c>
      <c r="Q99" s="46"/>
      <c r="R99" s="34"/>
    </row>
    <row r="100" spans="1:18" ht="26.4" x14ac:dyDescent="0.3">
      <c r="A100" s="3" t="str">
        <f>'Selbstbeurteilung Kunde'!A102</f>
        <v>2.1.3.6.</v>
      </c>
      <c r="B100" s="6" t="str">
        <f>'Selbstbeurteilung Kunde'!C102</f>
        <v>Sind Sicherheit und Gesundheitsschutz Bestandteil der Arbeitsaufträge?</v>
      </c>
      <c r="C100" s="49">
        <f>IF(ISBLANK('Selbstbeurteilung Kunde'!D102),0,1)</f>
        <v>0</v>
      </c>
      <c r="D100" s="49" t="str">
        <f>IF(AND('Selbstbeurteilung Kunde'!D102="",'Selbstbeurteilung Kunde'!E102=""),"*","")</f>
        <v>*</v>
      </c>
      <c r="E100" s="50" t="str">
        <f>IF(ISBLANK('Selbstbeurteilung Kunde'!F102),"",'Selbstbeurteilung Kunde'!F102)</f>
        <v/>
      </c>
      <c r="F100" s="287"/>
      <c r="G100" s="287"/>
      <c r="H100" s="287"/>
      <c r="I100" s="287"/>
      <c r="J100" s="287"/>
      <c r="K100" s="287"/>
      <c r="L100" s="279"/>
      <c r="M100" s="47">
        <v>3</v>
      </c>
      <c r="N100" s="34"/>
      <c r="O100" s="35">
        <f t="shared" si="14"/>
        <v>0</v>
      </c>
      <c r="P100" s="54">
        <f t="shared" si="15"/>
        <v>0</v>
      </c>
      <c r="Q100" s="46"/>
      <c r="R100" s="34"/>
    </row>
    <row r="101" spans="1:18" ht="26.4" x14ac:dyDescent="0.3">
      <c r="A101" s="3" t="str">
        <f>'Selbstbeurteilung Kunde'!A103</f>
        <v>2.1.3.7.</v>
      </c>
      <c r="B101" s="6" t="str">
        <f>'Selbstbeurteilung Kunde'!C103</f>
        <v>Werden Arbeitsaufträge in schriftlicher Form erteilt und dokumentiert?</v>
      </c>
      <c r="C101" s="49">
        <f>IF(ISBLANK('Selbstbeurteilung Kunde'!D103),0,1)</f>
        <v>0</v>
      </c>
      <c r="D101" s="49" t="str">
        <f>IF(AND('Selbstbeurteilung Kunde'!D103="",'Selbstbeurteilung Kunde'!E103=""),"*","")</f>
        <v>*</v>
      </c>
      <c r="E101" s="50" t="str">
        <f>IF(ISBLANK('Selbstbeurteilung Kunde'!F103),"",'Selbstbeurteilung Kunde'!F103)</f>
        <v/>
      </c>
      <c r="F101" s="287"/>
      <c r="G101" s="287"/>
      <c r="H101" s="287"/>
      <c r="I101" s="287"/>
      <c r="J101" s="287"/>
      <c r="K101" s="287"/>
      <c r="L101" s="279"/>
      <c r="M101" s="47">
        <v>2</v>
      </c>
      <c r="N101" s="34"/>
      <c r="O101" s="35">
        <f t="shared" si="14"/>
        <v>0</v>
      </c>
      <c r="P101" s="54">
        <f t="shared" si="15"/>
        <v>0</v>
      </c>
      <c r="Q101" s="46"/>
      <c r="R101" s="34"/>
    </row>
    <row r="102" spans="1:18" ht="26.4" x14ac:dyDescent="0.3">
      <c r="A102" s="3" t="str">
        <f>'Selbstbeurteilung Kunde'!A104</f>
        <v>2.1.3.8.</v>
      </c>
      <c r="B102" s="6" t="str">
        <f>'Selbstbeurteilung Kunde'!C104</f>
        <v>Enthalten schriftliche Arbeitsanweisungen Hinweise auf Sicherheits- und Gesundheitsschutzmassnahmen?</v>
      </c>
      <c r="C102" s="49">
        <f>IF(ISBLANK('Selbstbeurteilung Kunde'!D104),0,1)</f>
        <v>0</v>
      </c>
      <c r="D102" s="49" t="str">
        <f>IF(AND('Selbstbeurteilung Kunde'!D104="",'Selbstbeurteilung Kunde'!E104=""),"*","")</f>
        <v>*</v>
      </c>
      <c r="E102" s="50" t="str">
        <f>IF(ISBLANK('Selbstbeurteilung Kunde'!F104),"",'Selbstbeurteilung Kunde'!F104)</f>
        <v/>
      </c>
      <c r="F102" s="287"/>
      <c r="G102" s="287"/>
      <c r="H102" s="287"/>
      <c r="I102" s="287"/>
      <c r="J102" s="287"/>
      <c r="K102" s="287"/>
      <c r="L102" s="279"/>
      <c r="M102" s="47">
        <v>1</v>
      </c>
      <c r="N102" s="34"/>
      <c r="O102" s="35">
        <f t="shared" si="14"/>
        <v>0</v>
      </c>
      <c r="P102" s="54">
        <f t="shared" si="15"/>
        <v>0</v>
      </c>
      <c r="Q102" s="46"/>
      <c r="R102" s="34"/>
    </row>
    <row r="103" spans="1:18" x14ac:dyDescent="0.3">
      <c r="A103" s="37" t="str">
        <f>'Selbstbeurteilung Kunde'!A105</f>
        <v>2.1.4.</v>
      </c>
      <c r="B103" s="38" t="str">
        <f>'Selbstbeurteilung Kunde'!C105</f>
        <v>Betriebsordnung</v>
      </c>
      <c r="C103" s="28">
        <f>O103/N103</f>
        <v>0</v>
      </c>
      <c r="D103" s="350"/>
      <c r="E103" s="37" t="str">
        <f>IF(ISBLANK('Selbstbeurteilung Kunde'!F105),"",'Selbstbeurteilung Kunde'!F105)</f>
        <v/>
      </c>
      <c r="F103" s="284"/>
      <c r="G103" s="284"/>
      <c r="H103" s="284"/>
      <c r="I103" s="284"/>
      <c r="J103" s="284"/>
      <c r="K103" s="284"/>
      <c r="L103" s="63">
        <f>P103/N103</f>
        <v>0</v>
      </c>
      <c r="M103" s="37">
        <v>1</v>
      </c>
      <c r="N103" s="52">
        <f>MAX(M104:M105)</f>
        <v>1</v>
      </c>
      <c r="O103" s="68">
        <f>MAX(O104:O105)</f>
        <v>0</v>
      </c>
      <c r="P103" s="68">
        <f>MAX(P104:P105)</f>
        <v>0</v>
      </c>
      <c r="Q103" s="65">
        <f>O103/N103*M103</f>
        <v>0</v>
      </c>
      <c r="R103" s="65">
        <f>P103/N103*$M103</f>
        <v>0</v>
      </c>
    </row>
    <row r="104" spans="1:18" ht="26.4" x14ac:dyDescent="0.3">
      <c r="A104" s="3" t="str">
        <f>'Selbstbeurteilung Kunde'!A106</f>
        <v>2.1.4.1.</v>
      </c>
      <c r="B104" s="6" t="str">
        <f>'Selbstbeurteilung Kunde'!C106</f>
        <v>Verfügt Ihr Unternehmen über eine obligatorische Betriebsordnung im Sinne des Arbeitsgesetzes?</v>
      </c>
      <c r="C104" s="49">
        <f>IF(ISBLANK('Selbstbeurteilung Kunde'!D106),0,1)</f>
        <v>0</v>
      </c>
      <c r="D104" s="49" t="str">
        <f>IF(AND('Selbstbeurteilung Kunde'!D106="",'Selbstbeurteilung Kunde'!E106=""),"*","")</f>
        <v>*</v>
      </c>
      <c r="E104" s="50" t="str">
        <f>IF(ISBLANK('Selbstbeurteilung Kunde'!F106),"",'Selbstbeurteilung Kunde'!F106)</f>
        <v/>
      </c>
      <c r="F104" s="287"/>
      <c r="G104" s="287"/>
      <c r="H104" s="287"/>
      <c r="I104" s="287"/>
      <c r="J104" s="287"/>
      <c r="K104" s="287"/>
      <c r="L104" s="279"/>
      <c r="M104" s="47">
        <v>1</v>
      </c>
      <c r="N104" s="34"/>
      <c r="O104" s="35">
        <f>C104*M104</f>
        <v>0</v>
      </c>
      <c r="P104" s="54">
        <f t="shared" ref="P104:P105" si="16">L104*M104</f>
        <v>0</v>
      </c>
      <c r="Q104" s="46"/>
      <c r="R104" s="34"/>
    </row>
    <row r="105" spans="1:18" ht="39.6" x14ac:dyDescent="0.3">
      <c r="A105" s="3" t="str">
        <f>'Selbstbeurteilung Kunde'!A107</f>
        <v>2.1.4.2.</v>
      </c>
      <c r="B105" s="6" t="str">
        <f>'Selbstbeurteilung Kunde'!C107</f>
        <v>Verfügt Ihr Unternehmen über eine freiwillige Betriebsordnung? Wenn ja: Wie lautet der Text bezüglich Sicherheit und Gesundheitsförderung der Beschäftigten?</v>
      </c>
      <c r="C105" s="49">
        <f>IF(ISBLANK('Selbstbeurteilung Kunde'!D107),0,1)</f>
        <v>0</v>
      </c>
      <c r="D105" s="49" t="str">
        <f>IF(AND('Selbstbeurteilung Kunde'!D107="",'Selbstbeurteilung Kunde'!E107=""),"*","")</f>
        <v>*</v>
      </c>
      <c r="E105" s="50" t="str">
        <f>IF(ISBLANK('Selbstbeurteilung Kunde'!F107),"",'Selbstbeurteilung Kunde'!F107)</f>
        <v/>
      </c>
      <c r="F105" s="290"/>
      <c r="G105" s="290"/>
      <c r="H105" s="290"/>
      <c r="I105" s="290"/>
      <c r="J105" s="290"/>
      <c r="K105" s="290"/>
      <c r="L105" s="279"/>
      <c r="M105" s="47">
        <v>1</v>
      </c>
      <c r="N105" s="34"/>
      <c r="O105" s="35">
        <f>C105*M105</f>
        <v>0</v>
      </c>
      <c r="P105" s="54">
        <f t="shared" si="16"/>
        <v>0</v>
      </c>
      <c r="Q105" s="46"/>
      <c r="R105" s="46"/>
    </row>
    <row r="106" spans="1:18" x14ac:dyDescent="0.3">
      <c r="A106" s="26" t="str">
        <f>'Selbstbeurteilung Kunde'!A108</f>
        <v>2.2</v>
      </c>
      <c r="B106" s="27" t="str">
        <f>'Selbstbeurteilung Kunde'!B108</f>
        <v>Sicherheitsorganisation</v>
      </c>
      <c r="C106" s="28">
        <f>O106/N106</f>
        <v>0</v>
      </c>
      <c r="D106" s="350"/>
      <c r="E106" s="37" t="str">
        <f>IF(ISBLANK('Selbstbeurteilung Kunde'!F108),"",'Selbstbeurteilung Kunde'!F108)</f>
        <v/>
      </c>
      <c r="F106" s="282"/>
      <c r="G106" s="282"/>
      <c r="H106" s="282"/>
      <c r="I106" s="282"/>
      <c r="J106" s="282"/>
      <c r="K106" s="282"/>
      <c r="L106" s="63">
        <f>P106/N106</f>
        <v>0</v>
      </c>
      <c r="M106" s="30">
        <v>3</v>
      </c>
      <c r="N106" s="29">
        <f>SUM(M107,M119,M123)</f>
        <v>8</v>
      </c>
      <c r="O106" s="31">
        <f>SUM(Q107,Q119,Q123)</f>
        <v>0</v>
      </c>
      <c r="P106" s="31">
        <f>SUM(R107,R119,R123)</f>
        <v>0</v>
      </c>
      <c r="Q106" s="65">
        <f>O106/$N106*$M106</f>
        <v>0</v>
      </c>
      <c r="R106" s="65">
        <f>P106/$N106*$M106</f>
        <v>0</v>
      </c>
    </row>
    <row r="107" spans="1:18" x14ac:dyDescent="0.3">
      <c r="A107" s="37" t="str">
        <f>'Selbstbeurteilung Kunde'!A109</f>
        <v>2.2.1.</v>
      </c>
      <c r="B107" s="38" t="str">
        <f>'Selbstbeurteilung Kunde'!C109</f>
        <v>Organisationsgestaltung</v>
      </c>
      <c r="C107" s="28">
        <f>O107/N107</f>
        <v>0</v>
      </c>
      <c r="D107" s="350"/>
      <c r="E107" s="37" t="str">
        <f>IF(ISBLANK('Selbstbeurteilung Kunde'!F109),"",'Selbstbeurteilung Kunde'!F109)</f>
        <v/>
      </c>
      <c r="F107" s="284"/>
      <c r="G107" s="284"/>
      <c r="H107" s="284"/>
      <c r="I107" s="284"/>
      <c r="J107" s="284"/>
      <c r="K107" s="284"/>
      <c r="L107" s="63">
        <f>P107/N107</f>
        <v>0</v>
      </c>
      <c r="M107" s="37">
        <v>2</v>
      </c>
      <c r="N107" s="52">
        <f>SUM(M108:M112,MAX(M113:M114),M115:M118)</f>
        <v>22</v>
      </c>
      <c r="O107" s="68">
        <f>SUM(O108:O112,MAX(O113:O114),O115:O118)</f>
        <v>0</v>
      </c>
      <c r="P107" s="68">
        <f>SUM(P108:P112,MAX(P113:P114),P115:P118)</f>
        <v>0</v>
      </c>
      <c r="Q107" s="65">
        <f>O107/N107*M107</f>
        <v>0</v>
      </c>
      <c r="R107" s="65">
        <f>P107/N107*$M107</f>
        <v>0</v>
      </c>
    </row>
    <row r="108" spans="1:18" ht="26.4" x14ac:dyDescent="0.3">
      <c r="A108" s="3" t="str">
        <f>'Selbstbeurteilung Kunde'!A110</f>
        <v>2.2.1.1.</v>
      </c>
      <c r="B108" s="6" t="str">
        <f>'Selbstbeurteilung Kunde'!C110</f>
        <v>Ist ein Mitglied der Geschäftsleitung für Arbeitssicherheit und Gesundheitsschutz zuständig?</v>
      </c>
      <c r="C108" s="49">
        <f>IF(ISBLANK('Selbstbeurteilung Kunde'!D110),0,1)</f>
        <v>0</v>
      </c>
      <c r="D108" s="49" t="str">
        <f>IF(AND('Selbstbeurteilung Kunde'!D110="",'Selbstbeurteilung Kunde'!E110=""),"*","")</f>
        <v>*</v>
      </c>
      <c r="E108" s="50" t="str">
        <f>IF(ISBLANK('Selbstbeurteilung Kunde'!F110),"",'Selbstbeurteilung Kunde'!F110)</f>
        <v/>
      </c>
      <c r="F108" s="290"/>
      <c r="G108" s="290"/>
      <c r="H108" s="290"/>
      <c r="I108" s="290"/>
      <c r="J108" s="290"/>
      <c r="K108" s="290"/>
      <c r="L108" s="279"/>
      <c r="M108" s="47">
        <v>3</v>
      </c>
      <c r="N108" s="34"/>
      <c r="O108" s="35">
        <f t="shared" ref="O108:O118" si="17">C108*M108</f>
        <v>0</v>
      </c>
      <c r="P108" s="54">
        <f t="shared" ref="P108:P118" si="18">L108*M108</f>
        <v>0</v>
      </c>
      <c r="Q108" s="46"/>
      <c r="R108" s="34"/>
    </row>
    <row r="109" spans="1:18" ht="39.6" x14ac:dyDescent="0.3">
      <c r="A109" s="3" t="str">
        <f>'Selbstbeurteilung Kunde'!A111</f>
        <v>2.2.1.2.</v>
      </c>
      <c r="B109" s="6" t="str">
        <f>'Selbstbeurteilung Kunde'!C111</f>
        <v>Verfügen Sie in Ihrem Unternehmen über eine Sicherheitsorganisation, die direkt der Unternehmensleitung unterstellt ist?</v>
      </c>
      <c r="C109" s="49">
        <f>IF(ISBLANK('Selbstbeurteilung Kunde'!D111),0,1)</f>
        <v>0</v>
      </c>
      <c r="D109" s="49" t="str">
        <f>IF(AND('Selbstbeurteilung Kunde'!D111="",'Selbstbeurteilung Kunde'!E111=""),"*","")</f>
        <v>*</v>
      </c>
      <c r="E109" s="50" t="str">
        <f>IF(ISBLANK('Selbstbeurteilung Kunde'!F111),"",'Selbstbeurteilung Kunde'!F111)</f>
        <v/>
      </c>
      <c r="F109" s="290"/>
      <c r="G109" s="290"/>
      <c r="H109" s="290"/>
      <c r="I109" s="290"/>
      <c r="J109" s="290"/>
      <c r="K109" s="290"/>
      <c r="L109" s="279"/>
      <c r="M109" s="47">
        <v>3</v>
      </c>
      <c r="N109" s="34"/>
      <c r="O109" s="35">
        <f t="shared" si="17"/>
        <v>0</v>
      </c>
      <c r="P109" s="54">
        <f t="shared" si="18"/>
        <v>0</v>
      </c>
      <c r="Q109" s="46"/>
      <c r="R109" s="34"/>
    </row>
    <row r="110" spans="1:18" ht="26.4" x14ac:dyDescent="0.3">
      <c r="A110" s="3" t="str">
        <f>'Selbstbeurteilung Kunde'!A112</f>
        <v>2.2.1.3.</v>
      </c>
      <c r="B110" s="6" t="str">
        <f>'Selbstbeurteilung Kunde'!C112</f>
        <v>Ist die Sicherheitsorganisation in einem Organigramm dargestellt?</v>
      </c>
      <c r="C110" s="49">
        <f>IF(ISBLANK('Selbstbeurteilung Kunde'!D112),0,1)</f>
        <v>0</v>
      </c>
      <c r="D110" s="49" t="str">
        <f>IF(AND('Selbstbeurteilung Kunde'!D112="",'Selbstbeurteilung Kunde'!E112=""),"*","")</f>
        <v>*</v>
      </c>
      <c r="E110" s="50" t="str">
        <f>IF(ISBLANK('Selbstbeurteilung Kunde'!F112),"",'Selbstbeurteilung Kunde'!F112)</f>
        <v/>
      </c>
      <c r="F110" s="290"/>
      <c r="G110" s="290"/>
      <c r="H110" s="290"/>
      <c r="I110" s="290"/>
      <c r="J110" s="290"/>
      <c r="K110" s="290"/>
      <c r="L110" s="279"/>
      <c r="M110" s="47">
        <v>2</v>
      </c>
      <c r="N110" s="34"/>
      <c r="O110" s="35">
        <f t="shared" si="17"/>
        <v>0</v>
      </c>
      <c r="P110" s="54">
        <f t="shared" si="18"/>
        <v>0</v>
      </c>
      <c r="Q110" s="46"/>
      <c r="R110" s="34"/>
    </row>
    <row r="111" spans="1:18" ht="39.6" x14ac:dyDescent="0.3">
      <c r="A111" s="3" t="str">
        <f>'Selbstbeurteilung Kunde'!A113</f>
        <v>2.2.1.4.a</v>
      </c>
      <c r="B111" s="6" t="str">
        <f>'Selbstbeurteilung Kunde'!C113</f>
        <v>Werden in Ihrem Unternehmen ausserbetriebliche Spezialisten beigezogen:
Arbeitsärzte?</v>
      </c>
      <c r="C111" s="49">
        <f>IF(ISBLANK('Selbstbeurteilung Kunde'!D113),0,1)</f>
        <v>0</v>
      </c>
      <c r="D111" s="49" t="str">
        <f>IF(AND('Selbstbeurteilung Kunde'!D113="",'Selbstbeurteilung Kunde'!E113=""),"*","")</f>
        <v>*</v>
      </c>
      <c r="E111" s="50" t="str">
        <f>IF(ISBLANK('Selbstbeurteilung Kunde'!F113),"",'Selbstbeurteilung Kunde'!F113)</f>
        <v/>
      </c>
      <c r="F111" s="287"/>
      <c r="G111" s="287"/>
      <c r="H111" s="287"/>
      <c r="I111" s="287"/>
      <c r="J111" s="287"/>
      <c r="K111" s="287"/>
      <c r="L111" s="279"/>
      <c r="M111" s="47">
        <v>0</v>
      </c>
      <c r="N111" s="34"/>
      <c r="O111" s="35">
        <f t="shared" si="17"/>
        <v>0</v>
      </c>
      <c r="P111" s="54">
        <f t="shared" si="18"/>
        <v>0</v>
      </c>
      <c r="Q111" s="46"/>
      <c r="R111" s="34"/>
    </row>
    <row r="112" spans="1:18" x14ac:dyDescent="0.3">
      <c r="A112" s="3" t="str">
        <f>'Selbstbeurteilung Kunde'!A114</f>
        <v>2.2.1.4.b</v>
      </c>
      <c r="B112" s="6" t="str">
        <f>'Selbstbeurteilung Kunde'!C114</f>
        <v>Arbeitshygieniker?</v>
      </c>
      <c r="C112" s="49">
        <f>IF(ISBLANK('Selbstbeurteilung Kunde'!D114),0,1)</f>
        <v>0</v>
      </c>
      <c r="D112" s="49" t="str">
        <f>IF(AND('Selbstbeurteilung Kunde'!D114="",'Selbstbeurteilung Kunde'!E114=""),"*","")</f>
        <v>*</v>
      </c>
      <c r="E112" s="50" t="str">
        <f>IF(ISBLANK('Selbstbeurteilung Kunde'!F114),"",'Selbstbeurteilung Kunde'!F114)</f>
        <v/>
      </c>
      <c r="F112" s="290"/>
      <c r="G112" s="290"/>
      <c r="H112" s="290"/>
      <c r="I112" s="290"/>
      <c r="J112" s="290"/>
      <c r="K112" s="290"/>
      <c r="L112" s="279"/>
      <c r="M112" s="47">
        <v>0</v>
      </c>
      <c r="N112" s="34"/>
      <c r="O112" s="35">
        <f t="shared" si="17"/>
        <v>0</v>
      </c>
      <c r="P112" s="54">
        <f t="shared" si="18"/>
        <v>0</v>
      </c>
      <c r="Q112" s="46"/>
      <c r="R112" s="34"/>
    </row>
    <row r="113" spans="1:18" x14ac:dyDescent="0.3">
      <c r="A113" s="3" t="str">
        <f>'Selbstbeurteilung Kunde'!A115</f>
        <v>2.2.1.4.c</v>
      </c>
      <c r="B113" s="6" t="str">
        <f>'Selbstbeurteilung Kunde'!C115</f>
        <v>Sicherheitsingenieure?</v>
      </c>
      <c r="C113" s="49">
        <f>IF(ISBLANK('Selbstbeurteilung Kunde'!D115),0,1)</f>
        <v>0</v>
      </c>
      <c r="D113" s="49" t="str">
        <f>IF(AND('Selbstbeurteilung Kunde'!D115="",'Selbstbeurteilung Kunde'!E115=""),"*","")</f>
        <v>*</v>
      </c>
      <c r="E113" s="50" t="str">
        <f>IF(ISBLANK('Selbstbeurteilung Kunde'!F115),"",'Selbstbeurteilung Kunde'!F115)</f>
        <v/>
      </c>
      <c r="F113" s="290"/>
      <c r="G113" s="290"/>
      <c r="H113" s="290"/>
      <c r="I113" s="290"/>
      <c r="J113" s="290"/>
      <c r="K113" s="290"/>
      <c r="L113" s="279"/>
      <c r="M113" s="47">
        <v>2</v>
      </c>
      <c r="N113" s="34"/>
      <c r="O113" s="35">
        <f t="shared" si="17"/>
        <v>0</v>
      </c>
      <c r="P113" s="54">
        <f t="shared" si="18"/>
        <v>0</v>
      </c>
      <c r="Q113" s="46"/>
      <c r="R113" s="34"/>
    </row>
    <row r="114" spans="1:18" x14ac:dyDescent="0.3">
      <c r="A114" s="3" t="str">
        <f>'Selbstbeurteilung Kunde'!A116</f>
        <v>2.2.1.4.d</v>
      </c>
      <c r="B114" s="6" t="str">
        <f>'Selbstbeurteilung Kunde'!C116</f>
        <v>Sicherheitsfachleute?</v>
      </c>
      <c r="C114" s="49">
        <f>IF(ISBLANK('Selbstbeurteilung Kunde'!D116),0,1)</f>
        <v>0</v>
      </c>
      <c r="D114" s="49" t="str">
        <f>IF(AND('Selbstbeurteilung Kunde'!D116="",'Selbstbeurteilung Kunde'!E116=""),"*","")</f>
        <v>*</v>
      </c>
      <c r="E114" s="50" t="str">
        <f>IF(ISBLANK('Selbstbeurteilung Kunde'!F116),"",'Selbstbeurteilung Kunde'!F116)</f>
        <v/>
      </c>
      <c r="F114" s="290"/>
      <c r="G114" s="290"/>
      <c r="H114" s="290"/>
      <c r="I114" s="290"/>
      <c r="J114" s="290"/>
      <c r="K114" s="290"/>
      <c r="L114" s="279"/>
      <c r="M114" s="47">
        <v>2</v>
      </c>
      <c r="N114" s="34"/>
      <c r="O114" s="35">
        <f t="shared" si="17"/>
        <v>0</v>
      </c>
      <c r="P114" s="54">
        <f t="shared" si="18"/>
        <v>0</v>
      </c>
      <c r="Q114" s="46"/>
      <c r="R114" s="34"/>
    </row>
    <row r="115" spans="1:18" x14ac:dyDescent="0.3">
      <c r="A115" s="3" t="str">
        <f>'Selbstbeurteilung Kunde'!A117</f>
        <v>2.2.1.4.e</v>
      </c>
      <c r="B115" s="6" t="str">
        <f>'Selbstbeurteilung Kunde'!C117</f>
        <v>Andere ausserbetriebliche Spezialisten? Wenn ja, welche?</v>
      </c>
      <c r="C115" s="49">
        <f>IF(ISBLANK('Selbstbeurteilung Kunde'!D117),0,1)</f>
        <v>0</v>
      </c>
      <c r="D115" s="49" t="str">
        <f>IF(AND('Selbstbeurteilung Kunde'!D117="",'Selbstbeurteilung Kunde'!E117=""),"*","")</f>
        <v>*</v>
      </c>
      <c r="E115" s="50" t="str">
        <f>IF(ISBLANK('Selbstbeurteilung Kunde'!F117),"",'Selbstbeurteilung Kunde'!F117)</f>
        <v/>
      </c>
      <c r="F115" s="287"/>
      <c r="G115" s="287"/>
      <c r="H115" s="287"/>
      <c r="I115" s="287"/>
      <c r="J115" s="287"/>
      <c r="K115" s="287"/>
      <c r="L115" s="279"/>
      <c r="M115" s="47">
        <v>0</v>
      </c>
      <c r="N115" s="34"/>
      <c r="O115" s="35">
        <f t="shared" si="17"/>
        <v>0</v>
      </c>
      <c r="P115" s="54">
        <f t="shared" si="18"/>
        <v>0</v>
      </c>
      <c r="Q115" s="46"/>
      <c r="R115" s="34"/>
    </row>
    <row r="116" spans="1:18" ht="26.4" x14ac:dyDescent="0.3">
      <c r="A116" s="3" t="str">
        <f>'Selbstbeurteilung Kunde'!A118</f>
        <v>2.2.1.5.</v>
      </c>
      <c r="B116" s="6" t="str">
        <f>'Selbstbeurteilung Kunde'!C118</f>
        <v>Sind Aufgaben, Pflichten und Rechte der einzelnen Organe der Sicherheitsorganisation schriftlich festgehalten?</v>
      </c>
      <c r="C116" s="49">
        <f>IF(ISBLANK('Selbstbeurteilung Kunde'!D118),0,1)</f>
        <v>0</v>
      </c>
      <c r="D116" s="49" t="str">
        <f>IF(AND('Selbstbeurteilung Kunde'!D118="",'Selbstbeurteilung Kunde'!E118=""),"*","")</f>
        <v>*</v>
      </c>
      <c r="E116" s="50" t="str">
        <f>IF(ISBLANK('Selbstbeurteilung Kunde'!F118),"",'Selbstbeurteilung Kunde'!F118)</f>
        <v/>
      </c>
      <c r="F116" s="287"/>
      <c r="G116" s="287"/>
      <c r="H116" s="287"/>
      <c r="I116" s="287"/>
      <c r="J116" s="287"/>
      <c r="K116" s="287"/>
      <c r="L116" s="279"/>
      <c r="M116" s="47">
        <v>4</v>
      </c>
      <c r="N116" s="34"/>
      <c r="O116" s="35">
        <f t="shared" si="17"/>
        <v>0</v>
      </c>
      <c r="P116" s="54">
        <f t="shared" si="18"/>
        <v>0</v>
      </c>
      <c r="Q116" s="46"/>
      <c r="R116" s="34"/>
    </row>
    <row r="117" spans="1:18" ht="39.6" x14ac:dyDescent="0.3">
      <c r="A117" s="3" t="str">
        <f>'Selbstbeurteilung Kunde'!A119</f>
        <v>2.2.1.6.</v>
      </c>
      <c r="B117" s="6" t="str">
        <f>'Selbstbeurteilung Kunde'!C119</f>
        <v>Ist der Sicherheitsbeauftragte verantwortlich für die Berichterstattung über Sicherheit und Gesundheitsschutz an die Geschäftsleitung?</v>
      </c>
      <c r="C117" s="49">
        <f>IF(ISBLANK('Selbstbeurteilung Kunde'!D119),0,1)</f>
        <v>0</v>
      </c>
      <c r="D117" s="49" t="str">
        <f>IF(AND('Selbstbeurteilung Kunde'!D119="",'Selbstbeurteilung Kunde'!E119=""),"*","")</f>
        <v>*</v>
      </c>
      <c r="E117" s="50" t="str">
        <f>IF(ISBLANK('Selbstbeurteilung Kunde'!F119),"",'Selbstbeurteilung Kunde'!F119)</f>
        <v/>
      </c>
      <c r="F117" s="287"/>
      <c r="G117" s="287"/>
      <c r="H117" s="287"/>
      <c r="I117" s="287"/>
      <c r="J117" s="287"/>
      <c r="K117" s="287"/>
      <c r="L117" s="279"/>
      <c r="M117" s="47">
        <v>3</v>
      </c>
      <c r="N117" s="34"/>
      <c r="O117" s="35">
        <f t="shared" si="17"/>
        <v>0</v>
      </c>
      <c r="P117" s="54">
        <f t="shared" si="18"/>
        <v>0</v>
      </c>
      <c r="Q117" s="46"/>
      <c r="R117" s="34"/>
    </row>
    <row r="118" spans="1:18" ht="26.4" x14ac:dyDescent="0.3">
      <c r="A118" s="3" t="str">
        <f>'Selbstbeurteilung Kunde'!A120</f>
        <v>2.2.1.7.</v>
      </c>
      <c r="B118" s="6" t="str">
        <f>'Selbstbeurteilung Kunde'!C120</f>
        <v>Wird die Sicherheitsorganisation durch die Linienvorgesetzten aktiv unterstützt?</v>
      </c>
      <c r="C118" s="49">
        <f>IF(ISBLANK('Selbstbeurteilung Kunde'!D120),0,1)</f>
        <v>0</v>
      </c>
      <c r="D118" s="49" t="str">
        <f>IF(AND('Selbstbeurteilung Kunde'!D120="",'Selbstbeurteilung Kunde'!E120=""),"*","")</f>
        <v>*</v>
      </c>
      <c r="E118" s="50" t="str">
        <f>IF(ISBLANK('Selbstbeurteilung Kunde'!F120),"",'Selbstbeurteilung Kunde'!F120)</f>
        <v/>
      </c>
      <c r="F118" s="287"/>
      <c r="G118" s="287"/>
      <c r="H118" s="287"/>
      <c r="I118" s="287"/>
      <c r="J118" s="287"/>
      <c r="K118" s="287"/>
      <c r="L118" s="279"/>
      <c r="M118" s="47">
        <v>5</v>
      </c>
      <c r="N118" s="34"/>
      <c r="O118" s="35">
        <f t="shared" si="17"/>
        <v>0</v>
      </c>
      <c r="P118" s="54">
        <f t="shared" si="18"/>
        <v>0</v>
      </c>
      <c r="Q118" s="46"/>
      <c r="R118" s="34"/>
    </row>
    <row r="119" spans="1:18" x14ac:dyDescent="0.3">
      <c r="A119" s="37" t="str">
        <f>'Selbstbeurteilung Kunde'!A121</f>
        <v>2.2.2.</v>
      </c>
      <c r="B119" s="38" t="str">
        <f>'Selbstbeurteilung Kunde'!C121</f>
        <v>Sicherheitskonzept</v>
      </c>
      <c r="C119" s="28">
        <f>O119/N119</f>
        <v>0</v>
      </c>
      <c r="D119" s="350"/>
      <c r="E119" s="37" t="str">
        <f>IF(ISBLANK('Selbstbeurteilung Kunde'!F121),"",'Selbstbeurteilung Kunde'!F121)</f>
        <v/>
      </c>
      <c r="F119" s="284"/>
      <c r="G119" s="284"/>
      <c r="H119" s="284"/>
      <c r="I119" s="284"/>
      <c r="J119" s="284"/>
      <c r="K119" s="284"/>
      <c r="L119" s="63">
        <f>P119/N119</f>
        <v>0</v>
      </c>
      <c r="M119" s="37">
        <v>3</v>
      </c>
      <c r="N119" s="69">
        <f>SUM(M120:M122)</f>
        <v>5</v>
      </c>
      <c r="O119" s="69">
        <f>SUM(O120:O122)</f>
        <v>0</v>
      </c>
      <c r="P119" s="69">
        <f>SUM(P120:P122)</f>
        <v>0</v>
      </c>
      <c r="Q119" s="65">
        <f>O119/$N119*$M119</f>
        <v>0</v>
      </c>
      <c r="R119" s="65">
        <f>P119/$N119*$M119</f>
        <v>0</v>
      </c>
    </row>
    <row r="120" spans="1:18" ht="39.6" x14ac:dyDescent="0.3">
      <c r="A120" s="3" t="str">
        <f>'Selbstbeurteilung Kunde'!A122</f>
        <v>2.2.2.1.</v>
      </c>
      <c r="B120" s="6" t="str">
        <f>'Selbstbeurteilung Kunde'!C122</f>
        <v>Verfügen Sie in Ihrem Unternehmen über ein Sicherheitskonzept?
Wenn ja, seit wann ist dieses in Kraft?</v>
      </c>
      <c r="C120" s="49">
        <f>IF(ISBLANK('Selbstbeurteilung Kunde'!D122),0,1)</f>
        <v>0</v>
      </c>
      <c r="D120" s="49" t="str">
        <f>IF(AND('Selbstbeurteilung Kunde'!D122="",'Selbstbeurteilung Kunde'!E122=""),"*","")</f>
        <v>*</v>
      </c>
      <c r="E120" s="50" t="str">
        <f>IF(ISBLANK('Selbstbeurteilung Kunde'!F122),"",'Selbstbeurteilung Kunde'!F122)</f>
        <v/>
      </c>
      <c r="F120" s="290"/>
      <c r="G120" s="290"/>
      <c r="H120" s="290"/>
      <c r="I120" s="290"/>
      <c r="J120" s="290"/>
      <c r="K120" s="290"/>
      <c r="L120" s="279"/>
      <c r="M120" s="47">
        <v>3</v>
      </c>
      <c r="N120" s="34"/>
      <c r="O120" s="35">
        <f>C120*M120</f>
        <v>0</v>
      </c>
      <c r="P120" s="54">
        <f t="shared" ref="P120:P122" si="19">L120*M120</f>
        <v>0</v>
      </c>
      <c r="Q120" s="46"/>
      <c r="R120" s="34"/>
    </row>
    <row r="121" spans="1:18" ht="26.4" x14ac:dyDescent="0.3">
      <c r="A121" s="3" t="str">
        <f>'Selbstbeurteilung Kunde'!A123</f>
        <v>2.2.2.2.</v>
      </c>
      <c r="B121" s="6" t="str">
        <f>'Selbstbeurteilung Kunde'!C123</f>
        <v>Ist der Geltungsbereich des Sicherheitskonzeptes festgelegt und dokumentiert?</v>
      </c>
      <c r="C121" s="49">
        <f>IF(ISBLANK('Selbstbeurteilung Kunde'!D123),0,1)</f>
        <v>0</v>
      </c>
      <c r="D121" s="49" t="str">
        <f>IF(AND('Selbstbeurteilung Kunde'!D123="",'Selbstbeurteilung Kunde'!E123=""),"*","")</f>
        <v>*</v>
      </c>
      <c r="E121" s="50" t="str">
        <f>IF(ISBLANK('Selbstbeurteilung Kunde'!F123),"",'Selbstbeurteilung Kunde'!F123)</f>
        <v/>
      </c>
      <c r="F121" s="290"/>
      <c r="G121" s="290"/>
      <c r="H121" s="290"/>
      <c r="I121" s="290"/>
      <c r="J121" s="290"/>
      <c r="K121" s="290"/>
      <c r="L121" s="279"/>
      <c r="M121" s="47">
        <v>1</v>
      </c>
      <c r="N121" s="34"/>
      <c r="O121" s="35">
        <f>C121*M121</f>
        <v>0</v>
      </c>
      <c r="P121" s="54">
        <f t="shared" si="19"/>
        <v>0</v>
      </c>
      <c r="Q121" s="46"/>
      <c r="R121" s="46"/>
    </row>
    <row r="122" spans="1:18" ht="39.6" x14ac:dyDescent="0.3">
      <c r="A122" s="3" t="str">
        <f>'Selbstbeurteilung Kunde'!A124</f>
        <v>2.2.2.3.</v>
      </c>
      <c r="B122" s="6" t="str">
        <f>'Selbstbeurteilung Kunde'!C124</f>
        <v>Ist die Struktur der Systemdokumente für das Sicherheitskonzept definiert und der Bezug zu den mitgeltenden Unterlagen aufgezeigt?</v>
      </c>
      <c r="C122" s="49">
        <f>IF(ISBLANK('Selbstbeurteilung Kunde'!D124),0,1)</f>
        <v>0</v>
      </c>
      <c r="D122" s="49" t="str">
        <f>IF(AND('Selbstbeurteilung Kunde'!D124="",'Selbstbeurteilung Kunde'!E124=""),"*","")</f>
        <v>*</v>
      </c>
      <c r="E122" s="50" t="str">
        <f>IF(ISBLANK('Selbstbeurteilung Kunde'!F124),"",'Selbstbeurteilung Kunde'!F124)</f>
        <v/>
      </c>
      <c r="F122" s="290"/>
      <c r="G122" s="290"/>
      <c r="H122" s="290"/>
      <c r="I122" s="290"/>
      <c r="J122" s="290"/>
      <c r="K122" s="290"/>
      <c r="L122" s="279"/>
      <c r="M122" s="47">
        <v>1</v>
      </c>
      <c r="N122" s="34"/>
      <c r="O122" s="35">
        <f>C122*M122</f>
        <v>0</v>
      </c>
      <c r="P122" s="54">
        <f t="shared" si="19"/>
        <v>0</v>
      </c>
      <c r="Q122" s="46"/>
      <c r="R122" s="46"/>
    </row>
    <row r="123" spans="1:18" x14ac:dyDescent="0.3">
      <c r="A123" s="37" t="str">
        <f>'Selbstbeurteilung Kunde'!A125</f>
        <v>2.2.3.</v>
      </c>
      <c r="B123" s="38" t="str">
        <f>'Selbstbeurteilung Kunde'!C125</f>
        <v>Sicherheitsausbildung</v>
      </c>
      <c r="C123" s="28">
        <f>O123/N123</f>
        <v>0</v>
      </c>
      <c r="D123" s="350"/>
      <c r="E123" s="37" t="str">
        <f>IF(ISBLANK('Selbstbeurteilung Kunde'!F125),"",'Selbstbeurteilung Kunde'!F125)</f>
        <v/>
      </c>
      <c r="F123" s="284"/>
      <c r="G123" s="284"/>
      <c r="H123" s="284"/>
      <c r="I123" s="284"/>
      <c r="J123" s="284"/>
      <c r="K123" s="284"/>
      <c r="L123" s="63">
        <f>P123/N123</f>
        <v>0</v>
      </c>
      <c r="M123" s="37">
        <v>3</v>
      </c>
      <c r="N123" s="37">
        <f>SUM(M124:M126)</f>
        <v>6</v>
      </c>
      <c r="O123" s="69">
        <f>SUM(O124:O126)</f>
        <v>0</v>
      </c>
      <c r="P123" s="69">
        <f>SUM(P124:P126)</f>
        <v>0</v>
      </c>
      <c r="Q123" s="65">
        <f>O123/$N123*$M123</f>
        <v>0</v>
      </c>
      <c r="R123" s="65">
        <f>P123/$N123*$M123</f>
        <v>0</v>
      </c>
    </row>
    <row r="124" spans="1:18" ht="39.6" x14ac:dyDescent="0.3">
      <c r="A124" s="3" t="str">
        <f>'Selbstbeurteilung Kunde'!A126</f>
        <v>2.2.3.1.</v>
      </c>
      <c r="B124" s="6" t="str">
        <f>'Selbstbeurteilung Kunde'!C126</f>
        <v>Haben Mitarbeitende Ihres Unternehmens die Ausbildung zum Sicherheitsassistenten, Sicherheitsfachmann resp. Sicherheitsingenieur absolviert?</v>
      </c>
      <c r="C124" s="49">
        <f>IF(ISBLANK('Selbstbeurteilung Kunde'!D126),0,1)</f>
        <v>0</v>
      </c>
      <c r="D124" s="49" t="str">
        <f>IF(AND('Selbstbeurteilung Kunde'!D126="",'Selbstbeurteilung Kunde'!E126=""),"*","")</f>
        <v>*</v>
      </c>
      <c r="E124" s="50" t="str">
        <f>IF(ISBLANK('Selbstbeurteilung Kunde'!F126),"",'Selbstbeurteilung Kunde'!F126)</f>
        <v/>
      </c>
      <c r="F124" s="43"/>
      <c r="G124" s="43"/>
      <c r="H124" s="43"/>
      <c r="I124" s="43"/>
      <c r="J124" s="43"/>
      <c r="K124" s="43"/>
      <c r="L124" s="279"/>
      <c r="M124" s="47">
        <v>4</v>
      </c>
      <c r="N124" s="34"/>
      <c r="O124" s="35">
        <f>C124*M124</f>
        <v>0</v>
      </c>
      <c r="P124" s="54">
        <f t="shared" ref="P124:P126" si="20">L124*M124</f>
        <v>0</v>
      </c>
      <c r="Q124" s="46"/>
      <c r="R124" s="34"/>
    </row>
    <row r="125" spans="1:18" ht="39.6" x14ac:dyDescent="0.3">
      <c r="A125" s="3" t="str">
        <f>'Selbstbeurteilung Kunde'!A127</f>
        <v>2.2.3.2.</v>
      </c>
      <c r="B125" s="6" t="str">
        <f>'Selbstbeurteilung Kunde'!C127</f>
        <v>Haben Mitarbeitende Ihres Unternehmens Suva-Ausbildungen bez. Sicherheit + Gesundheit besucht?
Wenn ja, welche Suva-Ausbildungen?</v>
      </c>
      <c r="C125" s="49">
        <f>IF(ISBLANK('Selbstbeurteilung Kunde'!D127),0,1)</f>
        <v>0</v>
      </c>
      <c r="D125" s="49" t="str">
        <f>IF(AND('Selbstbeurteilung Kunde'!D127="",'Selbstbeurteilung Kunde'!E127=""),"*","")</f>
        <v>*</v>
      </c>
      <c r="E125" s="50" t="str">
        <f>IF(ISBLANK('Selbstbeurteilung Kunde'!F127),"",'Selbstbeurteilung Kunde'!F127)</f>
        <v/>
      </c>
      <c r="F125" s="43"/>
      <c r="G125" s="43"/>
      <c r="H125" s="43"/>
      <c r="I125" s="43"/>
      <c r="J125" s="43"/>
      <c r="K125" s="43"/>
      <c r="L125" s="279"/>
      <c r="M125" s="47">
        <v>1</v>
      </c>
      <c r="N125" s="34"/>
      <c r="O125" s="35">
        <f>C125*M125</f>
        <v>0</v>
      </c>
      <c r="P125" s="54">
        <f t="shared" si="20"/>
        <v>0</v>
      </c>
      <c r="Q125" s="46"/>
      <c r="R125" s="34"/>
    </row>
    <row r="126" spans="1:18" ht="39.6" x14ac:dyDescent="0.3">
      <c r="A126" s="3" t="str">
        <f>'Selbstbeurteilung Kunde'!A128</f>
        <v>2.2.3.3.</v>
      </c>
      <c r="B126" s="6" t="str">
        <f>'Selbstbeurteilung Kunde'!C128</f>
        <v>Haben Mitarbeitende Ihres Unternehmens andere Sicherheitsausbildungen besucht? Wenn ja, welche Ausbildungen?</v>
      </c>
      <c r="C126" s="49">
        <f>IF(ISBLANK('Selbstbeurteilung Kunde'!D128),0,1)</f>
        <v>0</v>
      </c>
      <c r="D126" s="49" t="str">
        <f>IF(AND('Selbstbeurteilung Kunde'!D128="",'Selbstbeurteilung Kunde'!E128=""),"*","")</f>
        <v>*</v>
      </c>
      <c r="E126" s="50" t="str">
        <f>IF(ISBLANK('Selbstbeurteilung Kunde'!F128),"",'Selbstbeurteilung Kunde'!F128)</f>
        <v/>
      </c>
      <c r="F126" s="43"/>
      <c r="G126" s="43"/>
      <c r="H126" s="43"/>
      <c r="I126" s="43"/>
      <c r="J126" s="43"/>
      <c r="K126" s="43"/>
      <c r="L126" s="279"/>
      <c r="M126" s="47">
        <v>1</v>
      </c>
      <c r="N126" s="34"/>
      <c r="O126" s="35">
        <f>C126*M126</f>
        <v>0</v>
      </c>
      <c r="P126" s="54">
        <f t="shared" si="20"/>
        <v>0</v>
      </c>
      <c r="Q126" s="46"/>
      <c r="R126" s="34"/>
    </row>
    <row r="127" spans="1:18" x14ac:dyDescent="0.3">
      <c r="A127" s="26" t="str">
        <f>'Selbstbeurteilung Kunde'!A129</f>
        <v>2.3.</v>
      </c>
      <c r="B127" s="27" t="str">
        <f>'Selbstbeurteilung Kunde'!B129</f>
        <v>Relevante Grundlagen</v>
      </c>
      <c r="C127" s="28">
        <f>O127/N127</f>
        <v>0</v>
      </c>
      <c r="D127" s="350"/>
      <c r="E127" s="37" t="str">
        <f>IF(ISBLANK('Selbstbeurteilung Kunde'!F129),"",'Selbstbeurteilung Kunde'!F129)</f>
        <v/>
      </c>
      <c r="F127" s="282"/>
      <c r="G127" s="282"/>
      <c r="H127" s="282"/>
      <c r="I127" s="282"/>
      <c r="J127" s="282"/>
      <c r="K127" s="282"/>
      <c r="L127" s="63">
        <f>P127/N127</f>
        <v>0</v>
      </c>
      <c r="M127" s="29">
        <v>1</v>
      </c>
      <c r="N127" s="29">
        <f>SUM(M128,M133,M139)</f>
        <v>5</v>
      </c>
      <c r="O127" s="31">
        <f>SUM(Q128,Q133,Q139)</f>
        <v>0</v>
      </c>
      <c r="P127" s="31">
        <f>SUM(R128,R133,R139)</f>
        <v>0</v>
      </c>
      <c r="Q127" s="65">
        <f t="shared" ref="Q127:Q128" si="21">O127/$N127*$M127</f>
        <v>0</v>
      </c>
      <c r="R127" s="65">
        <f t="shared" ref="R127:R128" si="22">P127/$N127*$M127</f>
        <v>0</v>
      </c>
    </row>
    <row r="128" spans="1:18" x14ac:dyDescent="0.3">
      <c r="A128" s="37" t="str">
        <f>'Selbstbeurteilung Kunde'!A130</f>
        <v>2.3.1.</v>
      </c>
      <c r="B128" s="38" t="str">
        <f>'Selbstbeurteilung Kunde'!C130</f>
        <v>Gesetzliche Grundlagen</v>
      </c>
      <c r="C128" s="28">
        <f>O128/N128</f>
        <v>0</v>
      </c>
      <c r="D128" s="350"/>
      <c r="E128" s="37" t="str">
        <f>IF(ISBLANK('Selbstbeurteilung Kunde'!F130),"",'Selbstbeurteilung Kunde'!F130)</f>
        <v/>
      </c>
      <c r="F128" s="284"/>
      <c r="G128" s="284"/>
      <c r="H128" s="284"/>
      <c r="I128" s="284"/>
      <c r="J128" s="284"/>
      <c r="K128" s="284"/>
      <c r="L128" s="63">
        <f>P128/N128</f>
        <v>0</v>
      </c>
      <c r="M128" s="37">
        <v>2</v>
      </c>
      <c r="N128" s="37">
        <f>SUM(M129:M132)</f>
        <v>11</v>
      </c>
      <c r="O128" s="69">
        <f>SUM(O129:O132)</f>
        <v>0</v>
      </c>
      <c r="P128" s="69">
        <f>SUM(P129:P132)</f>
        <v>0</v>
      </c>
      <c r="Q128" s="65">
        <f t="shared" si="21"/>
        <v>0</v>
      </c>
      <c r="R128" s="65">
        <f t="shared" si="22"/>
        <v>0</v>
      </c>
    </row>
    <row r="129" spans="1:18" ht="39.6" x14ac:dyDescent="0.3">
      <c r="A129" s="3" t="str">
        <f>'Selbstbeurteilung Kunde'!A131</f>
        <v>2.3.1.1.</v>
      </c>
      <c r="B129" s="6" t="str">
        <f>'Selbstbeurteilung Kunde'!C131</f>
        <v>Sind die gesetzlichen Grundlagen bezüglich Arbeitssicherheit und Gesundheitsschutz im Unternehmen vorhanden?</v>
      </c>
      <c r="C129" s="49">
        <f>IF(ISBLANK('Selbstbeurteilung Kunde'!D131),0,1)</f>
        <v>0</v>
      </c>
      <c r="D129" s="49" t="str">
        <f>IF(AND('Selbstbeurteilung Kunde'!D131="",'Selbstbeurteilung Kunde'!E131=""),"*","")</f>
        <v>*</v>
      </c>
      <c r="E129" s="50" t="str">
        <f>IF(ISBLANK('Selbstbeurteilung Kunde'!F131),"",'Selbstbeurteilung Kunde'!F131)</f>
        <v/>
      </c>
      <c r="F129" s="290"/>
      <c r="G129" s="290"/>
      <c r="H129" s="290"/>
      <c r="I129" s="290"/>
      <c r="J129" s="290"/>
      <c r="K129" s="290"/>
      <c r="L129" s="279"/>
      <c r="M129" s="47">
        <v>3</v>
      </c>
      <c r="N129" s="34"/>
      <c r="O129" s="35">
        <f>C129*M129</f>
        <v>0</v>
      </c>
      <c r="P129" s="54">
        <f t="shared" ref="P129:P132" si="23">L129*M129</f>
        <v>0</v>
      </c>
      <c r="Q129" s="46"/>
      <c r="R129" s="34"/>
    </row>
    <row r="130" spans="1:18" ht="39.6" x14ac:dyDescent="0.3">
      <c r="A130" s="3" t="str">
        <f>'Selbstbeurteilung Kunde'!A132</f>
        <v>2.3.1.2.</v>
      </c>
      <c r="B130" s="6" t="str">
        <f>'Selbstbeurteilung Kunde'!C132</f>
        <v>Kennen die Betriebsangehörigen Ihre Aufgaben, Pflichten und Rechte, die sich aus den gesetzlichen Grundlagen ergeben?</v>
      </c>
      <c r="C130" s="49">
        <f>IF(ISBLANK('Selbstbeurteilung Kunde'!D132),0,1)</f>
        <v>0</v>
      </c>
      <c r="D130" s="49" t="str">
        <f>IF(AND('Selbstbeurteilung Kunde'!D132="",'Selbstbeurteilung Kunde'!E132=""),"*","")</f>
        <v>*</v>
      </c>
      <c r="E130" s="50" t="str">
        <f>IF(ISBLANK('Selbstbeurteilung Kunde'!F132),"",'Selbstbeurteilung Kunde'!F132)</f>
        <v/>
      </c>
      <c r="F130" s="290"/>
      <c r="G130" s="290"/>
      <c r="H130" s="290"/>
      <c r="I130" s="290"/>
      <c r="J130" s="290"/>
      <c r="K130" s="290"/>
      <c r="L130" s="279"/>
      <c r="M130" s="47">
        <v>3</v>
      </c>
      <c r="N130" s="34"/>
      <c r="O130" s="35">
        <f>C130*M130</f>
        <v>0</v>
      </c>
      <c r="P130" s="54">
        <f t="shared" si="23"/>
        <v>0</v>
      </c>
      <c r="Q130" s="46"/>
      <c r="R130" s="34"/>
    </row>
    <row r="131" spans="1:18" ht="26.4" x14ac:dyDescent="0.3">
      <c r="A131" s="3" t="str">
        <f>'Selbstbeurteilung Kunde'!A133</f>
        <v>2.3.1.3.</v>
      </c>
      <c r="B131" s="6" t="str">
        <f>'Selbstbeurteilung Kunde'!C133</f>
        <v>Werden die rechtlichen Bestimmungen vom Unternehmen sinngemäss erfüllt?</v>
      </c>
      <c r="C131" s="49">
        <f>IF(ISBLANK('Selbstbeurteilung Kunde'!D133),0,1)</f>
        <v>0</v>
      </c>
      <c r="D131" s="49" t="str">
        <f>IF(AND('Selbstbeurteilung Kunde'!D133="",'Selbstbeurteilung Kunde'!E133=""),"*","")</f>
        <v>*</v>
      </c>
      <c r="E131" s="50" t="str">
        <f>IF(ISBLANK('Selbstbeurteilung Kunde'!F133),"",'Selbstbeurteilung Kunde'!F133)</f>
        <v/>
      </c>
      <c r="F131" s="290"/>
      <c r="G131" s="290"/>
      <c r="H131" s="290"/>
      <c r="I131" s="290"/>
      <c r="J131" s="290"/>
      <c r="K131" s="290"/>
      <c r="L131" s="279"/>
      <c r="M131" s="47">
        <v>3</v>
      </c>
      <c r="N131" s="34"/>
      <c r="O131" s="35">
        <f>C131*M131</f>
        <v>0</v>
      </c>
      <c r="P131" s="54">
        <f t="shared" si="23"/>
        <v>0</v>
      </c>
      <c r="Q131" s="46"/>
      <c r="R131" s="34"/>
    </row>
    <row r="132" spans="1:18" ht="52.8" x14ac:dyDescent="0.3">
      <c r="A132" s="3" t="str">
        <f>'Selbstbeurteilung Kunde'!A134</f>
        <v>2.3.1.4.</v>
      </c>
      <c r="B132" s="6" t="str">
        <f>'Selbstbeurteilung Kunde'!C134</f>
        <v xml:space="preserve">Ist die permanente Aktualisierung und Verfügbarkeit der gesetzlichen Grundlagendokumente durch ein festgelegtes Vorgehen sichergestellt? Wenn ja, welche Stelle bzw. Person ist damit beauftragt? </v>
      </c>
      <c r="C132" s="49">
        <f>IF(ISBLANK('Selbstbeurteilung Kunde'!D134),0,1)</f>
        <v>0</v>
      </c>
      <c r="D132" s="49" t="str">
        <f>IF(AND('Selbstbeurteilung Kunde'!D134="",'Selbstbeurteilung Kunde'!E134=""),"*","")</f>
        <v>*</v>
      </c>
      <c r="E132" s="50" t="str">
        <f>IF(ISBLANK('Selbstbeurteilung Kunde'!F134),"",'Selbstbeurteilung Kunde'!F134)</f>
        <v/>
      </c>
      <c r="F132" s="287"/>
      <c r="G132" s="287"/>
      <c r="H132" s="287"/>
      <c r="I132" s="287"/>
      <c r="J132" s="287"/>
      <c r="K132" s="287"/>
      <c r="L132" s="279"/>
      <c r="M132" s="47">
        <v>2</v>
      </c>
      <c r="N132" s="34"/>
      <c r="O132" s="35">
        <f>C132*M132</f>
        <v>0</v>
      </c>
      <c r="P132" s="54">
        <f t="shared" si="23"/>
        <v>0</v>
      </c>
      <c r="Q132" s="46"/>
      <c r="R132" s="34"/>
    </row>
    <row r="133" spans="1:18" x14ac:dyDescent="0.3">
      <c r="A133" s="37" t="str">
        <f>'Selbstbeurteilung Kunde'!A135</f>
        <v>2.3.2.</v>
      </c>
      <c r="B133" s="38" t="str">
        <f>'Selbstbeurteilung Kunde'!C135</f>
        <v>Richtlinien und Normen</v>
      </c>
      <c r="C133" s="28">
        <f>O133/N133</f>
        <v>0</v>
      </c>
      <c r="D133" s="350"/>
      <c r="E133" s="37" t="str">
        <f>IF(ISBLANK('Selbstbeurteilung Kunde'!F135),"",'Selbstbeurteilung Kunde'!F135)</f>
        <v/>
      </c>
      <c r="F133" s="284"/>
      <c r="G133" s="284"/>
      <c r="H133" s="284"/>
      <c r="I133" s="284"/>
      <c r="J133" s="284"/>
      <c r="K133" s="284"/>
      <c r="L133" s="63">
        <f>P133/N133</f>
        <v>0</v>
      </c>
      <c r="M133" s="37">
        <v>2</v>
      </c>
      <c r="N133" s="37">
        <f>SUM(M134:M138)</f>
        <v>14</v>
      </c>
      <c r="O133" s="69">
        <f>SUM(O134:O138)</f>
        <v>0</v>
      </c>
      <c r="P133" s="69">
        <f>SUM(P134:P138)</f>
        <v>0</v>
      </c>
      <c r="Q133" s="65">
        <f>O133/$N133*$M133</f>
        <v>0</v>
      </c>
      <c r="R133" s="65">
        <f>P133/$N133*$M133</f>
        <v>0</v>
      </c>
    </row>
    <row r="134" spans="1:18" ht="26.4" x14ac:dyDescent="0.3">
      <c r="A134" s="3" t="str">
        <f>'Selbstbeurteilung Kunde'!A136</f>
        <v>2.3.2.1.</v>
      </c>
      <c r="B134" s="6" t="str">
        <f>'Selbstbeurteilung Kunde'!C136</f>
        <v>Sind die Sicherheits- und Gesundheitsrelevanten Richtlinien und Normen im Unternehmen vorhanden?</v>
      </c>
      <c r="C134" s="49">
        <f>IF(ISBLANK('Selbstbeurteilung Kunde'!D136),0,1)</f>
        <v>0</v>
      </c>
      <c r="D134" s="49" t="str">
        <f>IF(AND('Selbstbeurteilung Kunde'!D136="",'Selbstbeurteilung Kunde'!E136=""),"*","")</f>
        <v>*</v>
      </c>
      <c r="E134" s="50" t="str">
        <f>IF(ISBLANK('Selbstbeurteilung Kunde'!F136),"",'Selbstbeurteilung Kunde'!F136)</f>
        <v/>
      </c>
      <c r="F134" s="287"/>
      <c r="G134" s="287"/>
      <c r="H134" s="287"/>
      <c r="I134" s="287"/>
      <c r="J134" s="287"/>
      <c r="K134" s="287"/>
      <c r="L134" s="279"/>
      <c r="M134" s="47">
        <v>3</v>
      </c>
      <c r="N134" s="34"/>
      <c r="O134" s="35">
        <f>M134*C134</f>
        <v>0</v>
      </c>
      <c r="P134" s="54">
        <f t="shared" ref="P134:P138" si="24">L134*M134</f>
        <v>0</v>
      </c>
      <c r="Q134" s="46"/>
      <c r="R134" s="34"/>
    </row>
    <row r="135" spans="1:18" ht="39.6" x14ac:dyDescent="0.3">
      <c r="A135" s="3" t="str">
        <f>'Selbstbeurteilung Kunde'!A137</f>
        <v>2.3.2.2.</v>
      </c>
      <c r="B135" s="6" t="str">
        <f>'Selbstbeurteilung Kunde'!C137</f>
        <v>Sind die betroffenen Personen im Besitz der sicherheits- und gesundheitsrelevanten Richtlinien und Normen oder haben sie jederzeit Zugang dazu?</v>
      </c>
      <c r="C135" s="49">
        <f>IF(ISBLANK('Selbstbeurteilung Kunde'!D137),0,1)</f>
        <v>0</v>
      </c>
      <c r="D135" s="49" t="str">
        <f>IF(AND('Selbstbeurteilung Kunde'!D137="",'Selbstbeurteilung Kunde'!E137=""),"*","")</f>
        <v>*</v>
      </c>
      <c r="E135" s="50" t="str">
        <f>IF(ISBLANK('Selbstbeurteilung Kunde'!F137),"",'Selbstbeurteilung Kunde'!F137)</f>
        <v/>
      </c>
      <c r="F135" s="290"/>
      <c r="G135" s="290"/>
      <c r="H135" s="290"/>
      <c r="I135" s="290"/>
      <c r="J135" s="290"/>
      <c r="K135" s="290"/>
      <c r="L135" s="279"/>
      <c r="M135" s="47">
        <v>3</v>
      </c>
      <c r="N135" s="34"/>
      <c r="O135" s="35">
        <f>M135*C135</f>
        <v>0</v>
      </c>
      <c r="P135" s="54">
        <f t="shared" si="24"/>
        <v>0</v>
      </c>
      <c r="Q135" s="46"/>
      <c r="R135" s="46"/>
    </row>
    <row r="136" spans="1:18" ht="39.6" x14ac:dyDescent="0.3">
      <c r="A136" s="3" t="str">
        <f>'Selbstbeurteilung Kunde'!A138</f>
        <v>2.3.2.3.</v>
      </c>
      <c r="B136" s="6" t="str">
        <f>'Selbstbeurteilung Kunde'!C138</f>
        <v>Kennen die betroffenen Personen Ihre Aufgaben, Pflichten und Rechte, die sich aus den Richtlinien und Normen ergeben?</v>
      </c>
      <c r="C136" s="49">
        <f>IF(ISBLANK('Selbstbeurteilung Kunde'!D138),0,1)</f>
        <v>0</v>
      </c>
      <c r="D136" s="49" t="str">
        <f>IF(AND('Selbstbeurteilung Kunde'!D138="",'Selbstbeurteilung Kunde'!E138=""),"*","")</f>
        <v>*</v>
      </c>
      <c r="E136" s="50" t="str">
        <f>IF(ISBLANK('Selbstbeurteilung Kunde'!F138),"",'Selbstbeurteilung Kunde'!F138)</f>
        <v/>
      </c>
      <c r="F136" s="287"/>
      <c r="G136" s="287"/>
      <c r="H136" s="287"/>
      <c r="I136" s="287"/>
      <c r="J136" s="287"/>
      <c r="K136" s="287"/>
      <c r="L136" s="279"/>
      <c r="M136" s="47">
        <v>3</v>
      </c>
      <c r="N136" s="34"/>
      <c r="O136" s="35">
        <f>M136*C136</f>
        <v>0</v>
      </c>
      <c r="P136" s="54">
        <f t="shared" si="24"/>
        <v>0</v>
      </c>
      <c r="Q136" s="46"/>
      <c r="R136" s="34"/>
    </row>
    <row r="137" spans="1:18" ht="26.4" x14ac:dyDescent="0.3">
      <c r="A137" s="3" t="str">
        <f>'Selbstbeurteilung Kunde'!A139</f>
        <v>2.3.2.4.</v>
      </c>
      <c r="B137" s="6" t="str">
        <f>'Selbstbeurteilung Kunde'!C139</f>
        <v>Werden die Richtlinien und Normen vom Unternehmen sinngemäss erfüllt?</v>
      </c>
      <c r="C137" s="49">
        <f>IF(ISBLANK('Selbstbeurteilung Kunde'!D139),0,1)</f>
        <v>0</v>
      </c>
      <c r="D137" s="49" t="str">
        <f>IF(AND('Selbstbeurteilung Kunde'!D139="",'Selbstbeurteilung Kunde'!E139=""),"*","")</f>
        <v>*</v>
      </c>
      <c r="E137" s="50" t="str">
        <f>IF(ISBLANK('Selbstbeurteilung Kunde'!F139),"",'Selbstbeurteilung Kunde'!F139)</f>
        <v/>
      </c>
      <c r="F137" s="287"/>
      <c r="G137" s="287"/>
      <c r="H137" s="287"/>
      <c r="I137" s="287"/>
      <c r="J137" s="287"/>
      <c r="K137" s="287"/>
      <c r="L137" s="279"/>
      <c r="M137" s="47">
        <v>3</v>
      </c>
      <c r="N137" s="34"/>
      <c r="O137" s="35">
        <f>M137*C137</f>
        <v>0</v>
      </c>
      <c r="P137" s="54">
        <f t="shared" si="24"/>
        <v>0</v>
      </c>
      <c r="Q137" s="46"/>
      <c r="R137" s="34"/>
    </row>
    <row r="138" spans="1:18" ht="54.75" customHeight="1" x14ac:dyDescent="0.3">
      <c r="A138" s="3" t="str">
        <f>'Selbstbeurteilung Kunde'!A140</f>
        <v>2.3.2.5.</v>
      </c>
      <c r="B138" s="6" t="str">
        <f>'Selbstbeurteilung Kunde'!C140</f>
        <v>Ist die permanente Aktualisierung und Verfügbarkeit der Richtlinien- und Normendokumente durch ein festgelegtes Vorgehen sichergestellt? Wenn ja, welche Stelle oder Person ist damit beauftragt?</v>
      </c>
      <c r="C138" s="49">
        <f>IF(ISBLANK('Selbstbeurteilung Kunde'!D140),0,1)</f>
        <v>0</v>
      </c>
      <c r="D138" s="49" t="str">
        <f>IF(AND('Selbstbeurteilung Kunde'!D140="",'Selbstbeurteilung Kunde'!E140=""),"*","")</f>
        <v>*</v>
      </c>
      <c r="E138" s="50" t="str">
        <f>IF(ISBLANK('Selbstbeurteilung Kunde'!F140),"",'Selbstbeurteilung Kunde'!F140)</f>
        <v/>
      </c>
      <c r="F138" s="287"/>
      <c r="G138" s="287"/>
      <c r="H138" s="287"/>
      <c r="I138" s="287"/>
      <c r="J138" s="287"/>
      <c r="K138" s="287"/>
      <c r="L138" s="279"/>
      <c r="M138" s="47">
        <v>2</v>
      </c>
      <c r="N138" s="34"/>
      <c r="O138" s="35">
        <f>M138*C138</f>
        <v>0</v>
      </c>
      <c r="P138" s="54">
        <f t="shared" si="24"/>
        <v>0</v>
      </c>
      <c r="Q138" s="46"/>
      <c r="R138" s="34"/>
    </row>
    <row r="139" spans="1:18" x14ac:dyDescent="0.3">
      <c r="A139" s="37" t="str">
        <f>'Selbstbeurteilung Kunde'!A141</f>
        <v>2.3.3.</v>
      </c>
      <c r="B139" s="38" t="str">
        <f>'Selbstbeurteilung Kunde'!C141</f>
        <v>Dokumentation über S &amp; G</v>
      </c>
      <c r="C139" s="28">
        <f>O139/N139</f>
        <v>0</v>
      </c>
      <c r="D139" s="350"/>
      <c r="E139" s="37" t="str">
        <f>IF(ISBLANK('Selbstbeurteilung Kunde'!F141),"",'Selbstbeurteilung Kunde'!F141)</f>
        <v/>
      </c>
      <c r="F139" s="284"/>
      <c r="G139" s="284"/>
      <c r="H139" s="284"/>
      <c r="I139" s="284"/>
      <c r="J139" s="284"/>
      <c r="K139" s="284"/>
      <c r="L139" s="63">
        <f>P139/N139</f>
        <v>0</v>
      </c>
      <c r="M139" s="37">
        <v>1</v>
      </c>
      <c r="N139" s="37">
        <f>SUM(M140:M143)</f>
        <v>9</v>
      </c>
      <c r="O139" s="69">
        <f>SUM(O140:O143)</f>
        <v>0</v>
      </c>
      <c r="P139" s="69">
        <f>SUM(P140:P143)</f>
        <v>0</v>
      </c>
      <c r="Q139" s="65">
        <f>O139/$N139*$M139</f>
        <v>0</v>
      </c>
      <c r="R139" s="65">
        <f>P139/$N139*$M139</f>
        <v>0</v>
      </c>
    </row>
    <row r="140" spans="1:18" ht="39.6" x14ac:dyDescent="0.3">
      <c r="A140" s="3" t="str">
        <f>'Selbstbeurteilung Kunde'!A142</f>
        <v>2.3.3.1.</v>
      </c>
      <c r="B140" s="6" t="str">
        <f>'Selbstbeurteilung Kunde'!C142</f>
        <v>Verfügt Ihre Unternehmen über eine zentrale Sammlung von Dokumentationen über Sicherheit und Gesundheitsschutz?</v>
      </c>
      <c r="C140" s="49">
        <f>IF(ISBLANK('Selbstbeurteilung Kunde'!D142),0,1)</f>
        <v>0</v>
      </c>
      <c r="D140" s="49" t="str">
        <f>IF(AND('Selbstbeurteilung Kunde'!D142="",'Selbstbeurteilung Kunde'!E142=""),"*","")</f>
        <v>*</v>
      </c>
      <c r="E140" s="50" t="str">
        <f>IF(ISBLANK('Selbstbeurteilung Kunde'!F142),"",'Selbstbeurteilung Kunde'!F142)</f>
        <v/>
      </c>
      <c r="F140" s="290"/>
      <c r="G140" s="290"/>
      <c r="H140" s="290"/>
      <c r="I140" s="290"/>
      <c r="J140" s="290"/>
      <c r="K140" s="290"/>
      <c r="L140" s="279"/>
      <c r="M140" s="47">
        <v>3</v>
      </c>
      <c r="N140" s="34"/>
      <c r="O140" s="35">
        <f>C140*M140</f>
        <v>0</v>
      </c>
      <c r="P140" s="54">
        <f t="shared" ref="P140:P143" si="25">L140*M140</f>
        <v>0</v>
      </c>
      <c r="Q140" s="46"/>
      <c r="R140" s="46"/>
    </row>
    <row r="141" spans="1:18" ht="39.6" x14ac:dyDescent="0.3">
      <c r="A141" s="3" t="str">
        <f>'Selbstbeurteilung Kunde'!A143</f>
        <v>2.3.3.2.</v>
      </c>
      <c r="B141" s="6" t="str">
        <f>'Selbstbeurteilung Kunde'!C143</f>
        <v>Werden wichtige Dokumentationen als persönliche Exemplare einzelnen Mitarbeitenden zur Verfügung gestellt?</v>
      </c>
      <c r="C141" s="49">
        <f>IF(ISBLANK('Selbstbeurteilung Kunde'!D143),0,1)</f>
        <v>0</v>
      </c>
      <c r="D141" s="49" t="str">
        <f>IF(AND('Selbstbeurteilung Kunde'!D143="",'Selbstbeurteilung Kunde'!E143=""),"*","")</f>
        <v>*</v>
      </c>
      <c r="E141" s="50" t="str">
        <f>IF(ISBLANK('Selbstbeurteilung Kunde'!F143),"",'Selbstbeurteilung Kunde'!F143)</f>
        <v/>
      </c>
      <c r="F141" s="287"/>
      <c r="G141" s="287"/>
      <c r="H141" s="287"/>
      <c r="I141" s="287"/>
      <c r="J141" s="287"/>
      <c r="K141" s="287"/>
      <c r="L141" s="279"/>
      <c r="M141" s="47">
        <v>1</v>
      </c>
      <c r="N141" s="34"/>
      <c r="O141" s="35">
        <f>C141*M141</f>
        <v>0</v>
      </c>
      <c r="P141" s="54">
        <f t="shared" si="25"/>
        <v>0</v>
      </c>
      <c r="Q141" s="46"/>
      <c r="R141" s="34"/>
    </row>
    <row r="142" spans="1:18" ht="39.6" x14ac:dyDescent="0.3">
      <c r="A142" s="3" t="str">
        <f>'Selbstbeurteilung Kunde'!A144</f>
        <v>2.3.3.3.</v>
      </c>
      <c r="B142" s="6" t="str">
        <f>'Selbstbeurteilung Kunde'!C144</f>
        <v>Sind die Dokumentationen über Sicherheit und Gesundheitsschutz allen Beschäftigten leicht zugänglich (Bibliothek oder ähnliche Einrichtungen)?</v>
      </c>
      <c r="C142" s="49">
        <f>IF(ISBLANK('Selbstbeurteilung Kunde'!D144),0,1)</f>
        <v>0</v>
      </c>
      <c r="D142" s="49" t="str">
        <f>IF(AND('Selbstbeurteilung Kunde'!D144="",'Selbstbeurteilung Kunde'!E144=""),"*","")</f>
        <v>*</v>
      </c>
      <c r="E142" s="50" t="str">
        <f>IF(ISBLANK('Selbstbeurteilung Kunde'!F144),"",'Selbstbeurteilung Kunde'!F144)</f>
        <v/>
      </c>
      <c r="F142" s="287"/>
      <c r="G142" s="287"/>
      <c r="H142" s="287"/>
      <c r="I142" s="287"/>
      <c r="J142" s="287"/>
      <c r="K142" s="287"/>
      <c r="L142" s="279"/>
      <c r="M142" s="47">
        <v>3</v>
      </c>
      <c r="N142" s="34"/>
      <c r="O142" s="35">
        <f>C142*M142</f>
        <v>0</v>
      </c>
      <c r="P142" s="54">
        <f t="shared" si="25"/>
        <v>0</v>
      </c>
      <c r="Q142" s="46"/>
      <c r="R142" s="34"/>
    </row>
    <row r="143" spans="1:18" ht="52.8" x14ac:dyDescent="0.3">
      <c r="A143" s="3" t="str">
        <f>'Selbstbeurteilung Kunde'!A145</f>
        <v>2.3.3.4.</v>
      </c>
      <c r="B143" s="6" t="str">
        <f>'Selbstbeurteilung Kunde'!C145</f>
        <v>Ist die permanente Aktualisierung und Verfügbarkeit der Dokumentationen über Sicherheit und Gesundheitsschutz durch ein festgelegtes Vorgehen sichergestellt? Wenn ja, welche Stelle oder Person ist damit beauftragt?</v>
      </c>
      <c r="C143" s="49">
        <f>IF(ISBLANK('Selbstbeurteilung Kunde'!D145),0,1)</f>
        <v>0</v>
      </c>
      <c r="D143" s="49" t="str">
        <f>IF(AND('Selbstbeurteilung Kunde'!D145="",'Selbstbeurteilung Kunde'!E145=""),"*","")</f>
        <v>*</v>
      </c>
      <c r="E143" s="50" t="str">
        <f>IF(ISBLANK('Selbstbeurteilung Kunde'!F145),"",'Selbstbeurteilung Kunde'!F145)</f>
        <v/>
      </c>
      <c r="F143" s="287"/>
      <c r="G143" s="287"/>
      <c r="H143" s="287"/>
      <c r="I143" s="287"/>
      <c r="J143" s="287"/>
      <c r="K143" s="287"/>
      <c r="L143" s="279"/>
      <c r="M143" s="47">
        <v>2</v>
      </c>
      <c r="N143" s="47"/>
      <c r="O143" s="35">
        <f>C143*M143</f>
        <v>0</v>
      </c>
      <c r="P143" s="54">
        <f t="shared" si="25"/>
        <v>0</v>
      </c>
      <c r="Q143" s="46"/>
      <c r="R143" s="34"/>
    </row>
    <row r="144" spans="1:18" x14ac:dyDescent="0.3">
      <c r="A144" s="7" t="str">
        <f>'Selbstbeurteilung Kunde'!A147</f>
        <v>3.</v>
      </c>
      <c r="B144" s="7" t="str">
        <f>'Selbstbeurteilung Kunde'!B147</f>
        <v>Befähigung, Schulung, Kommunikation</v>
      </c>
      <c r="C144" s="40">
        <f>O144/N144</f>
        <v>0</v>
      </c>
      <c r="D144" s="40"/>
      <c r="E144" s="36"/>
      <c r="F144" s="25"/>
      <c r="G144" s="25"/>
      <c r="H144" s="25"/>
      <c r="I144" s="25"/>
      <c r="J144" s="25"/>
      <c r="K144" s="25"/>
      <c r="L144" s="281">
        <f>P144/N144</f>
        <v>0</v>
      </c>
      <c r="M144" s="5"/>
      <c r="N144" s="5">
        <f>SUM(M145,M152,M164,M170,M175,M182,M189,M193,M223,M227)</f>
        <v>13</v>
      </c>
      <c r="O144" s="61">
        <f>SUM(Q145:Q239)</f>
        <v>0</v>
      </c>
      <c r="P144" s="61">
        <f>SUM(R145:R239)</f>
        <v>0</v>
      </c>
      <c r="Q144" s="45"/>
      <c r="R144" s="45"/>
    </row>
    <row r="145" spans="1:18" x14ac:dyDescent="0.3">
      <c r="A145" s="26" t="str">
        <f>'Selbstbeurteilung Kunde'!A149</f>
        <v>3.1.</v>
      </c>
      <c r="B145" s="27" t="str">
        <f>'Selbstbeurteilung Kunde'!B149</f>
        <v>Auswahlkriterien, Arbeitsverträge</v>
      </c>
      <c r="C145" s="28">
        <f>O145/N145</f>
        <v>0</v>
      </c>
      <c r="D145" s="350"/>
      <c r="E145" s="37"/>
      <c r="F145" s="282"/>
      <c r="G145" s="282"/>
      <c r="H145" s="282"/>
      <c r="I145" s="282"/>
      <c r="J145" s="282"/>
      <c r="K145" s="282"/>
      <c r="L145" s="63">
        <f>P145/N145</f>
        <v>0</v>
      </c>
      <c r="M145" s="29">
        <v>2</v>
      </c>
      <c r="N145" s="37">
        <f>SUM(M146:M151)</f>
        <v>15</v>
      </c>
      <c r="O145" s="69">
        <f>SUM(O146:O151)</f>
        <v>0</v>
      </c>
      <c r="P145" s="69">
        <f>SUM(P146:P151)</f>
        <v>0</v>
      </c>
      <c r="Q145" s="65">
        <f>O145/$N145*$M145</f>
        <v>0</v>
      </c>
      <c r="R145" s="65">
        <f>P145/$N145*$M145</f>
        <v>0</v>
      </c>
    </row>
    <row r="146" spans="1:18" ht="26.4" x14ac:dyDescent="0.3">
      <c r="A146" s="3" t="str">
        <f>'Selbstbeurteilung Kunde'!A150</f>
        <v>3.1.1.</v>
      </c>
      <c r="B146" s="6" t="str">
        <f>'Selbstbeurteilung Kunde'!C150</f>
        <v>Verfügen Sie über Auswahlkriterien für die Personalauswahl?</v>
      </c>
      <c r="C146" s="49">
        <f>IF(ISBLANK('Selbstbeurteilung Kunde'!D150),0,1)</f>
        <v>0</v>
      </c>
      <c r="D146" s="49" t="str">
        <f>IF(AND('Selbstbeurteilung Kunde'!D150="",'Selbstbeurteilung Kunde'!E150=""),"*","")</f>
        <v>*</v>
      </c>
      <c r="E146" s="50" t="str">
        <f>IF(ISBLANK('Selbstbeurteilung Kunde'!F150),"",'Selbstbeurteilung Kunde'!F150)</f>
        <v/>
      </c>
      <c r="F146" s="287"/>
      <c r="G146" s="287"/>
      <c r="H146" s="287"/>
      <c r="I146" s="287"/>
      <c r="J146" s="287"/>
      <c r="K146" s="287"/>
      <c r="L146" s="279"/>
      <c r="M146" s="47">
        <v>3</v>
      </c>
      <c r="N146" s="34"/>
      <c r="O146" s="35">
        <f t="shared" ref="O146:O151" si="26">C146*M146</f>
        <v>0</v>
      </c>
      <c r="P146" s="35">
        <f>L146*M146</f>
        <v>0</v>
      </c>
      <c r="Q146" s="46"/>
      <c r="R146" s="34"/>
    </row>
    <row r="147" spans="1:18" ht="26.4" x14ac:dyDescent="0.3">
      <c r="A147" s="3" t="str">
        <f>'Selbstbeurteilung Kunde'!A151</f>
        <v>3.1.2.</v>
      </c>
      <c r="B147" s="6" t="str">
        <f>'Selbstbeurteilung Kunde'!C151</f>
        <v>Werden bei der Personalauswahl Aspekte der Sicherheit und Gesundheit berücksichtigt?</v>
      </c>
      <c r="C147" s="49">
        <f>IF(ISBLANK('Selbstbeurteilung Kunde'!D151),0,1)</f>
        <v>0</v>
      </c>
      <c r="D147" s="49" t="str">
        <f>IF(AND('Selbstbeurteilung Kunde'!D151="",'Selbstbeurteilung Kunde'!E151=""),"*","")</f>
        <v>*</v>
      </c>
      <c r="E147" s="50" t="str">
        <f>IF(ISBLANK('Selbstbeurteilung Kunde'!F151),"",'Selbstbeurteilung Kunde'!F151)</f>
        <v/>
      </c>
      <c r="F147" s="287"/>
      <c r="G147" s="287"/>
      <c r="H147" s="287"/>
      <c r="I147" s="287"/>
      <c r="J147" s="287"/>
      <c r="K147" s="287"/>
      <c r="L147" s="279"/>
      <c r="M147" s="47">
        <v>3</v>
      </c>
      <c r="N147" s="34"/>
      <c r="O147" s="35">
        <f t="shared" si="26"/>
        <v>0</v>
      </c>
      <c r="P147" s="35">
        <f>L147*M147</f>
        <v>0</v>
      </c>
      <c r="Q147" s="46"/>
      <c r="R147" s="34"/>
    </row>
    <row r="148" spans="1:18" ht="39.6" x14ac:dyDescent="0.3">
      <c r="A148" s="3" t="str">
        <f>'Selbstbeurteilung Kunde'!A152</f>
        <v>3.1.3.</v>
      </c>
      <c r="B148" s="6" t="str">
        <f>'Selbstbeurteilung Kunde'!C152</f>
        <v>Werden bei der Personalauswahl bestimmte Eignungstests durchgeführt? Wenn Ja, für welche Tätigkeiten oder Belastungen?</v>
      </c>
      <c r="C148" s="49">
        <f>IF(ISBLANK('Selbstbeurteilung Kunde'!D152),0,1)</f>
        <v>0</v>
      </c>
      <c r="D148" s="49" t="str">
        <f>IF(AND('Selbstbeurteilung Kunde'!D152="",'Selbstbeurteilung Kunde'!E152=""),"*","")</f>
        <v>*</v>
      </c>
      <c r="E148" s="50" t="str">
        <f>IF(ISBLANK('Selbstbeurteilung Kunde'!F152),"",'Selbstbeurteilung Kunde'!F152)</f>
        <v/>
      </c>
      <c r="F148" s="287"/>
      <c r="G148" s="287"/>
      <c r="H148" s="287"/>
      <c r="I148" s="287"/>
      <c r="J148" s="287"/>
      <c r="K148" s="287"/>
      <c r="L148" s="279"/>
      <c r="M148" s="47">
        <v>1</v>
      </c>
      <c r="N148" s="34"/>
      <c r="O148" s="35">
        <f t="shared" si="26"/>
        <v>0</v>
      </c>
      <c r="P148" s="35">
        <f t="shared" ref="P148:P151" si="27">L148*M148</f>
        <v>0</v>
      </c>
      <c r="Q148" s="46"/>
      <c r="R148" s="34"/>
    </row>
    <row r="149" spans="1:18" ht="26.4" x14ac:dyDescent="0.3">
      <c r="A149" s="3" t="str">
        <f>'Selbstbeurteilung Kunde'!A153</f>
        <v>3.1.4.</v>
      </c>
      <c r="B149" s="6" t="str">
        <f>'Selbstbeurteilung Kunde'!C153</f>
        <v>Wird das Verstehen der betriebsüblichen Sprache geprüft und ist dies ein Kriterium bei der Personalauswahl?</v>
      </c>
      <c r="C149" s="49">
        <f>IF(ISBLANK('Selbstbeurteilung Kunde'!D153),0,1)</f>
        <v>0</v>
      </c>
      <c r="D149" s="49" t="str">
        <f>IF(AND('Selbstbeurteilung Kunde'!D153="",'Selbstbeurteilung Kunde'!E153=""),"*","")</f>
        <v>*</v>
      </c>
      <c r="E149" s="50" t="str">
        <f>IF(ISBLANK('Selbstbeurteilung Kunde'!F153),"",'Selbstbeurteilung Kunde'!F153)</f>
        <v/>
      </c>
      <c r="F149" s="287"/>
      <c r="G149" s="287"/>
      <c r="H149" s="287"/>
      <c r="I149" s="287"/>
      <c r="J149" s="287"/>
      <c r="K149" s="287"/>
      <c r="L149" s="279"/>
      <c r="M149" s="47">
        <v>2</v>
      </c>
      <c r="N149" s="34"/>
      <c r="O149" s="35">
        <f t="shared" si="26"/>
        <v>0</v>
      </c>
      <c r="P149" s="35">
        <f t="shared" si="27"/>
        <v>0</v>
      </c>
      <c r="Q149" s="46"/>
      <c r="R149" s="34"/>
    </row>
    <row r="150" spans="1:18" ht="26.4" x14ac:dyDescent="0.3">
      <c r="A150" s="3" t="str">
        <f>'Selbstbeurteilung Kunde'!A154</f>
        <v>3.1.5.</v>
      </c>
      <c r="B150" s="6" t="str">
        <f>'Selbstbeurteilung Kunde'!C154</f>
        <v>Ist sicheres Führungs- und Arbeitsverhalten Gegenstand von Arbeitsverträgen mit Festangestellten?</v>
      </c>
      <c r="C150" s="49">
        <f>IF(ISBLANK('Selbstbeurteilung Kunde'!D154),0,1)</f>
        <v>0</v>
      </c>
      <c r="D150" s="49" t="str">
        <f>IF(AND('Selbstbeurteilung Kunde'!D154="",'Selbstbeurteilung Kunde'!E154=""),"*","")</f>
        <v>*</v>
      </c>
      <c r="E150" s="50" t="str">
        <f>IF(ISBLANK('Selbstbeurteilung Kunde'!F154),"",'Selbstbeurteilung Kunde'!F154)</f>
        <v/>
      </c>
      <c r="F150" s="290"/>
      <c r="G150" s="290"/>
      <c r="H150" s="290"/>
      <c r="I150" s="290"/>
      <c r="J150" s="290"/>
      <c r="K150" s="290"/>
      <c r="L150" s="279"/>
      <c r="M150" s="47">
        <v>3</v>
      </c>
      <c r="N150" s="34"/>
      <c r="O150" s="35">
        <f t="shared" si="26"/>
        <v>0</v>
      </c>
      <c r="P150" s="35">
        <f t="shared" si="27"/>
        <v>0</v>
      </c>
      <c r="Q150" s="46"/>
      <c r="R150" s="46"/>
    </row>
    <row r="151" spans="1:18" ht="39.6" x14ac:dyDescent="0.3">
      <c r="A151" s="3" t="str">
        <f>'Selbstbeurteilung Kunde'!A155</f>
        <v>3.1.6.</v>
      </c>
      <c r="B151" s="6" t="str">
        <f>'Selbstbeurteilung Kunde'!C155</f>
        <v>Ist sicheres Arbeitsverhalten Gegenstand von Arbeitsverträgen mit Teilzeitbeschäftigten, saisonal Beschäftigten oder Aushilfskräften?</v>
      </c>
      <c r="C151" s="49">
        <f>IF(ISBLANK('Selbstbeurteilung Kunde'!D155),0,1)</f>
        <v>0</v>
      </c>
      <c r="D151" s="49" t="str">
        <f>IF(AND('Selbstbeurteilung Kunde'!D155="",'Selbstbeurteilung Kunde'!E155=""),"*","")</f>
        <v>*</v>
      </c>
      <c r="E151" s="50" t="str">
        <f>IF(ISBLANK('Selbstbeurteilung Kunde'!F155),"",'Selbstbeurteilung Kunde'!F155)</f>
        <v/>
      </c>
      <c r="F151" s="287"/>
      <c r="G151" s="287"/>
      <c r="H151" s="287"/>
      <c r="I151" s="287"/>
      <c r="J151" s="287"/>
      <c r="K151" s="287"/>
      <c r="L151" s="279"/>
      <c r="M151" s="47">
        <v>3</v>
      </c>
      <c r="N151" s="34"/>
      <c r="O151" s="35">
        <f t="shared" si="26"/>
        <v>0</v>
      </c>
      <c r="P151" s="35">
        <f t="shared" si="27"/>
        <v>0</v>
      </c>
      <c r="Q151" s="46"/>
      <c r="R151" s="34"/>
    </row>
    <row r="152" spans="1:18" x14ac:dyDescent="0.3">
      <c r="A152" s="26" t="str">
        <f>'Selbstbeurteilung Kunde'!A156</f>
        <v>3.2.</v>
      </c>
      <c r="B152" s="27" t="str">
        <f>'Selbstbeurteilung Kunde'!B156</f>
        <v>Neueintretende Mitarbeitende</v>
      </c>
      <c r="C152" s="28">
        <f>O152/N152</f>
        <v>0</v>
      </c>
      <c r="D152" s="350"/>
      <c r="E152" s="37" t="str">
        <f>IF(ISBLANK('Selbstbeurteilung Kunde'!F156),"",'Selbstbeurteilung Kunde'!F156)</f>
        <v/>
      </c>
      <c r="F152" s="282"/>
      <c r="G152" s="282"/>
      <c r="H152" s="282"/>
      <c r="I152" s="282"/>
      <c r="J152" s="282"/>
      <c r="K152" s="282"/>
      <c r="L152" s="63">
        <f>P152/N152</f>
        <v>0</v>
      </c>
      <c r="M152" s="29">
        <v>2</v>
      </c>
      <c r="N152" s="29">
        <f>SUM(M153:M163)</f>
        <v>25</v>
      </c>
      <c r="O152" s="31">
        <f>SUM(O153:O163)</f>
        <v>0</v>
      </c>
      <c r="P152" s="31">
        <f>SUM(P153:P163)</f>
        <v>0</v>
      </c>
      <c r="Q152" s="65">
        <f>O152/$N152*$M152</f>
        <v>0</v>
      </c>
      <c r="R152" s="65">
        <f>P152/$N152*$M152</f>
        <v>0</v>
      </c>
    </row>
    <row r="153" spans="1:18" ht="39.6" x14ac:dyDescent="0.3">
      <c r="A153" s="3" t="str">
        <f>'Selbstbeurteilung Kunde'!A157</f>
        <v>3.2.1.a</v>
      </c>
      <c r="B153" s="6" t="str">
        <f>'Selbstbeurteilung Kunde'!C157</f>
        <v>Verfügt das Unternehmen über standardisierte Einführungsprogramme für:
neue Mitarbeitende?</v>
      </c>
      <c r="C153" s="49">
        <f>IF(ISBLANK('Selbstbeurteilung Kunde'!D157),0,1)</f>
        <v>0</v>
      </c>
      <c r="D153" s="49" t="str">
        <f>IF(AND('Selbstbeurteilung Kunde'!D157="",'Selbstbeurteilung Kunde'!E157=""),"*","")</f>
        <v>*</v>
      </c>
      <c r="E153" s="50" t="str">
        <f>IF(ISBLANK('Selbstbeurteilung Kunde'!F157),"",'Selbstbeurteilung Kunde'!F157)</f>
        <v/>
      </c>
      <c r="F153" s="287"/>
      <c r="G153" s="287"/>
      <c r="H153" s="287"/>
      <c r="I153" s="287"/>
      <c r="J153" s="287"/>
      <c r="K153" s="287"/>
      <c r="L153" s="279"/>
      <c r="M153" s="47">
        <v>3</v>
      </c>
      <c r="N153" s="34"/>
      <c r="O153" s="35">
        <f t="shared" ref="O153:O163" si="28">M153*C153</f>
        <v>0</v>
      </c>
      <c r="P153" s="54">
        <f t="shared" ref="P153:P163" si="29">L153*M153</f>
        <v>0</v>
      </c>
      <c r="Q153" s="46"/>
      <c r="R153" s="34"/>
    </row>
    <row r="154" spans="1:18" x14ac:dyDescent="0.3">
      <c r="A154" s="3" t="str">
        <f>'Selbstbeurteilung Kunde'!A158</f>
        <v>3.2.1.b</v>
      </c>
      <c r="B154" s="6" t="str">
        <f>'Selbstbeurteilung Kunde'!C158</f>
        <v>temporäre Mitarbeitende?</v>
      </c>
      <c r="C154" s="49">
        <f>IF(ISBLANK('Selbstbeurteilung Kunde'!D158),0,1)</f>
        <v>0</v>
      </c>
      <c r="D154" s="49" t="str">
        <f>IF(AND('Selbstbeurteilung Kunde'!D158="",'Selbstbeurteilung Kunde'!E158=""),"*","")</f>
        <v>*</v>
      </c>
      <c r="E154" s="50" t="str">
        <f>IF(ISBLANK('Selbstbeurteilung Kunde'!F158),"",'Selbstbeurteilung Kunde'!F158)</f>
        <v/>
      </c>
      <c r="F154" s="287"/>
      <c r="G154" s="287"/>
      <c r="H154" s="287"/>
      <c r="I154" s="287"/>
      <c r="J154" s="287"/>
      <c r="K154" s="287"/>
      <c r="L154" s="279"/>
      <c r="M154" s="47">
        <v>3</v>
      </c>
      <c r="N154" s="34"/>
      <c r="O154" s="35">
        <f t="shared" si="28"/>
        <v>0</v>
      </c>
      <c r="P154" s="54">
        <f>L154*M154</f>
        <v>0</v>
      </c>
      <c r="Q154" s="46"/>
      <c r="R154" s="34"/>
    </row>
    <row r="155" spans="1:18" x14ac:dyDescent="0.3">
      <c r="A155" s="3" t="str">
        <f>'Selbstbeurteilung Kunde'!A159</f>
        <v>3.2.1.c</v>
      </c>
      <c r="B155" s="6" t="str">
        <f>'Selbstbeurteilung Kunde'!C159</f>
        <v>versetzte Mitarbeitende?</v>
      </c>
      <c r="C155" s="49">
        <f>IF(ISBLANK('Selbstbeurteilung Kunde'!D159),0,1)</f>
        <v>0</v>
      </c>
      <c r="D155" s="49" t="str">
        <f>IF(AND('Selbstbeurteilung Kunde'!D159="",'Selbstbeurteilung Kunde'!E159=""),"*","")</f>
        <v>*</v>
      </c>
      <c r="E155" s="50" t="str">
        <f>IF(ISBLANK('Selbstbeurteilung Kunde'!F159),"",'Selbstbeurteilung Kunde'!F159)</f>
        <v/>
      </c>
      <c r="F155" s="290"/>
      <c r="G155" s="290"/>
      <c r="H155" s="290"/>
      <c r="I155" s="290"/>
      <c r="J155" s="290"/>
      <c r="K155" s="290"/>
      <c r="L155" s="279"/>
      <c r="M155" s="47">
        <v>1</v>
      </c>
      <c r="N155" s="34"/>
      <c r="O155" s="35">
        <f t="shared" si="28"/>
        <v>0</v>
      </c>
      <c r="P155" s="54">
        <f t="shared" si="29"/>
        <v>0</v>
      </c>
      <c r="Q155" s="46"/>
      <c r="R155" s="34"/>
    </row>
    <row r="156" spans="1:18" ht="26.4" x14ac:dyDescent="0.3">
      <c r="A156" s="3" t="str">
        <f>'Selbstbeurteilung Kunde'!A160</f>
        <v>3.2.2.</v>
      </c>
      <c r="B156" s="6" t="str">
        <f>'Selbstbeurteilung Kunde'!C160</f>
        <v>Verwenden Sie für die Dokumentation der Einführung bestimmte Checklisten oder Stichwortlisten?</v>
      </c>
      <c r="C156" s="49">
        <f>IF(ISBLANK('Selbstbeurteilung Kunde'!D160),0,1)</f>
        <v>0</v>
      </c>
      <c r="D156" s="49" t="str">
        <f>IF(AND('Selbstbeurteilung Kunde'!D160="",'Selbstbeurteilung Kunde'!E160=""),"*","")</f>
        <v>*</v>
      </c>
      <c r="E156" s="50" t="str">
        <f>IF(ISBLANK('Selbstbeurteilung Kunde'!F160),"",'Selbstbeurteilung Kunde'!F160)</f>
        <v/>
      </c>
      <c r="F156" s="290"/>
      <c r="G156" s="290"/>
      <c r="H156" s="290"/>
      <c r="I156" s="290"/>
      <c r="J156" s="290"/>
      <c r="K156" s="290"/>
      <c r="L156" s="279"/>
      <c r="M156" s="47">
        <v>2</v>
      </c>
      <c r="N156" s="34"/>
      <c r="O156" s="35">
        <f t="shared" si="28"/>
        <v>0</v>
      </c>
      <c r="P156" s="54">
        <f t="shared" si="29"/>
        <v>0</v>
      </c>
      <c r="Q156" s="46"/>
      <c r="R156" s="46"/>
    </row>
    <row r="157" spans="1:18" ht="39.6" x14ac:dyDescent="0.3">
      <c r="A157" s="3" t="str">
        <f>'Selbstbeurteilung Kunde'!A161</f>
        <v>3.2.3.a</v>
      </c>
      <c r="B157" s="6" t="str">
        <f>'Selbstbeurteilung Kunde'!C161</f>
        <v>Sind Sicherheit und Gesundheitsschutz Bestandteil der Einführung bei:
neue Mitarbeitenden?</v>
      </c>
      <c r="C157" s="49">
        <f>IF(ISBLANK('Selbstbeurteilung Kunde'!D161),0,1)</f>
        <v>0</v>
      </c>
      <c r="D157" s="49" t="str">
        <f>IF(AND('Selbstbeurteilung Kunde'!D161="",'Selbstbeurteilung Kunde'!E161=""),"*","")</f>
        <v>*</v>
      </c>
      <c r="E157" s="50" t="str">
        <f>IF(ISBLANK('Selbstbeurteilung Kunde'!F161),"",'Selbstbeurteilung Kunde'!F161)</f>
        <v/>
      </c>
      <c r="F157" s="287"/>
      <c r="G157" s="287"/>
      <c r="H157" s="287"/>
      <c r="I157" s="287"/>
      <c r="J157" s="287"/>
      <c r="K157" s="287"/>
      <c r="L157" s="279"/>
      <c r="M157" s="47">
        <v>3</v>
      </c>
      <c r="N157" s="34"/>
      <c r="O157" s="35">
        <f t="shared" si="28"/>
        <v>0</v>
      </c>
      <c r="P157" s="54">
        <f t="shared" si="29"/>
        <v>0</v>
      </c>
      <c r="Q157" s="46"/>
      <c r="R157" s="34"/>
    </row>
    <row r="158" spans="1:18" x14ac:dyDescent="0.3">
      <c r="A158" s="3" t="str">
        <f>'Selbstbeurteilung Kunde'!A162</f>
        <v>3.2.3.b</v>
      </c>
      <c r="B158" s="6" t="str">
        <f>'Selbstbeurteilung Kunde'!C162</f>
        <v>temporären Mitarbeitenden?</v>
      </c>
      <c r="C158" s="49">
        <f>IF(ISBLANK('Selbstbeurteilung Kunde'!D162),0,1)</f>
        <v>0</v>
      </c>
      <c r="D158" s="49" t="str">
        <f>IF(AND('Selbstbeurteilung Kunde'!D162="",'Selbstbeurteilung Kunde'!E162=""),"*","")</f>
        <v>*</v>
      </c>
      <c r="E158" s="50" t="str">
        <f>IF(ISBLANK('Selbstbeurteilung Kunde'!F162),"",'Selbstbeurteilung Kunde'!F162)</f>
        <v/>
      </c>
      <c r="F158" s="287"/>
      <c r="G158" s="287"/>
      <c r="H158" s="287"/>
      <c r="I158" s="287"/>
      <c r="J158" s="287"/>
      <c r="K158" s="287"/>
      <c r="L158" s="279"/>
      <c r="M158" s="47">
        <v>3</v>
      </c>
      <c r="N158" s="34"/>
      <c r="O158" s="35">
        <f t="shared" si="28"/>
        <v>0</v>
      </c>
      <c r="P158" s="54">
        <f t="shared" si="29"/>
        <v>0</v>
      </c>
      <c r="Q158" s="46"/>
      <c r="R158" s="34"/>
    </row>
    <row r="159" spans="1:18" x14ac:dyDescent="0.3">
      <c r="A159" s="3" t="str">
        <f>'Selbstbeurteilung Kunde'!A163</f>
        <v>3.2.3.c</v>
      </c>
      <c r="B159" s="6" t="str">
        <f>'Selbstbeurteilung Kunde'!C163</f>
        <v>versetzten Mitarbeitenden?</v>
      </c>
      <c r="C159" s="49">
        <f>IF(ISBLANK('Selbstbeurteilung Kunde'!D163),0,1)</f>
        <v>0</v>
      </c>
      <c r="D159" s="49" t="str">
        <f>IF(AND('Selbstbeurteilung Kunde'!D163="",'Selbstbeurteilung Kunde'!E163=""),"*","")</f>
        <v>*</v>
      </c>
      <c r="E159" s="50" t="str">
        <f>IF(ISBLANK('Selbstbeurteilung Kunde'!F163),"",'Selbstbeurteilung Kunde'!F163)</f>
        <v/>
      </c>
      <c r="F159" s="287"/>
      <c r="G159" s="287"/>
      <c r="H159" s="287"/>
      <c r="I159" s="287"/>
      <c r="J159" s="287"/>
      <c r="K159" s="287"/>
      <c r="L159" s="279"/>
      <c r="M159" s="47">
        <v>1</v>
      </c>
      <c r="N159" s="34"/>
      <c r="O159" s="35">
        <f t="shared" si="28"/>
        <v>0</v>
      </c>
      <c r="P159" s="54">
        <f t="shared" si="29"/>
        <v>0</v>
      </c>
      <c r="Q159" s="46"/>
      <c r="R159" s="34"/>
    </row>
    <row r="160" spans="1:18" ht="39.6" x14ac:dyDescent="0.3">
      <c r="A160" s="3" t="str">
        <f>'Selbstbeurteilung Kunde'!A164</f>
        <v>3.2.4.a</v>
      </c>
      <c r="B160" s="6" t="str">
        <f>'Selbstbeurteilung Kunde'!C164</f>
        <v>Werden bestimmte Dokumentationen zum Thema Sicherheit und Gesundheitsschutz abgegeben an:
neue Mitarbeidende?</v>
      </c>
      <c r="C160" s="49">
        <f>IF(ISBLANK('Selbstbeurteilung Kunde'!D164),0,1)</f>
        <v>0</v>
      </c>
      <c r="D160" s="49" t="str">
        <f>IF(AND('Selbstbeurteilung Kunde'!D164="",'Selbstbeurteilung Kunde'!E164=""),"*","")</f>
        <v>*</v>
      </c>
      <c r="E160" s="50" t="str">
        <f>IF(ISBLANK('Selbstbeurteilung Kunde'!F164),"",'Selbstbeurteilung Kunde'!F164)</f>
        <v/>
      </c>
      <c r="F160" s="287"/>
      <c r="G160" s="287"/>
      <c r="H160" s="287"/>
      <c r="I160" s="287"/>
      <c r="J160" s="287"/>
      <c r="K160" s="287"/>
      <c r="L160" s="279"/>
      <c r="M160" s="47">
        <v>2</v>
      </c>
      <c r="N160" s="34"/>
      <c r="O160" s="35">
        <f t="shared" si="28"/>
        <v>0</v>
      </c>
      <c r="P160" s="54">
        <f t="shared" si="29"/>
        <v>0</v>
      </c>
      <c r="Q160" s="46"/>
      <c r="R160" s="34"/>
    </row>
    <row r="161" spans="1:18" x14ac:dyDescent="0.3">
      <c r="A161" s="3" t="str">
        <f>'Selbstbeurteilung Kunde'!A165</f>
        <v>3.2.4.b</v>
      </c>
      <c r="B161" s="6" t="str">
        <f>'Selbstbeurteilung Kunde'!C165</f>
        <v>temporäre Mitarbeitende?</v>
      </c>
      <c r="C161" s="49">
        <f>IF(ISBLANK('Selbstbeurteilung Kunde'!D165),0,1)</f>
        <v>0</v>
      </c>
      <c r="D161" s="49" t="str">
        <f>IF(AND('Selbstbeurteilung Kunde'!D165="",'Selbstbeurteilung Kunde'!E165=""),"*","")</f>
        <v>*</v>
      </c>
      <c r="E161" s="50" t="str">
        <f>IF(ISBLANK('Selbstbeurteilung Kunde'!F165),"",'Selbstbeurteilung Kunde'!F165)</f>
        <v/>
      </c>
      <c r="F161" s="287"/>
      <c r="G161" s="287"/>
      <c r="H161" s="287"/>
      <c r="I161" s="287"/>
      <c r="J161" s="287"/>
      <c r="K161" s="287"/>
      <c r="L161" s="279"/>
      <c r="M161" s="47">
        <v>2</v>
      </c>
      <c r="N161" s="34"/>
      <c r="O161" s="35">
        <f t="shared" si="28"/>
        <v>0</v>
      </c>
      <c r="P161" s="54">
        <f t="shared" si="29"/>
        <v>0</v>
      </c>
      <c r="Q161" s="46"/>
      <c r="R161" s="34"/>
    </row>
    <row r="162" spans="1:18" x14ac:dyDescent="0.3">
      <c r="A162" s="3" t="str">
        <f>'Selbstbeurteilung Kunde'!A166</f>
        <v>3.2.4.c</v>
      </c>
      <c r="B162" s="6" t="str">
        <f>'Selbstbeurteilung Kunde'!C166</f>
        <v>versetzte Mitarbeitende?</v>
      </c>
      <c r="C162" s="49">
        <f>IF(ISBLANK('Selbstbeurteilung Kunde'!D166),0,1)</f>
        <v>0</v>
      </c>
      <c r="D162" s="49" t="str">
        <f>IF(AND('Selbstbeurteilung Kunde'!D166="",'Selbstbeurteilung Kunde'!E166=""),"*","")</f>
        <v>*</v>
      </c>
      <c r="E162" s="50" t="str">
        <f>IF(ISBLANK('Selbstbeurteilung Kunde'!F166),"",'Selbstbeurteilung Kunde'!F166)</f>
        <v/>
      </c>
      <c r="F162" s="287"/>
      <c r="G162" s="287"/>
      <c r="H162" s="287"/>
      <c r="I162" s="287"/>
      <c r="J162" s="287"/>
      <c r="K162" s="287"/>
      <c r="L162" s="279"/>
      <c r="M162" s="47">
        <v>1</v>
      </c>
      <c r="N162" s="34"/>
      <c r="O162" s="35">
        <f t="shared" si="28"/>
        <v>0</v>
      </c>
      <c r="P162" s="54">
        <f t="shared" si="29"/>
        <v>0</v>
      </c>
      <c r="Q162" s="46"/>
      <c r="R162" s="34"/>
    </row>
    <row r="163" spans="1:18" ht="26.4" x14ac:dyDescent="0.3">
      <c r="A163" s="3" t="str">
        <f>'Selbstbeurteilung Kunde'!A167</f>
        <v>3.2.5.</v>
      </c>
      <c r="B163" s="6" t="str">
        <f>'Selbstbeurteilung Kunde'!C167</f>
        <v>Ist sicheres Führungs- und Arbeitsverhalten Gegenstand der Beurteilungskriterien während der Probezeit?</v>
      </c>
      <c r="C163" s="49">
        <f>IF(ISBLANK('Selbstbeurteilung Kunde'!D167),0,1)</f>
        <v>0</v>
      </c>
      <c r="D163" s="49" t="str">
        <f>IF(AND('Selbstbeurteilung Kunde'!D167="",'Selbstbeurteilung Kunde'!E167=""),"*","")</f>
        <v>*</v>
      </c>
      <c r="E163" s="50" t="str">
        <f>IF(ISBLANK('Selbstbeurteilung Kunde'!F167),"",'Selbstbeurteilung Kunde'!F167)</f>
        <v/>
      </c>
      <c r="F163" s="291"/>
      <c r="G163" s="291"/>
      <c r="H163" s="291"/>
      <c r="I163" s="291"/>
      <c r="J163" s="291"/>
      <c r="K163" s="291"/>
      <c r="L163" s="279"/>
      <c r="M163" s="47">
        <v>4</v>
      </c>
      <c r="N163" s="34"/>
      <c r="O163" s="35">
        <f t="shared" si="28"/>
        <v>0</v>
      </c>
      <c r="P163" s="54">
        <f t="shared" si="29"/>
        <v>0</v>
      </c>
      <c r="Q163" s="46"/>
      <c r="R163" s="46"/>
    </row>
    <row r="164" spans="1:18" x14ac:dyDescent="0.3">
      <c r="A164" s="26" t="str">
        <f>'Selbstbeurteilung Kunde'!A168</f>
        <v>3.3.</v>
      </c>
      <c r="B164" s="27" t="str">
        <f>'Selbstbeurteilung Kunde'!B168</f>
        <v>Schulungsbedürfnisse, Personalförderung</v>
      </c>
      <c r="C164" s="28">
        <f>O164/N164</f>
        <v>0</v>
      </c>
      <c r="D164" s="350"/>
      <c r="E164" s="37" t="str">
        <f>IF(ISBLANK('Selbstbeurteilung Kunde'!F168),"",'Selbstbeurteilung Kunde'!F168)</f>
        <v/>
      </c>
      <c r="F164" s="282"/>
      <c r="G164" s="282"/>
      <c r="H164" s="282"/>
      <c r="I164" s="282"/>
      <c r="J164" s="282"/>
      <c r="K164" s="282"/>
      <c r="L164" s="63">
        <f>P164/N164</f>
        <v>0</v>
      </c>
      <c r="M164" s="29">
        <v>1</v>
      </c>
      <c r="N164" s="31">
        <f>SUM(M165:M169)</f>
        <v>13</v>
      </c>
      <c r="O164" s="31">
        <f>SUM(O165:O169)</f>
        <v>0</v>
      </c>
      <c r="P164" s="31">
        <f>SUM(P165:P169)</f>
        <v>0</v>
      </c>
      <c r="Q164" s="65">
        <f>O164/$N164*$M164</f>
        <v>0</v>
      </c>
      <c r="R164" s="65">
        <f>P164/$N164*$M164</f>
        <v>0</v>
      </c>
    </row>
    <row r="165" spans="1:18" ht="26.4" x14ac:dyDescent="0.3">
      <c r="A165" s="3" t="str">
        <f>'Selbstbeurteilung Kunde'!A169</f>
        <v>3.3.1.</v>
      </c>
      <c r="B165" s="6" t="str">
        <f>'Selbstbeurteilung Kunde'!C169</f>
        <v>Werden Anforderungsprofile und Leistungsprofile der Beschäftigten regelmässig und systematisch überprüft?</v>
      </c>
      <c r="C165" s="49">
        <f>IF(ISBLANK('Selbstbeurteilung Kunde'!D169),0,1)</f>
        <v>0</v>
      </c>
      <c r="D165" s="49" t="str">
        <f>IF(AND('Selbstbeurteilung Kunde'!D169="",'Selbstbeurteilung Kunde'!E169=""),"*","")</f>
        <v>*</v>
      </c>
      <c r="E165" s="50" t="str">
        <f>IF(ISBLANK('Selbstbeurteilung Kunde'!F169),"",'Selbstbeurteilung Kunde'!F169)</f>
        <v/>
      </c>
      <c r="F165" s="287"/>
      <c r="G165" s="287"/>
      <c r="H165" s="287"/>
      <c r="I165" s="287"/>
      <c r="J165" s="287"/>
      <c r="K165" s="287"/>
      <c r="L165" s="279"/>
      <c r="M165" s="47">
        <v>3</v>
      </c>
      <c r="N165" s="34"/>
      <c r="O165" s="35">
        <f>M165*C165</f>
        <v>0</v>
      </c>
      <c r="P165" s="54">
        <f t="shared" ref="P165:P169" si="30">L165*M165</f>
        <v>0</v>
      </c>
      <c r="Q165" s="46"/>
      <c r="R165" s="34"/>
    </row>
    <row r="166" spans="1:18" ht="39.6" x14ac:dyDescent="0.3">
      <c r="A166" s="3" t="str">
        <f>'Selbstbeurteilung Kunde'!A170</f>
        <v>3.3.2.</v>
      </c>
      <c r="B166" s="6" t="str">
        <f>'Selbstbeurteilung Kunde'!C170</f>
        <v>Werden Sicherheit und Gesundheitsschutz bei der Ermittlung von Qualifikationslücken und Schulungsbedürfnissen berücksichtigt?</v>
      </c>
      <c r="C166" s="49">
        <f>IF(ISBLANK('Selbstbeurteilung Kunde'!D170),0,1)</f>
        <v>0</v>
      </c>
      <c r="D166" s="49" t="str">
        <f>IF(AND('Selbstbeurteilung Kunde'!D170="",'Selbstbeurteilung Kunde'!E170=""),"*","")</f>
        <v>*</v>
      </c>
      <c r="E166" s="50" t="str">
        <f>IF(ISBLANK('Selbstbeurteilung Kunde'!F170),"",'Selbstbeurteilung Kunde'!F170)</f>
        <v/>
      </c>
      <c r="F166" s="287"/>
      <c r="G166" s="287"/>
      <c r="H166" s="287"/>
      <c r="I166" s="287"/>
      <c r="J166" s="287"/>
      <c r="K166" s="287"/>
      <c r="L166" s="279"/>
      <c r="M166" s="47">
        <v>3</v>
      </c>
      <c r="N166" s="34"/>
      <c r="O166" s="35">
        <f>M166*C166</f>
        <v>0</v>
      </c>
      <c r="P166" s="54">
        <f t="shared" si="30"/>
        <v>0</v>
      </c>
      <c r="Q166" s="46"/>
      <c r="R166" s="34"/>
    </row>
    <row r="167" spans="1:18" ht="26.4" x14ac:dyDescent="0.3">
      <c r="A167" s="3" t="str">
        <f>'Selbstbeurteilung Kunde'!A171</f>
        <v>3.3.3.</v>
      </c>
      <c r="B167" s="6" t="str">
        <f>'Selbstbeurteilung Kunde'!C171</f>
        <v>Verfügt Ihr Unternehmen über ein Personalförderungskonzept?</v>
      </c>
      <c r="C167" s="49">
        <f>IF(ISBLANK('Selbstbeurteilung Kunde'!D171),0,1)</f>
        <v>0</v>
      </c>
      <c r="D167" s="49" t="str">
        <f>IF(AND('Selbstbeurteilung Kunde'!D171="",'Selbstbeurteilung Kunde'!E171=""),"*","")</f>
        <v>*</v>
      </c>
      <c r="E167" s="50" t="str">
        <f>IF(ISBLANK('Selbstbeurteilung Kunde'!F171),"",'Selbstbeurteilung Kunde'!F171)</f>
        <v/>
      </c>
      <c r="F167" s="287"/>
      <c r="G167" s="287"/>
      <c r="H167" s="287"/>
      <c r="I167" s="287"/>
      <c r="J167" s="287"/>
      <c r="K167" s="287"/>
      <c r="L167" s="279"/>
      <c r="M167" s="47">
        <v>1</v>
      </c>
      <c r="N167" s="34"/>
      <c r="O167" s="35">
        <f>M167*C167</f>
        <v>0</v>
      </c>
      <c r="P167" s="54">
        <f t="shared" si="30"/>
        <v>0</v>
      </c>
      <c r="Q167" s="46"/>
      <c r="R167" s="34"/>
    </row>
    <row r="168" spans="1:18" ht="92.4" x14ac:dyDescent="0.3">
      <c r="A168" s="3" t="str">
        <f>'Selbstbeurteilung Kunde'!A172</f>
        <v>3.3.4.</v>
      </c>
      <c r="B168" s="6" t="str">
        <f>'Selbstbeurteilung Kunde'!C172</f>
        <v>Wenn ja, sind Sicherheit und Gesundheitsförderung* Schwerpunkte?
*Der Begriff „Gesundheitsförderung“ geht über den konventionellen Begriff „Gesundheitsschutz“ hinaus. Gesundheitsförderung umfasst alle individuellen und sozialen Aspekte, die zur Förderung der Gesundheit beitragen.</v>
      </c>
      <c r="C168" s="49">
        <f>IF(ISBLANK('Selbstbeurteilung Kunde'!D172),0,1)</f>
        <v>0</v>
      </c>
      <c r="D168" s="49" t="str">
        <f>IF(AND('Selbstbeurteilung Kunde'!D172="",'Selbstbeurteilung Kunde'!E172=""),"*","")</f>
        <v>*</v>
      </c>
      <c r="E168" s="50" t="str">
        <f>IF(ISBLANK('Selbstbeurteilung Kunde'!F172),"",'Selbstbeurteilung Kunde'!F172)</f>
        <v/>
      </c>
      <c r="F168" s="287"/>
      <c r="G168" s="287"/>
      <c r="H168" s="287"/>
      <c r="I168" s="287"/>
      <c r="J168" s="287"/>
      <c r="K168" s="287"/>
      <c r="L168" s="279"/>
      <c r="M168" s="47">
        <v>2</v>
      </c>
      <c r="N168" s="34"/>
      <c r="O168" s="35">
        <f>M168*C168</f>
        <v>0</v>
      </c>
      <c r="P168" s="54">
        <f t="shared" si="30"/>
        <v>0</v>
      </c>
      <c r="Q168" s="46"/>
      <c r="R168" s="34"/>
    </row>
    <row r="169" spans="1:18" ht="39.6" x14ac:dyDescent="0.3">
      <c r="A169" s="3" t="str">
        <f>'Selbstbeurteilung Kunde'!A173</f>
        <v>3.3.5.</v>
      </c>
      <c r="B169" s="6" t="str">
        <f>'Selbstbeurteilung Kunde'!C173</f>
        <v>Führen Sie eine namentliche Kontrolle über Ausbildung, Fortbildung, Weiterbildung und andere Personalförderungsmassnahmen?</v>
      </c>
      <c r="C169" s="49">
        <f>IF(ISBLANK('Selbstbeurteilung Kunde'!D173),0,1)</f>
        <v>0</v>
      </c>
      <c r="D169" s="49" t="str">
        <f>IF(AND('Selbstbeurteilung Kunde'!D173="",'Selbstbeurteilung Kunde'!E173=""),"*","")</f>
        <v>*</v>
      </c>
      <c r="E169" s="50" t="str">
        <f>IF(ISBLANK('Selbstbeurteilung Kunde'!F173),"",'Selbstbeurteilung Kunde'!F173)</f>
        <v/>
      </c>
      <c r="F169" s="290"/>
      <c r="G169" s="290"/>
      <c r="H169" s="290"/>
      <c r="I169" s="290"/>
      <c r="J169" s="290"/>
      <c r="K169" s="290"/>
      <c r="L169" s="279"/>
      <c r="M169" s="47">
        <v>4</v>
      </c>
      <c r="N169" s="34"/>
      <c r="O169" s="35">
        <f>M169*C169</f>
        <v>0</v>
      </c>
      <c r="P169" s="54">
        <f t="shared" si="30"/>
        <v>0</v>
      </c>
      <c r="Q169" s="46"/>
      <c r="R169" s="34"/>
    </row>
    <row r="170" spans="1:18" x14ac:dyDescent="0.3">
      <c r="A170" s="26" t="str">
        <f>'Selbstbeurteilung Kunde'!A174</f>
        <v>3.4.</v>
      </c>
      <c r="B170" s="27" t="str">
        <f>'Selbstbeurteilung Kunde'!B174</f>
        <v>Personalschulung</v>
      </c>
      <c r="C170" s="28">
        <f>O170/N170</f>
        <v>0</v>
      </c>
      <c r="D170" s="350"/>
      <c r="E170" s="37" t="str">
        <f>IF(ISBLANK('Selbstbeurteilung Kunde'!F174),"",'Selbstbeurteilung Kunde'!F174)</f>
        <v/>
      </c>
      <c r="F170" s="282"/>
      <c r="G170" s="282"/>
      <c r="H170" s="282"/>
      <c r="I170" s="282"/>
      <c r="J170" s="282"/>
      <c r="K170" s="282"/>
      <c r="L170" s="63">
        <f>P170/N170</f>
        <v>0</v>
      </c>
      <c r="M170" s="30">
        <v>1</v>
      </c>
      <c r="N170" s="29">
        <f>SUM(M171:M174)</f>
        <v>5</v>
      </c>
      <c r="O170" s="31">
        <f>SUM(O171:O174)</f>
        <v>0</v>
      </c>
      <c r="P170" s="31">
        <f>SUM(P171:P174)</f>
        <v>0</v>
      </c>
      <c r="Q170" s="65">
        <f>O170/$N170*$M170</f>
        <v>0</v>
      </c>
      <c r="R170" s="65">
        <f>P170/$N170*$M170</f>
        <v>0</v>
      </c>
    </row>
    <row r="171" spans="1:18" ht="26.4" x14ac:dyDescent="0.3">
      <c r="A171" s="3" t="str">
        <f>'Selbstbeurteilung Kunde'!A175</f>
        <v>3.4.1.</v>
      </c>
      <c r="B171" s="6" t="str">
        <f>'Selbstbeurteilung Kunde'!C175</f>
        <v>Verfügen Sie über bestimmte Schulungsangebote und Schulungsprogramme?</v>
      </c>
      <c r="C171" s="49">
        <f>IF(ISBLANK('Selbstbeurteilung Kunde'!D175),0,1)</f>
        <v>0</v>
      </c>
      <c r="D171" s="49" t="str">
        <f>IF(AND('Selbstbeurteilung Kunde'!D175="",'Selbstbeurteilung Kunde'!E175=""),"*","")</f>
        <v>*</v>
      </c>
      <c r="E171" s="50" t="str">
        <f>IF(ISBLANK('Selbstbeurteilung Kunde'!F175),"",'Selbstbeurteilung Kunde'!F175)</f>
        <v/>
      </c>
      <c r="F171" s="287"/>
      <c r="G171" s="287"/>
      <c r="H171" s="287"/>
      <c r="I171" s="287"/>
      <c r="J171" s="287"/>
      <c r="K171" s="287"/>
      <c r="L171" s="279"/>
      <c r="M171" s="47">
        <v>0</v>
      </c>
      <c r="N171" s="34"/>
      <c r="O171" s="35">
        <f>C171*M171</f>
        <v>0</v>
      </c>
      <c r="P171" s="54">
        <f t="shared" ref="P171:P174" si="31">L171*M171</f>
        <v>0</v>
      </c>
      <c r="Q171" s="46"/>
      <c r="R171" s="34"/>
    </row>
    <row r="172" spans="1:18" ht="26.4" x14ac:dyDescent="0.3">
      <c r="A172" s="3" t="str">
        <f>'Selbstbeurteilung Kunde'!A176</f>
        <v>3.4.2.</v>
      </c>
      <c r="B172" s="6" t="str">
        <f>'Selbstbeurteilung Kunde'!C176</f>
        <v>Sind Sicherheit und Gesundheitsschutz Bestandteil der Schulungsangebote?</v>
      </c>
      <c r="C172" s="49">
        <f>IF(ISBLANK('Selbstbeurteilung Kunde'!D176),0,1)</f>
        <v>0</v>
      </c>
      <c r="D172" s="49" t="str">
        <f>IF(AND('Selbstbeurteilung Kunde'!D176="",'Selbstbeurteilung Kunde'!E176=""),"*","")</f>
        <v>*</v>
      </c>
      <c r="E172" s="50" t="str">
        <f>IF(ISBLANK('Selbstbeurteilung Kunde'!F176),"",'Selbstbeurteilung Kunde'!F176)</f>
        <v/>
      </c>
      <c r="F172" s="287"/>
      <c r="G172" s="287"/>
      <c r="H172" s="287"/>
      <c r="I172" s="287"/>
      <c r="J172" s="287"/>
      <c r="K172" s="287"/>
      <c r="L172" s="279"/>
      <c r="M172" s="47">
        <v>0</v>
      </c>
      <c r="N172" s="34"/>
      <c r="O172" s="35">
        <f>C172*M172</f>
        <v>0</v>
      </c>
      <c r="P172" s="54">
        <f t="shared" si="31"/>
        <v>0</v>
      </c>
      <c r="Q172" s="46"/>
      <c r="R172" s="34"/>
    </row>
    <row r="173" spans="1:18" ht="26.4" x14ac:dyDescent="0.3">
      <c r="A173" s="3" t="str">
        <f>'Selbstbeurteilung Kunde'!A177</f>
        <v>3.4.3.</v>
      </c>
      <c r="B173" s="6" t="str">
        <f>'Selbstbeurteilung Kunde'!C177</f>
        <v>Macht Ihr Unternehmen von den Schulungsangeboten von Wirtschafts- und Berufsverbänden Gebrauch?</v>
      </c>
      <c r="C173" s="49">
        <f>IF(ISBLANK('Selbstbeurteilung Kunde'!D177),0,1)</f>
        <v>0</v>
      </c>
      <c r="D173" s="49" t="str">
        <f>IF(AND('Selbstbeurteilung Kunde'!D177="",'Selbstbeurteilung Kunde'!E177=""),"*","")</f>
        <v>*</v>
      </c>
      <c r="E173" s="50" t="str">
        <f>IF(ISBLANK('Selbstbeurteilung Kunde'!F177),"",'Selbstbeurteilung Kunde'!F177)</f>
        <v/>
      </c>
      <c r="F173" s="290"/>
      <c r="G173" s="290"/>
      <c r="H173" s="290"/>
      <c r="I173" s="290"/>
      <c r="J173" s="290"/>
      <c r="K173" s="290"/>
      <c r="L173" s="279"/>
      <c r="M173" s="47">
        <v>2</v>
      </c>
      <c r="N173" s="34"/>
      <c r="O173" s="35">
        <f>C173*M173</f>
        <v>0</v>
      </c>
      <c r="P173" s="54">
        <f t="shared" si="31"/>
        <v>0</v>
      </c>
      <c r="Q173" s="46"/>
      <c r="R173" s="34"/>
    </row>
    <row r="174" spans="1:18" ht="39.6" x14ac:dyDescent="0.3">
      <c r="A174" s="3" t="str">
        <f>'Selbstbeurteilung Kunde'!A178</f>
        <v>3.4.4.</v>
      </c>
      <c r="B174" s="6" t="str">
        <f>'Selbstbeurteilung Kunde'!C178</f>
        <v>Enthalten die externen Schulungsangebote auch Themen betreffend Sicherheit und Gesundheitsschutz? Wenn ja, welche Themen?</v>
      </c>
      <c r="C174" s="49">
        <f>IF(ISBLANK('Selbstbeurteilung Kunde'!D178),0,1)</f>
        <v>0</v>
      </c>
      <c r="D174" s="49" t="str">
        <f>IF(AND('Selbstbeurteilung Kunde'!D178="",'Selbstbeurteilung Kunde'!E178=""),"*","")</f>
        <v>*</v>
      </c>
      <c r="E174" s="50" t="str">
        <f>IF(ISBLANK('Selbstbeurteilung Kunde'!F178),"",'Selbstbeurteilung Kunde'!F178)</f>
        <v/>
      </c>
      <c r="F174" s="287"/>
      <c r="G174" s="287"/>
      <c r="H174" s="287"/>
      <c r="I174" s="287"/>
      <c r="J174" s="287"/>
      <c r="K174" s="287"/>
      <c r="L174" s="279"/>
      <c r="M174" s="47">
        <v>3</v>
      </c>
      <c r="N174" s="34"/>
      <c r="O174" s="35">
        <f>C174*M174</f>
        <v>0</v>
      </c>
      <c r="P174" s="54">
        <f t="shared" si="31"/>
        <v>0</v>
      </c>
      <c r="Q174" s="46"/>
      <c r="R174" s="34"/>
    </row>
    <row r="175" spans="1:18" x14ac:dyDescent="0.3">
      <c r="A175" s="26" t="str">
        <f>'Selbstbeurteilung Kunde'!A179</f>
        <v>3.5.</v>
      </c>
      <c r="B175" s="27" t="str">
        <f xml:space="preserve"> 'Selbstbeurteilung Kunde'!B179</f>
        <v>Ausbildung am Arbeitsplatz</v>
      </c>
      <c r="C175" s="28">
        <f>O175/N175</f>
        <v>0</v>
      </c>
      <c r="D175" s="350"/>
      <c r="E175" s="37" t="str">
        <f>IF(ISBLANK('Selbstbeurteilung Kunde'!F179),"",'Selbstbeurteilung Kunde'!F179)</f>
        <v/>
      </c>
      <c r="F175" s="282"/>
      <c r="G175" s="282"/>
      <c r="H175" s="282"/>
      <c r="I175" s="282"/>
      <c r="J175" s="282"/>
      <c r="K175" s="282"/>
      <c r="L175" s="63">
        <f>P175/N175</f>
        <v>0</v>
      </c>
      <c r="M175" s="29">
        <v>3</v>
      </c>
      <c r="N175" s="29">
        <f>SUM(M176:M181)</f>
        <v>19</v>
      </c>
      <c r="O175" s="31">
        <f>SUM(O176:O181)</f>
        <v>0</v>
      </c>
      <c r="P175" s="31">
        <f>SUM(P176:P181)</f>
        <v>0</v>
      </c>
      <c r="Q175" s="65">
        <f>O175/$N175*$M175</f>
        <v>0</v>
      </c>
      <c r="R175" s="65">
        <f>P175/$N175*$M175</f>
        <v>0</v>
      </c>
    </row>
    <row r="176" spans="1:18" ht="26.4" x14ac:dyDescent="0.3">
      <c r="A176" s="3" t="str">
        <f>'Selbstbeurteilung Kunde'!A180</f>
        <v>3.5.1.</v>
      </c>
      <c r="B176" s="6" t="str">
        <f>'Selbstbeurteilung Kunde'!C180</f>
        <v>Wird das „Lernen am Arbeitsplatz“ in Ihrem Unternehmen bewusst praktiziert und gefördert?</v>
      </c>
      <c r="C176" s="49">
        <f>IF(ISBLANK('Selbstbeurteilung Kunde'!D180),0,1)</f>
        <v>0</v>
      </c>
      <c r="D176" s="49" t="str">
        <f>IF(AND('Selbstbeurteilung Kunde'!D180="",'Selbstbeurteilung Kunde'!E180=""),"*","")</f>
        <v>*</v>
      </c>
      <c r="E176" s="50" t="str">
        <f>IF(ISBLANK('Selbstbeurteilung Kunde'!F180),"",'Selbstbeurteilung Kunde'!F180)</f>
        <v/>
      </c>
      <c r="F176" s="287"/>
      <c r="G176" s="287"/>
      <c r="H176" s="287"/>
      <c r="I176" s="287"/>
      <c r="J176" s="287"/>
      <c r="K176" s="287"/>
      <c r="L176" s="279"/>
      <c r="M176" s="47">
        <v>3</v>
      </c>
      <c r="N176" s="34"/>
      <c r="O176" s="35">
        <f t="shared" ref="O176:O181" si="32">C176*M176</f>
        <v>0</v>
      </c>
      <c r="P176" s="54">
        <f t="shared" ref="P176:P181" si="33">L176*M176</f>
        <v>0</v>
      </c>
      <c r="Q176" s="46"/>
      <c r="R176" s="34"/>
    </row>
    <row r="177" spans="1:18" ht="52.8" x14ac:dyDescent="0.3">
      <c r="A177" s="3" t="str">
        <f>'Selbstbeurteilung Kunde'!A181</f>
        <v>3.5.2.</v>
      </c>
      <c r="B177" s="6" t="str">
        <f>'Selbstbeurteilung Kunde'!C181</f>
        <v>Werden Unfälle, Beinaheunfälle und andere unerwünschte Ereignisse dazu benützt, Lehren zu ziehen, konkrete Massnahmen zu treffen und Ausbildungslücken zu schliessen?</v>
      </c>
      <c r="C177" s="49">
        <f>IF(ISBLANK('Selbstbeurteilung Kunde'!D181),0,1)</f>
        <v>0</v>
      </c>
      <c r="D177" s="49" t="str">
        <f>IF(AND('Selbstbeurteilung Kunde'!D181="",'Selbstbeurteilung Kunde'!E181=""),"*","")</f>
        <v>*</v>
      </c>
      <c r="E177" s="50" t="str">
        <f>IF(ISBLANK('Selbstbeurteilung Kunde'!F181),"",'Selbstbeurteilung Kunde'!F181)</f>
        <v/>
      </c>
      <c r="F177" s="287"/>
      <c r="G177" s="287"/>
      <c r="H177" s="287"/>
      <c r="I177" s="287"/>
      <c r="J177" s="287"/>
      <c r="K177" s="287"/>
      <c r="L177" s="279"/>
      <c r="M177" s="47">
        <v>4</v>
      </c>
      <c r="N177" s="34"/>
      <c r="O177" s="35">
        <f t="shared" si="32"/>
        <v>0</v>
      </c>
      <c r="P177" s="54">
        <f t="shared" si="33"/>
        <v>0</v>
      </c>
      <c r="Q177" s="46"/>
      <c r="R177" s="34"/>
    </row>
    <row r="178" spans="1:18" ht="26.4" x14ac:dyDescent="0.3">
      <c r="A178" s="3" t="str">
        <f>'Selbstbeurteilung Kunde'!A182</f>
        <v>3.5.3.</v>
      </c>
      <c r="B178" s="6" t="str">
        <f>'Selbstbeurteilung Kunde'!C182</f>
        <v>Werden Vorgesetzte in der Methodik für die Durchführung von Ausbildungen am Arbeitsplatz geschult?</v>
      </c>
      <c r="C178" s="49">
        <f>IF(ISBLANK('Selbstbeurteilung Kunde'!D182),0,1)</f>
        <v>0</v>
      </c>
      <c r="D178" s="49" t="str">
        <f>IF(AND('Selbstbeurteilung Kunde'!D182="",'Selbstbeurteilung Kunde'!E182=""),"*","")</f>
        <v>*</v>
      </c>
      <c r="E178" s="50" t="str">
        <f>IF(ISBLANK('Selbstbeurteilung Kunde'!F182),"",'Selbstbeurteilung Kunde'!F182)</f>
        <v/>
      </c>
      <c r="F178" s="290"/>
      <c r="G178" s="290"/>
      <c r="H178" s="290"/>
      <c r="I178" s="290"/>
      <c r="J178" s="290"/>
      <c r="K178" s="290"/>
      <c r="L178" s="279"/>
      <c r="M178" s="47">
        <v>3</v>
      </c>
      <c r="N178" s="34"/>
      <c r="O178" s="35">
        <f t="shared" si="32"/>
        <v>0</v>
      </c>
      <c r="P178" s="54">
        <f t="shared" si="33"/>
        <v>0</v>
      </c>
      <c r="Q178" s="46"/>
      <c r="R178" s="46"/>
    </row>
    <row r="179" spans="1:18" ht="52.8" x14ac:dyDescent="0.3">
      <c r="A179" s="3" t="str">
        <f>'Selbstbeurteilung Kunde'!A183</f>
        <v>3.5.4.</v>
      </c>
      <c r="B179" s="6" t="str">
        <f>'Selbstbeurteilung Kunde'!C183</f>
        <v>Werden Vorgesetzte und Mitarbeitende über neue oder veränderte Arbeitsmittel* instruiert?
*Arbeitsmittel: Maschinen, Anlagen, Apparate, Werkzeuge, Einrichtungen und Geräte, PSA.</v>
      </c>
      <c r="C179" s="49">
        <f>IF(ISBLANK('Selbstbeurteilung Kunde'!D183),0,1)</f>
        <v>0</v>
      </c>
      <c r="D179" s="49" t="str">
        <f>IF(AND('Selbstbeurteilung Kunde'!D183="",'Selbstbeurteilung Kunde'!E183=""),"*","")</f>
        <v>*</v>
      </c>
      <c r="E179" s="50" t="str">
        <f>IF(ISBLANK('Selbstbeurteilung Kunde'!F183),"",'Selbstbeurteilung Kunde'!F183)</f>
        <v/>
      </c>
      <c r="F179" s="287"/>
      <c r="G179" s="287"/>
      <c r="H179" s="287"/>
      <c r="I179" s="287"/>
      <c r="J179" s="287"/>
      <c r="K179" s="287"/>
      <c r="L179" s="279"/>
      <c r="M179" s="47">
        <v>3</v>
      </c>
      <c r="N179" s="34"/>
      <c r="O179" s="35">
        <f t="shared" si="32"/>
        <v>0</v>
      </c>
      <c r="P179" s="54">
        <f t="shared" si="33"/>
        <v>0</v>
      </c>
      <c r="Q179" s="46"/>
      <c r="R179" s="34"/>
    </row>
    <row r="180" spans="1:18" ht="26.4" x14ac:dyDescent="0.3">
      <c r="A180" s="3" t="str">
        <f>'Selbstbeurteilung Kunde'!A184</f>
        <v>3.5.5.</v>
      </c>
      <c r="B180" s="6" t="str">
        <f>'Selbstbeurteilung Kunde'!C184</f>
        <v>Werden Vorgesetzte und Mitarbeitende über neue oder veränderte Arbeitsabläufe instruiert?</v>
      </c>
      <c r="C180" s="49">
        <f>IF(ISBLANK('Selbstbeurteilung Kunde'!D184),0,1)</f>
        <v>0</v>
      </c>
      <c r="D180" s="49" t="str">
        <f>IF(AND('Selbstbeurteilung Kunde'!D184="",'Selbstbeurteilung Kunde'!E184=""),"*","")</f>
        <v>*</v>
      </c>
      <c r="E180" s="50" t="str">
        <f>IF(ISBLANK('Selbstbeurteilung Kunde'!F184),"",'Selbstbeurteilung Kunde'!F184)</f>
        <v/>
      </c>
      <c r="F180" s="287"/>
      <c r="G180" s="287"/>
      <c r="H180" s="287"/>
      <c r="I180" s="287"/>
      <c r="J180" s="287"/>
      <c r="K180" s="287"/>
      <c r="L180" s="279"/>
      <c r="M180" s="47">
        <v>3</v>
      </c>
      <c r="N180" s="34"/>
      <c r="O180" s="35">
        <f t="shared" si="32"/>
        <v>0</v>
      </c>
      <c r="P180" s="54">
        <f t="shared" si="33"/>
        <v>0</v>
      </c>
      <c r="Q180" s="46"/>
      <c r="R180" s="34"/>
    </row>
    <row r="181" spans="1:18" ht="52.8" x14ac:dyDescent="0.3">
      <c r="A181" s="3" t="str">
        <f>'Selbstbeurteilung Kunde'!A185</f>
        <v>3.5.6.</v>
      </c>
      <c r="B181" s="6" t="str">
        <f>'Selbstbeurteilung Kunde'!C185</f>
        <v>Werden Vorgesetzte und Mitarbeitende über neue Arbeitsstoffe** instruiert?
**Arbeitsstoffe: Die bei der Arbeit eingesetzte Materie: fest, flüssig oder gasförmig.</v>
      </c>
      <c r="C181" s="49">
        <f>IF(ISBLANK('Selbstbeurteilung Kunde'!D185),0,1)</f>
        <v>0</v>
      </c>
      <c r="D181" s="49" t="str">
        <f>IF(AND('Selbstbeurteilung Kunde'!D185="",'Selbstbeurteilung Kunde'!E185=""),"*","")</f>
        <v>*</v>
      </c>
      <c r="E181" s="50" t="str">
        <f>IF(ISBLANK('Selbstbeurteilung Kunde'!F185),"",'Selbstbeurteilung Kunde'!F185)</f>
        <v/>
      </c>
      <c r="F181" s="287"/>
      <c r="G181" s="287"/>
      <c r="H181" s="287"/>
      <c r="I181" s="287"/>
      <c r="J181" s="287"/>
      <c r="K181" s="287"/>
      <c r="L181" s="279"/>
      <c r="M181" s="47">
        <v>3</v>
      </c>
      <c r="N181" s="34"/>
      <c r="O181" s="35">
        <f t="shared" si="32"/>
        <v>0</v>
      </c>
      <c r="P181" s="54">
        <f t="shared" si="33"/>
        <v>0</v>
      </c>
      <c r="Q181" s="46"/>
      <c r="R181" s="34"/>
    </row>
    <row r="182" spans="1:18" x14ac:dyDescent="0.3">
      <c r="A182" s="26" t="str">
        <f>'Selbstbeurteilung Kunde'!A186</f>
        <v>3.6.</v>
      </c>
      <c r="B182" s="27" t="str">
        <f>'Selbstbeurteilung Kunde'!B186</f>
        <v>Mitarbeiterbeurteilung</v>
      </c>
      <c r="C182" s="28">
        <f>O182/N182</f>
        <v>0</v>
      </c>
      <c r="D182" s="350"/>
      <c r="E182" s="37" t="str">
        <f>IF(ISBLANK('Selbstbeurteilung Kunde'!F186),"",'Selbstbeurteilung Kunde'!F186)</f>
        <v/>
      </c>
      <c r="F182" s="282"/>
      <c r="G182" s="282"/>
      <c r="H182" s="282"/>
      <c r="I182" s="282"/>
      <c r="J182" s="282"/>
      <c r="K182" s="282"/>
      <c r="L182" s="63">
        <f>P182/N182</f>
        <v>0</v>
      </c>
      <c r="M182" s="29">
        <v>1</v>
      </c>
      <c r="N182" s="29">
        <f>SUM(M183:M188)</f>
        <v>17</v>
      </c>
      <c r="O182" s="31">
        <f>SUM(O183:O188)</f>
        <v>0</v>
      </c>
      <c r="P182" s="31">
        <f>SUM(P183:P188)</f>
        <v>0</v>
      </c>
      <c r="Q182" s="65">
        <f>O182/$N182*$M182</f>
        <v>0</v>
      </c>
      <c r="R182" s="65">
        <f>P182/$N182*$M182</f>
        <v>0</v>
      </c>
    </row>
    <row r="183" spans="1:18" ht="26.4" x14ac:dyDescent="0.3">
      <c r="A183" s="3" t="str">
        <f>'Selbstbeurteilung Kunde'!A187</f>
        <v>3.6.1.</v>
      </c>
      <c r="B183" s="6" t="str">
        <f>'Selbstbeurteilung Kunde'!C187</f>
        <v>Verfügt Ihre Unternehmen über ein System zur Mitarbeiterbeurteilung?</v>
      </c>
      <c r="C183" s="49">
        <f>IF(ISBLANK('Selbstbeurteilung Kunde'!D187),0,1)</f>
        <v>0</v>
      </c>
      <c r="D183" s="49" t="str">
        <f>IF(AND('Selbstbeurteilung Kunde'!D187="",'Selbstbeurteilung Kunde'!E187=""),"*","")</f>
        <v>*</v>
      </c>
      <c r="E183" s="50" t="str">
        <f>IF(ISBLANK('Selbstbeurteilung Kunde'!F187),"",'Selbstbeurteilung Kunde'!F187)</f>
        <v/>
      </c>
      <c r="F183" s="287"/>
      <c r="G183" s="287"/>
      <c r="H183" s="287"/>
      <c r="I183" s="287"/>
      <c r="J183" s="287"/>
      <c r="K183" s="287"/>
      <c r="L183" s="279"/>
      <c r="M183" s="47">
        <v>3</v>
      </c>
      <c r="N183" s="34"/>
      <c r="O183" s="35">
        <f t="shared" ref="O183:O188" si="34">M183*C183</f>
        <v>0</v>
      </c>
      <c r="P183" s="54">
        <f t="shared" ref="P183:P188" si="35">L183*M183</f>
        <v>0</v>
      </c>
      <c r="Q183" s="46"/>
      <c r="R183" s="34"/>
    </row>
    <row r="184" spans="1:18" ht="26.4" x14ac:dyDescent="0.3">
      <c r="A184" s="3" t="str">
        <f>'Selbstbeurteilung Kunde'!A188</f>
        <v>3.6.2.</v>
      </c>
      <c r="B184" s="6" t="str">
        <f>'Selbstbeurteilung Kunde'!C188</f>
        <v>Ist sicheres Führungsverhalten Bestandteil der Beurteilung von Vorgesetzten?</v>
      </c>
      <c r="C184" s="49">
        <f>IF(ISBLANK('Selbstbeurteilung Kunde'!D188),0,1)</f>
        <v>0</v>
      </c>
      <c r="D184" s="49" t="str">
        <f>IF(AND('Selbstbeurteilung Kunde'!D188="",'Selbstbeurteilung Kunde'!E188=""),"*","")</f>
        <v>*</v>
      </c>
      <c r="E184" s="50" t="str">
        <f>IF(ISBLANK('Selbstbeurteilung Kunde'!F188),"",'Selbstbeurteilung Kunde'!F188)</f>
        <v/>
      </c>
      <c r="F184" s="290"/>
      <c r="G184" s="290"/>
      <c r="H184" s="290"/>
      <c r="I184" s="290"/>
      <c r="J184" s="290"/>
      <c r="K184" s="290"/>
      <c r="L184" s="279"/>
      <c r="M184" s="47">
        <v>4</v>
      </c>
      <c r="N184" s="34"/>
      <c r="O184" s="35">
        <f t="shared" si="34"/>
        <v>0</v>
      </c>
      <c r="P184" s="54">
        <f t="shared" si="35"/>
        <v>0</v>
      </c>
      <c r="Q184" s="46"/>
      <c r="R184" s="46"/>
    </row>
    <row r="185" spans="1:18" ht="39.6" x14ac:dyDescent="0.3">
      <c r="A185" s="3" t="str">
        <f>'Selbstbeurteilung Kunde'!A189</f>
        <v>3.6.3.</v>
      </c>
      <c r="B185" s="6" t="str">
        <f>'Selbstbeurteilung Kunde'!C189</f>
        <v>Haben ungenügende Führungsleistungen im Bereich Arbeitssicherheit Konsequenzen zur Folge? Wenn ja, welche?</v>
      </c>
      <c r="C185" s="49">
        <f>IF(ISBLANK('Selbstbeurteilung Kunde'!D189),0,1)</f>
        <v>0</v>
      </c>
      <c r="D185" s="49" t="str">
        <f>IF(AND('Selbstbeurteilung Kunde'!D189="",'Selbstbeurteilung Kunde'!E189=""),"*","")</f>
        <v>*</v>
      </c>
      <c r="E185" s="50" t="str">
        <f>IF(ISBLANK('Selbstbeurteilung Kunde'!F189),"",'Selbstbeurteilung Kunde'!F189)</f>
        <v/>
      </c>
      <c r="F185" s="287"/>
      <c r="G185" s="287"/>
      <c r="H185" s="287"/>
      <c r="I185" s="287"/>
      <c r="J185" s="287"/>
      <c r="K185" s="287"/>
      <c r="L185" s="279"/>
      <c r="M185" s="47">
        <v>3</v>
      </c>
      <c r="N185" s="34"/>
      <c r="O185" s="35">
        <f t="shared" si="34"/>
        <v>0</v>
      </c>
      <c r="P185" s="54">
        <f t="shared" si="35"/>
        <v>0</v>
      </c>
      <c r="Q185" s="46"/>
      <c r="R185" s="34"/>
    </row>
    <row r="186" spans="1:18" ht="26.4" x14ac:dyDescent="0.3">
      <c r="A186" s="3" t="str">
        <f>'Selbstbeurteilung Kunde'!A190</f>
        <v>3.6.4.</v>
      </c>
      <c r="B186" s="6" t="str">
        <f>'Selbstbeurteilung Kunde'!C190</f>
        <v>Ist sicheres Führungs- und Arbeitsverhalten ein entscheidendes Kriterium bei Beförderungen?</v>
      </c>
      <c r="C186" s="49">
        <f>IF(ISBLANK('Selbstbeurteilung Kunde'!D190),0,1)</f>
        <v>0</v>
      </c>
      <c r="D186" s="49" t="str">
        <f>IF(AND('Selbstbeurteilung Kunde'!D190="",'Selbstbeurteilung Kunde'!E190=""),"*","")</f>
        <v>*</v>
      </c>
      <c r="E186" s="50" t="str">
        <f>IF(ISBLANK('Selbstbeurteilung Kunde'!F190),"",'Selbstbeurteilung Kunde'!F190)</f>
        <v/>
      </c>
      <c r="F186" s="287"/>
      <c r="G186" s="287"/>
      <c r="H186" s="287"/>
      <c r="I186" s="287"/>
      <c r="J186" s="287"/>
      <c r="K186" s="287"/>
      <c r="L186" s="279"/>
      <c r="M186" s="47">
        <v>3</v>
      </c>
      <c r="N186" s="34"/>
      <c r="O186" s="35">
        <f t="shared" si="34"/>
        <v>0</v>
      </c>
      <c r="P186" s="54">
        <f t="shared" si="35"/>
        <v>0</v>
      </c>
      <c r="Q186" s="46"/>
      <c r="R186" s="34"/>
    </row>
    <row r="187" spans="1:18" ht="26.4" x14ac:dyDescent="0.3">
      <c r="A187" s="3" t="str">
        <f>'Selbstbeurteilung Kunde'!A191</f>
        <v>3.6.5.</v>
      </c>
      <c r="B187" s="6" t="str">
        <f>'Selbstbeurteilung Kunde'!C191</f>
        <v>Ist sicheres Arbeitsverhalten Bestandteil der Mitarbeiterbeurteilung?</v>
      </c>
      <c r="C187" s="49">
        <f>IF(ISBLANK('Selbstbeurteilung Kunde'!D191),0,1)</f>
        <v>0</v>
      </c>
      <c r="D187" s="49" t="str">
        <f>IF(AND('Selbstbeurteilung Kunde'!D191="",'Selbstbeurteilung Kunde'!E191=""),"*","")</f>
        <v>*</v>
      </c>
      <c r="E187" s="50" t="str">
        <f>IF(ISBLANK('Selbstbeurteilung Kunde'!F191),"",'Selbstbeurteilung Kunde'!F191)</f>
        <v/>
      </c>
      <c r="F187" s="287"/>
      <c r="G187" s="287"/>
      <c r="H187" s="287"/>
      <c r="I187" s="287"/>
      <c r="J187" s="287"/>
      <c r="K187" s="287"/>
      <c r="L187" s="279"/>
      <c r="M187" s="47">
        <v>2</v>
      </c>
      <c r="N187" s="34"/>
      <c r="O187" s="35">
        <f t="shared" si="34"/>
        <v>0</v>
      </c>
      <c r="P187" s="54">
        <f t="shared" si="35"/>
        <v>0</v>
      </c>
      <c r="Q187" s="46"/>
      <c r="R187" s="34"/>
    </row>
    <row r="188" spans="1:18" ht="26.4" x14ac:dyDescent="0.3">
      <c r="A188" s="3" t="str">
        <f>'Selbstbeurteilung Kunde'!A192</f>
        <v>3.6.6.</v>
      </c>
      <c r="B188" s="6" t="str">
        <f>'Selbstbeurteilung Kunde'!C192</f>
        <v>Hat unsicheres Arbeitsverhalten Konsequenzen zur Folge? Wenn ja, welche?</v>
      </c>
      <c r="C188" s="49">
        <f>IF(ISBLANK('Selbstbeurteilung Kunde'!D192),0,1)</f>
        <v>0</v>
      </c>
      <c r="D188" s="49" t="str">
        <f>IF(AND('Selbstbeurteilung Kunde'!D192="",'Selbstbeurteilung Kunde'!E192=""),"*","")</f>
        <v>*</v>
      </c>
      <c r="E188" s="50" t="str">
        <f>IF(ISBLANK('Selbstbeurteilung Kunde'!F192),"",'Selbstbeurteilung Kunde'!F192)</f>
        <v/>
      </c>
      <c r="F188" s="287"/>
      <c r="G188" s="287"/>
      <c r="H188" s="287"/>
      <c r="I188" s="287"/>
      <c r="J188" s="287"/>
      <c r="K188" s="287"/>
      <c r="L188" s="279"/>
      <c r="M188" s="47">
        <v>2</v>
      </c>
      <c r="N188" s="34"/>
      <c r="O188" s="35">
        <f t="shared" si="34"/>
        <v>0</v>
      </c>
      <c r="P188" s="54">
        <f t="shared" si="35"/>
        <v>0</v>
      </c>
      <c r="Q188" s="46"/>
      <c r="R188" s="34"/>
    </row>
    <row r="189" spans="1:18" x14ac:dyDescent="0.3">
      <c r="A189" s="26" t="str">
        <f>'Selbstbeurteilung Kunde'!A193</f>
        <v>3.7.</v>
      </c>
      <c r="B189" s="27" t="str">
        <f>'Selbstbeurteilung Kunde'!B193</f>
        <v>Informationskonzept</v>
      </c>
      <c r="C189" s="28">
        <f>O189/N189</f>
        <v>0</v>
      </c>
      <c r="D189" s="350"/>
      <c r="E189" s="37" t="str">
        <f>IF(ISBLANK('Selbstbeurteilung Kunde'!F193),"",'Selbstbeurteilung Kunde'!F193)</f>
        <v/>
      </c>
      <c r="F189" s="282"/>
      <c r="G189" s="282"/>
      <c r="H189" s="282"/>
      <c r="I189" s="282"/>
      <c r="J189" s="282"/>
      <c r="K189" s="282"/>
      <c r="L189" s="63">
        <f>P189/N189</f>
        <v>0</v>
      </c>
      <c r="M189" s="29">
        <v>1</v>
      </c>
      <c r="N189" s="29">
        <f>SUM(M190:M192)</f>
        <v>3</v>
      </c>
      <c r="O189" s="31">
        <f>SUM(O190:O192)</f>
        <v>0</v>
      </c>
      <c r="P189" s="31">
        <f>SUM(P190:P192)</f>
        <v>0</v>
      </c>
      <c r="Q189" s="65">
        <f>O189/$N189*$M189</f>
        <v>0</v>
      </c>
      <c r="R189" s="65">
        <f>P189/$N189*$M189</f>
        <v>0</v>
      </c>
    </row>
    <row r="190" spans="1:18" ht="26.4" x14ac:dyDescent="0.3">
      <c r="A190" s="3" t="str">
        <f>'Selbstbeurteilung Kunde'!A194</f>
        <v>3.7.1.</v>
      </c>
      <c r="B190" s="6" t="str">
        <f>'Selbstbeurteilung Kunde'!C194</f>
        <v>Besteht in Ihrem Unternehmen ein Informations- und Kommunikationskonzept?</v>
      </c>
      <c r="C190" s="49">
        <f>IF(ISBLANK('Selbstbeurteilung Kunde'!D194),0,1)</f>
        <v>0</v>
      </c>
      <c r="D190" s="49" t="str">
        <f>IF(AND('Selbstbeurteilung Kunde'!D194="",'Selbstbeurteilung Kunde'!E194=""),"*","")</f>
        <v>*</v>
      </c>
      <c r="E190" s="50" t="str">
        <f>IF(ISBLANK('Selbstbeurteilung Kunde'!F194),"",'Selbstbeurteilung Kunde'!F194)</f>
        <v/>
      </c>
      <c r="F190" s="287"/>
      <c r="G190" s="287"/>
      <c r="H190" s="287"/>
      <c r="I190" s="287"/>
      <c r="J190" s="287"/>
      <c r="K190" s="287"/>
      <c r="L190" s="279"/>
      <c r="M190" s="47">
        <v>3</v>
      </c>
      <c r="N190" s="34"/>
      <c r="O190" s="35">
        <f>C190*M190</f>
        <v>0</v>
      </c>
      <c r="P190" s="54">
        <f t="shared" ref="P190:P192" si="36">L190*M190</f>
        <v>0</v>
      </c>
      <c r="Q190" s="46"/>
      <c r="R190" s="34"/>
    </row>
    <row r="191" spans="1:18" ht="39.6" x14ac:dyDescent="0.3">
      <c r="A191" s="3" t="str">
        <f>'Selbstbeurteilung Kunde'!A195</f>
        <v>3.7.2.</v>
      </c>
      <c r="B191" s="6" t="str">
        <f>'Selbstbeurteilung Kunde'!C195</f>
        <v>Bestehen in Ihrem Unternehmen andere Regelungen oder Gewohnheiten bezüglich Information und Kommunikation? 
Wenn ja, welche?</v>
      </c>
      <c r="C191" s="49">
        <f>IF(ISBLANK('Selbstbeurteilung Kunde'!D195),0,1)</f>
        <v>0</v>
      </c>
      <c r="D191" s="49" t="str">
        <f>IF(AND('Selbstbeurteilung Kunde'!D195="",'Selbstbeurteilung Kunde'!E195=""),"*","")</f>
        <v>*</v>
      </c>
      <c r="E191" s="50" t="str">
        <f>IF(ISBLANK('Selbstbeurteilung Kunde'!F195),"",'Selbstbeurteilung Kunde'!F195)</f>
        <v/>
      </c>
      <c r="F191" s="287"/>
      <c r="G191" s="287"/>
      <c r="H191" s="287"/>
      <c r="I191" s="287"/>
      <c r="J191" s="287"/>
      <c r="K191" s="287"/>
      <c r="L191" s="279"/>
      <c r="M191" s="47">
        <v>0</v>
      </c>
      <c r="N191" s="34"/>
      <c r="O191" s="35">
        <f>C191*M191</f>
        <v>0</v>
      </c>
      <c r="P191" s="54">
        <f t="shared" si="36"/>
        <v>0</v>
      </c>
      <c r="Q191" s="46"/>
      <c r="R191" s="34"/>
    </row>
    <row r="192" spans="1:18" ht="39.6" x14ac:dyDescent="0.3">
      <c r="A192" s="3" t="str">
        <f>'Selbstbeurteilung Kunde'!A196</f>
        <v>3.7.3.</v>
      </c>
      <c r="B192" s="6" t="str">
        <f>'Selbstbeurteilung Kunde'!C196</f>
        <v>Ist in Ihrem Unternehmen eine Stelle oder Person mit Aufgaben der Information und Kommunikation beauftragt? Wenn ja, welche Stelle oder Person?</v>
      </c>
      <c r="C192" s="49">
        <f>IF(ISBLANK('Selbstbeurteilung Kunde'!D196),0,1)</f>
        <v>0</v>
      </c>
      <c r="D192" s="49" t="str">
        <f>IF(AND('Selbstbeurteilung Kunde'!D196="",'Selbstbeurteilung Kunde'!E196=""),"*","")</f>
        <v>*</v>
      </c>
      <c r="E192" s="50" t="str">
        <f>IF(ISBLANK('Selbstbeurteilung Kunde'!F196),"",'Selbstbeurteilung Kunde'!F196)</f>
        <v/>
      </c>
      <c r="F192" s="287"/>
      <c r="G192" s="287"/>
      <c r="H192" s="287"/>
      <c r="I192" s="287"/>
      <c r="J192" s="287"/>
      <c r="K192" s="287"/>
      <c r="L192" s="279"/>
      <c r="M192" s="47">
        <v>0</v>
      </c>
      <c r="N192" s="34"/>
      <c r="O192" s="35">
        <f>C192*M192</f>
        <v>0</v>
      </c>
      <c r="P192" s="54">
        <f t="shared" si="36"/>
        <v>0</v>
      </c>
      <c r="Q192" s="46"/>
      <c r="R192" s="34"/>
    </row>
    <row r="193" spans="1:18" x14ac:dyDescent="0.3">
      <c r="A193" s="26" t="str">
        <f>'Selbstbeurteilung Kunde'!A197</f>
        <v>3.8.</v>
      </c>
      <c r="B193" s="27" t="str">
        <f>'Selbstbeurteilung Kunde'!B197</f>
        <v>Kommunikation, Mittel und Anlässe</v>
      </c>
      <c r="C193" s="28">
        <f>O193/N193</f>
        <v>0</v>
      </c>
      <c r="D193" s="350"/>
      <c r="E193" s="37" t="str">
        <f>IF(ISBLANK('Selbstbeurteilung Kunde'!F197),"",'Selbstbeurteilung Kunde'!F197)</f>
        <v/>
      </c>
      <c r="F193" s="282"/>
      <c r="G193" s="282"/>
      <c r="H193" s="282"/>
      <c r="I193" s="282"/>
      <c r="J193" s="282"/>
      <c r="K193" s="282"/>
      <c r="L193" s="63">
        <f>P193/N193</f>
        <v>0</v>
      </c>
      <c r="M193" s="29">
        <v>0</v>
      </c>
      <c r="N193" s="29">
        <f>SUM(M194:M222)</f>
        <v>12</v>
      </c>
      <c r="O193" s="31">
        <f>SUM(O194:O222)</f>
        <v>0</v>
      </c>
      <c r="P193" s="31">
        <f>SUM(P194:P222)</f>
        <v>0</v>
      </c>
      <c r="Q193" s="65">
        <f>O193/$N193*$M193</f>
        <v>0</v>
      </c>
      <c r="R193" s="65">
        <f>P193/$N193*$M193</f>
        <v>0</v>
      </c>
    </row>
    <row r="194" spans="1:18" ht="52.8" x14ac:dyDescent="0.3">
      <c r="A194" s="3" t="str">
        <f>'Selbstbeurteilung Kunde'!A198</f>
        <v>3.8.1.a</v>
      </c>
      <c r="B194" s="6" t="str">
        <f>'Selbstbeurteilung Kunde'!C198</f>
        <v>Welche Informationsmittel und –anlässe werden im Unternehmen in Zusammenhang mit Sicherheit und Gesundheitsschutz benützt:
Spontane Gespräche?</v>
      </c>
      <c r="C194" s="49">
        <f>IF(ISBLANK('Selbstbeurteilung Kunde'!D198),0,1)</f>
        <v>0</v>
      </c>
      <c r="D194" s="49" t="str">
        <f>IF(AND('Selbstbeurteilung Kunde'!D198="",'Selbstbeurteilung Kunde'!E198=""),"*","")</f>
        <v>*</v>
      </c>
      <c r="E194" s="50" t="str">
        <f>IF(ISBLANK('Selbstbeurteilung Kunde'!F198),"",'Selbstbeurteilung Kunde'!F198)</f>
        <v/>
      </c>
      <c r="F194" s="287"/>
      <c r="G194" s="287"/>
      <c r="H194" s="287"/>
      <c r="I194" s="287"/>
      <c r="J194" s="287"/>
      <c r="K194" s="287"/>
      <c r="L194" s="279"/>
      <c r="M194" s="47">
        <v>1</v>
      </c>
      <c r="N194" s="34"/>
      <c r="O194" s="35">
        <f t="shared" ref="O194:O222" si="37">C194*M194</f>
        <v>0</v>
      </c>
      <c r="P194" s="54">
        <f t="shared" ref="P194:P222" si="38">L194*M194</f>
        <v>0</v>
      </c>
      <c r="Q194" s="46"/>
      <c r="R194" s="34"/>
    </row>
    <row r="195" spans="1:18" x14ac:dyDescent="0.3">
      <c r="A195" s="3" t="str">
        <f>'Selbstbeurteilung Kunde'!A199</f>
        <v>3.8.1.b</v>
      </c>
      <c r="B195" s="6" t="str">
        <f>'Selbstbeurteilung Kunde'!C199</f>
        <v>Mitarbeiterbesprechungen?</v>
      </c>
      <c r="C195" s="49">
        <f>IF(ISBLANK('Selbstbeurteilung Kunde'!D199),0,1)</f>
        <v>0</v>
      </c>
      <c r="D195" s="49" t="str">
        <f>IF(AND('Selbstbeurteilung Kunde'!D199="",'Selbstbeurteilung Kunde'!E199=""),"*","")</f>
        <v>*</v>
      </c>
      <c r="E195" s="50" t="str">
        <f>IF(ISBLANK('Selbstbeurteilung Kunde'!F199),"",'Selbstbeurteilung Kunde'!F199)</f>
        <v/>
      </c>
      <c r="F195" s="287"/>
      <c r="G195" s="287"/>
      <c r="H195" s="287"/>
      <c r="I195" s="287"/>
      <c r="J195" s="287"/>
      <c r="K195" s="287"/>
      <c r="L195" s="279"/>
      <c r="M195" s="47">
        <v>1</v>
      </c>
      <c r="N195" s="34"/>
      <c r="O195" s="35">
        <f t="shared" si="37"/>
        <v>0</v>
      </c>
      <c r="P195" s="54">
        <f t="shared" si="38"/>
        <v>0</v>
      </c>
      <c r="Q195" s="46"/>
      <c r="R195" s="34"/>
    </row>
    <row r="196" spans="1:18" x14ac:dyDescent="0.3">
      <c r="A196" s="3" t="str">
        <f>'Selbstbeurteilung Kunde'!A200</f>
        <v>3.8.1.c</v>
      </c>
      <c r="B196" s="6" t="str">
        <f>'Selbstbeurteilung Kunde'!C200</f>
        <v>Arbeitsbesprechungen?</v>
      </c>
      <c r="C196" s="49">
        <f>IF(ISBLANK('Selbstbeurteilung Kunde'!D200),0,1)</f>
        <v>0</v>
      </c>
      <c r="D196" s="49" t="str">
        <f>IF(AND('Selbstbeurteilung Kunde'!D200="",'Selbstbeurteilung Kunde'!E200=""),"*","")</f>
        <v>*</v>
      </c>
      <c r="E196" s="50" t="str">
        <f>IF(ISBLANK('Selbstbeurteilung Kunde'!F200),"",'Selbstbeurteilung Kunde'!F200)</f>
        <v/>
      </c>
      <c r="F196" s="287"/>
      <c r="G196" s="287"/>
      <c r="H196" s="287"/>
      <c r="I196" s="287"/>
      <c r="J196" s="287"/>
      <c r="K196" s="287"/>
      <c r="L196" s="279"/>
      <c r="M196" s="47">
        <v>0</v>
      </c>
      <c r="N196" s="34"/>
      <c r="O196" s="35">
        <f t="shared" si="37"/>
        <v>0</v>
      </c>
      <c r="P196" s="54">
        <f t="shared" si="38"/>
        <v>0</v>
      </c>
      <c r="Q196" s="46"/>
      <c r="R196" s="34"/>
    </row>
    <row r="197" spans="1:18" x14ac:dyDescent="0.3">
      <c r="A197" s="3" t="str">
        <f>'Selbstbeurteilung Kunde'!A201</f>
        <v>3.8.1.d</v>
      </c>
      <c r="B197" s="6" t="str">
        <f>'Selbstbeurteilung Kunde'!C201</f>
        <v>Auftragserteilungen?</v>
      </c>
      <c r="C197" s="49">
        <f>IF(ISBLANK('Selbstbeurteilung Kunde'!D201),0,1)</f>
        <v>0</v>
      </c>
      <c r="D197" s="49" t="str">
        <f>IF(AND('Selbstbeurteilung Kunde'!D201="",'Selbstbeurteilung Kunde'!E201=""),"*","")</f>
        <v>*</v>
      </c>
      <c r="E197" s="50" t="str">
        <f>IF(ISBLANK('Selbstbeurteilung Kunde'!F201),"",'Selbstbeurteilung Kunde'!F201)</f>
        <v/>
      </c>
      <c r="F197" s="287"/>
      <c r="G197" s="287"/>
      <c r="H197" s="287"/>
      <c r="I197" s="287"/>
      <c r="J197" s="287"/>
      <c r="K197" s="287"/>
      <c r="L197" s="279"/>
      <c r="M197" s="47">
        <v>1</v>
      </c>
      <c r="N197" s="34"/>
      <c r="O197" s="35">
        <f t="shared" si="37"/>
        <v>0</v>
      </c>
      <c r="P197" s="54">
        <f t="shared" si="38"/>
        <v>0</v>
      </c>
      <c r="Q197" s="46"/>
      <c r="R197" s="34"/>
    </row>
    <row r="198" spans="1:18" x14ac:dyDescent="0.3">
      <c r="A198" s="3" t="str">
        <f>'Selbstbeurteilung Kunde'!A202</f>
        <v>3.8.1.e</v>
      </c>
      <c r="B198" s="6" t="str">
        <f>'Selbstbeurteilung Kunde'!C202</f>
        <v>Arbeitsanleitungen?</v>
      </c>
      <c r="C198" s="49">
        <f>IF(ISBLANK('Selbstbeurteilung Kunde'!D202),0,1)</f>
        <v>0</v>
      </c>
      <c r="D198" s="49" t="str">
        <f>IF(AND('Selbstbeurteilung Kunde'!D202="",'Selbstbeurteilung Kunde'!E202=""),"*","")</f>
        <v>*</v>
      </c>
      <c r="E198" s="50" t="str">
        <f>IF(ISBLANK('Selbstbeurteilung Kunde'!F202),"",'Selbstbeurteilung Kunde'!F202)</f>
        <v/>
      </c>
      <c r="F198" s="290"/>
      <c r="G198" s="290"/>
      <c r="H198" s="290"/>
      <c r="I198" s="290"/>
      <c r="J198" s="290"/>
      <c r="K198" s="290"/>
      <c r="L198" s="279"/>
      <c r="M198" s="47">
        <v>1</v>
      </c>
      <c r="N198" s="34"/>
      <c r="O198" s="35">
        <f t="shared" si="37"/>
        <v>0</v>
      </c>
      <c r="P198" s="54">
        <f t="shared" si="38"/>
        <v>0</v>
      </c>
      <c r="Q198" s="46"/>
      <c r="R198" s="46"/>
    </row>
    <row r="199" spans="1:18" x14ac:dyDescent="0.3">
      <c r="A199" s="3" t="str">
        <f>'Selbstbeurteilung Kunde'!A203</f>
        <v>3.8.1.f</v>
      </c>
      <c r="B199" s="6" t="str">
        <f>'Selbstbeurteilung Kunde'!C203</f>
        <v>Arbeitsinstruktionen?</v>
      </c>
      <c r="C199" s="49">
        <f>IF(ISBLANK('Selbstbeurteilung Kunde'!D203),0,1)</f>
        <v>0</v>
      </c>
      <c r="D199" s="49" t="str">
        <f>IF(AND('Selbstbeurteilung Kunde'!D203="",'Selbstbeurteilung Kunde'!E203=""),"*","")</f>
        <v>*</v>
      </c>
      <c r="E199" s="50" t="str">
        <f>IF(ISBLANK('Selbstbeurteilung Kunde'!F203),"",'Selbstbeurteilung Kunde'!F203)</f>
        <v/>
      </c>
      <c r="F199" s="290"/>
      <c r="G199" s="290"/>
      <c r="H199" s="290"/>
      <c r="I199" s="290"/>
      <c r="J199" s="290"/>
      <c r="K199" s="290"/>
      <c r="L199" s="279"/>
      <c r="M199" s="47">
        <v>0</v>
      </c>
      <c r="N199" s="34"/>
      <c r="O199" s="35">
        <f t="shared" si="37"/>
        <v>0</v>
      </c>
      <c r="P199" s="54">
        <f t="shared" si="38"/>
        <v>0</v>
      </c>
      <c r="Q199" s="46"/>
      <c r="R199" s="46"/>
    </row>
    <row r="200" spans="1:18" x14ac:dyDescent="0.3">
      <c r="A200" s="3" t="str">
        <f>'Selbstbeurteilung Kunde'!A204</f>
        <v>3.8.1.g</v>
      </c>
      <c r="B200" s="6" t="str">
        <f>'Selbstbeurteilung Kunde'!C204</f>
        <v>Sicherheitsgespräche?</v>
      </c>
      <c r="C200" s="49">
        <f>IF(ISBLANK('Selbstbeurteilung Kunde'!D204),0,1)</f>
        <v>0</v>
      </c>
      <c r="D200" s="49" t="str">
        <f>IF(AND('Selbstbeurteilung Kunde'!D204="",'Selbstbeurteilung Kunde'!E204=""),"*","")</f>
        <v>*</v>
      </c>
      <c r="E200" s="50" t="str">
        <f>IF(ISBLANK('Selbstbeurteilung Kunde'!F204),"",'Selbstbeurteilung Kunde'!F204)</f>
        <v/>
      </c>
      <c r="F200" s="287"/>
      <c r="G200" s="287"/>
      <c r="H200" s="287"/>
      <c r="I200" s="287"/>
      <c r="J200" s="287"/>
      <c r="K200" s="287"/>
      <c r="L200" s="279"/>
      <c r="M200" s="47">
        <v>1</v>
      </c>
      <c r="N200" s="34"/>
      <c r="O200" s="35">
        <f t="shared" si="37"/>
        <v>0</v>
      </c>
      <c r="P200" s="54">
        <f t="shared" si="38"/>
        <v>0</v>
      </c>
      <c r="Q200" s="46"/>
      <c r="R200" s="34"/>
    </row>
    <row r="201" spans="1:18" x14ac:dyDescent="0.3">
      <c r="A201" s="3" t="str">
        <f>'Selbstbeurteilung Kunde'!A205</f>
        <v>3.8.1.h</v>
      </c>
      <c r="B201" s="6" t="str">
        <f>'Selbstbeurteilung Kunde'!C205</f>
        <v>ERFA-Gespräche?</v>
      </c>
      <c r="C201" s="49">
        <f>IF(ISBLANK('Selbstbeurteilung Kunde'!D205),0,1)</f>
        <v>0</v>
      </c>
      <c r="D201" s="49" t="str">
        <f>IF(AND('Selbstbeurteilung Kunde'!D205="",'Selbstbeurteilung Kunde'!E205=""),"*","")</f>
        <v>*</v>
      </c>
      <c r="E201" s="50" t="str">
        <f>IF(ISBLANK('Selbstbeurteilung Kunde'!F205),"",'Selbstbeurteilung Kunde'!F205)</f>
        <v/>
      </c>
      <c r="F201" s="290"/>
      <c r="G201" s="290"/>
      <c r="H201" s="290"/>
      <c r="I201" s="290"/>
      <c r="J201" s="290"/>
      <c r="K201" s="290"/>
      <c r="L201" s="279"/>
      <c r="M201" s="47">
        <v>0</v>
      </c>
      <c r="N201" s="34"/>
      <c r="O201" s="35">
        <f t="shared" si="37"/>
        <v>0</v>
      </c>
      <c r="P201" s="54">
        <f t="shared" si="38"/>
        <v>0</v>
      </c>
      <c r="Q201" s="46"/>
      <c r="R201" s="46"/>
    </row>
    <row r="202" spans="1:18" x14ac:dyDescent="0.3">
      <c r="A202" s="3" t="str">
        <f>'Selbstbeurteilung Kunde'!A206</f>
        <v>3.8.1.i</v>
      </c>
      <c r="B202" s="6" t="str">
        <f>'Selbstbeurteilung Kunde'!C206</f>
        <v>Schriftliche Arbeitsaufträge?</v>
      </c>
      <c r="C202" s="49">
        <f>IF(ISBLANK('Selbstbeurteilung Kunde'!D206),0,1)</f>
        <v>0</v>
      </c>
      <c r="D202" s="49" t="str">
        <f>IF(AND('Selbstbeurteilung Kunde'!D206="",'Selbstbeurteilung Kunde'!E206=""),"*","")</f>
        <v>*</v>
      </c>
      <c r="E202" s="50" t="str">
        <f>IF(ISBLANK('Selbstbeurteilung Kunde'!F206),"",'Selbstbeurteilung Kunde'!F206)</f>
        <v/>
      </c>
      <c r="F202" s="290"/>
      <c r="G202" s="290"/>
      <c r="H202" s="290"/>
      <c r="I202" s="290"/>
      <c r="J202" s="290"/>
      <c r="K202" s="290"/>
      <c r="L202" s="279"/>
      <c r="M202" s="47">
        <v>0</v>
      </c>
      <c r="N202" s="34"/>
      <c r="O202" s="35">
        <f t="shared" si="37"/>
        <v>0</v>
      </c>
      <c r="P202" s="54">
        <f t="shared" si="38"/>
        <v>0</v>
      </c>
      <c r="Q202" s="46"/>
      <c r="R202" s="34"/>
    </row>
    <row r="203" spans="1:18" x14ac:dyDescent="0.3">
      <c r="A203" s="3" t="str">
        <f>'Selbstbeurteilung Kunde'!A207</f>
        <v>3.8.1.j</v>
      </c>
      <c r="B203" s="6" t="str">
        <f>'Selbstbeurteilung Kunde'!C207</f>
        <v>Schriftliche Weisungen/Bestimmungen?</v>
      </c>
      <c r="C203" s="49">
        <f>IF(ISBLANK('Selbstbeurteilung Kunde'!D207),0,1)</f>
        <v>0</v>
      </c>
      <c r="D203" s="49" t="str">
        <f>IF(AND('Selbstbeurteilung Kunde'!D207="",'Selbstbeurteilung Kunde'!E207=""),"*","")</f>
        <v>*</v>
      </c>
      <c r="E203" s="50" t="str">
        <f>IF(ISBLANK('Selbstbeurteilung Kunde'!F207),"",'Selbstbeurteilung Kunde'!F207)</f>
        <v/>
      </c>
      <c r="F203" s="287"/>
      <c r="G203" s="287"/>
      <c r="H203" s="287"/>
      <c r="I203" s="287"/>
      <c r="J203" s="287"/>
      <c r="K203" s="287"/>
      <c r="L203" s="279"/>
      <c r="M203" s="47">
        <v>1</v>
      </c>
      <c r="N203" s="34"/>
      <c r="O203" s="35">
        <f t="shared" si="37"/>
        <v>0</v>
      </c>
      <c r="P203" s="54">
        <f t="shared" si="38"/>
        <v>0</v>
      </c>
      <c r="Q203" s="46"/>
      <c r="R203" s="34"/>
    </row>
    <row r="204" spans="1:18" x14ac:dyDescent="0.3">
      <c r="A204" s="3" t="str">
        <f>'Selbstbeurteilung Kunde'!A208</f>
        <v>3.8.1.k</v>
      </c>
      <c r="B204" s="6" t="str">
        <f>'Selbstbeurteilung Kunde'!C208</f>
        <v>Vorschriften/Normen?</v>
      </c>
      <c r="C204" s="49">
        <f>IF(ISBLANK('Selbstbeurteilung Kunde'!D208),0,1)</f>
        <v>0</v>
      </c>
      <c r="D204" s="49" t="str">
        <f>IF(AND('Selbstbeurteilung Kunde'!D208="",'Selbstbeurteilung Kunde'!E208=""),"*","")</f>
        <v>*</v>
      </c>
      <c r="E204" s="50" t="str">
        <f>IF(ISBLANK('Selbstbeurteilung Kunde'!F208),"",'Selbstbeurteilung Kunde'!F208)</f>
        <v/>
      </c>
      <c r="F204" s="287"/>
      <c r="G204" s="287"/>
      <c r="H204" s="287"/>
      <c r="I204" s="287"/>
      <c r="J204" s="287"/>
      <c r="K204" s="287"/>
      <c r="L204" s="279"/>
      <c r="M204" s="47">
        <v>1</v>
      </c>
      <c r="N204" s="34"/>
      <c r="O204" s="35">
        <f t="shared" si="37"/>
        <v>0</v>
      </c>
      <c r="P204" s="54">
        <f t="shared" si="38"/>
        <v>0</v>
      </c>
      <c r="Q204" s="46"/>
      <c r="R204" s="34"/>
    </row>
    <row r="205" spans="1:18" x14ac:dyDescent="0.3">
      <c r="A205" s="3" t="str">
        <f>'Selbstbeurteilung Kunde'!A209</f>
        <v>3.8.1.l</v>
      </c>
      <c r="B205" s="6" t="str">
        <f>'Selbstbeurteilung Kunde'!C209</f>
        <v>Schriftliche Anleitungen/Anweisungen?</v>
      </c>
      <c r="C205" s="49">
        <f>IF(ISBLANK('Selbstbeurteilung Kunde'!D209),0,1)</f>
        <v>0</v>
      </c>
      <c r="D205" s="49" t="str">
        <f>IF(AND('Selbstbeurteilung Kunde'!D209="",'Selbstbeurteilung Kunde'!E209=""),"*","")</f>
        <v>*</v>
      </c>
      <c r="E205" s="50" t="str">
        <f>IF(ISBLANK('Selbstbeurteilung Kunde'!F209),"",'Selbstbeurteilung Kunde'!F209)</f>
        <v/>
      </c>
      <c r="F205" s="287"/>
      <c r="G205" s="287"/>
      <c r="H205" s="287"/>
      <c r="I205" s="287"/>
      <c r="J205" s="287"/>
      <c r="K205" s="287"/>
      <c r="L205" s="279"/>
      <c r="M205" s="47">
        <v>1</v>
      </c>
      <c r="N205" s="34"/>
      <c r="O205" s="35">
        <f t="shared" si="37"/>
        <v>0</v>
      </c>
      <c r="P205" s="54">
        <f t="shared" si="38"/>
        <v>0</v>
      </c>
      <c r="Q205" s="46"/>
      <c r="R205" s="34"/>
    </row>
    <row r="206" spans="1:18" x14ac:dyDescent="0.3">
      <c r="A206" s="3" t="str">
        <f>'Selbstbeurteilung Kunde'!A210</f>
        <v>3.8.1.m</v>
      </c>
      <c r="B206" s="6" t="str">
        <f>'Selbstbeurteilung Kunde'!C210</f>
        <v>Broschüren?</v>
      </c>
      <c r="C206" s="49">
        <f>IF(ISBLANK('Selbstbeurteilung Kunde'!D210),0,1)</f>
        <v>0</v>
      </c>
      <c r="D206" s="49" t="str">
        <f>IF(AND('Selbstbeurteilung Kunde'!D210="",'Selbstbeurteilung Kunde'!E210=""),"*","")</f>
        <v>*</v>
      </c>
      <c r="E206" s="50" t="str">
        <f>IF(ISBLANK('Selbstbeurteilung Kunde'!F210),"",'Selbstbeurteilung Kunde'!F210)</f>
        <v/>
      </c>
      <c r="F206" s="287"/>
      <c r="G206" s="287"/>
      <c r="H206" s="287"/>
      <c r="I206" s="287"/>
      <c r="J206" s="287"/>
      <c r="K206" s="287"/>
      <c r="L206" s="279"/>
      <c r="M206" s="47">
        <v>0</v>
      </c>
      <c r="N206" s="34"/>
      <c r="O206" s="35">
        <f t="shared" si="37"/>
        <v>0</v>
      </c>
      <c r="P206" s="54">
        <f t="shared" si="38"/>
        <v>0</v>
      </c>
      <c r="Q206" s="46"/>
      <c r="R206" s="34"/>
    </row>
    <row r="207" spans="1:18" x14ac:dyDescent="0.3">
      <c r="A207" s="3" t="str">
        <f>'Selbstbeurteilung Kunde'!A211</f>
        <v>3.8.1.n</v>
      </c>
      <c r="B207" s="6" t="str">
        <f>'Selbstbeurteilung Kunde'!C211</f>
        <v>Merkblätter?</v>
      </c>
      <c r="C207" s="49">
        <f>IF(ISBLANK('Selbstbeurteilung Kunde'!D211),0,1)</f>
        <v>0</v>
      </c>
      <c r="D207" s="49" t="str">
        <f>IF(AND('Selbstbeurteilung Kunde'!D211="",'Selbstbeurteilung Kunde'!E211=""),"*","")</f>
        <v>*</v>
      </c>
      <c r="E207" s="50" t="str">
        <f>IF(ISBLANK('Selbstbeurteilung Kunde'!F211),"",'Selbstbeurteilung Kunde'!F211)</f>
        <v/>
      </c>
      <c r="F207" s="287"/>
      <c r="G207" s="287"/>
      <c r="H207" s="287"/>
      <c r="I207" s="287"/>
      <c r="J207" s="287"/>
      <c r="K207" s="287"/>
      <c r="L207" s="279"/>
      <c r="M207" s="47">
        <v>1</v>
      </c>
      <c r="N207" s="34"/>
      <c r="O207" s="35">
        <f t="shared" si="37"/>
        <v>0</v>
      </c>
      <c r="P207" s="54">
        <f t="shared" si="38"/>
        <v>0</v>
      </c>
      <c r="Q207" s="46"/>
      <c r="R207" s="34"/>
    </row>
    <row r="208" spans="1:18" x14ac:dyDescent="0.3">
      <c r="A208" s="3" t="str">
        <f>'Selbstbeurteilung Kunde'!A212</f>
        <v>3.8.1.o</v>
      </c>
      <c r="B208" s="6" t="str">
        <f>'Selbstbeurteilung Kunde'!C212</f>
        <v>Rundschreiben?</v>
      </c>
      <c r="C208" s="49">
        <f>IF(ISBLANK('Selbstbeurteilung Kunde'!D212),0,1)</f>
        <v>0</v>
      </c>
      <c r="D208" s="49" t="str">
        <f>IF(AND('Selbstbeurteilung Kunde'!D212="",'Selbstbeurteilung Kunde'!E212=""),"*","")</f>
        <v>*</v>
      </c>
      <c r="E208" s="50" t="str">
        <f>IF(ISBLANK('Selbstbeurteilung Kunde'!F212),"",'Selbstbeurteilung Kunde'!F212)</f>
        <v/>
      </c>
      <c r="F208" s="287"/>
      <c r="G208" s="287"/>
      <c r="H208" s="287"/>
      <c r="I208" s="287"/>
      <c r="J208" s="287"/>
      <c r="K208" s="287"/>
      <c r="L208" s="279"/>
      <c r="M208" s="47">
        <v>1</v>
      </c>
      <c r="N208" s="34"/>
      <c r="O208" s="35">
        <f t="shared" si="37"/>
        <v>0</v>
      </c>
      <c r="P208" s="54">
        <f t="shared" si="38"/>
        <v>0</v>
      </c>
      <c r="Q208" s="46"/>
      <c r="R208" s="34"/>
    </row>
    <row r="209" spans="1:18" x14ac:dyDescent="0.3">
      <c r="A209" s="3" t="str">
        <f>'Selbstbeurteilung Kunde'!A213</f>
        <v>3.8.1.p</v>
      </c>
      <c r="B209" s="6" t="str">
        <f>'Selbstbeurteilung Kunde'!C213</f>
        <v>Persönliche Briefe?</v>
      </c>
      <c r="C209" s="49">
        <f>IF(ISBLANK('Selbstbeurteilung Kunde'!D213),0,1)</f>
        <v>0</v>
      </c>
      <c r="D209" s="49" t="str">
        <f>IF(AND('Selbstbeurteilung Kunde'!D213="",'Selbstbeurteilung Kunde'!E213=""),"*","")</f>
        <v>*</v>
      </c>
      <c r="E209" s="50" t="str">
        <f>IF(ISBLANK('Selbstbeurteilung Kunde'!F213),"",'Selbstbeurteilung Kunde'!F213)</f>
        <v/>
      </c>
      <c r="F209" s="287"/>
      <c r="G209" s="287"/>
      <c r="H209" s="287"/>
      <c r="I209" s="287"/>
      <c r="J209" s="287"/>
      <c r="K209" s="287"/>
      <c r="L209" s="279"/>
      <c r="M209" s="47">
        <v>0</v>
      </c>
      <c r="N209" s="34"/>
      <c r="O209" s="35">
        <f t="shared" si="37"/>
        <v>0</v>
      </c>
      <c r="P209" s="54">
        <f t="shared" si="38"/>
        <v>0</v>
      </c>
      <c r="Q209" s="46"/>
      <c r="R209" s="34"/>
    </row>
    <row r="210" spans="1:18" x14ac:dyDescent="0.3">
      <c r="A210" s="3" t="str">
        <f>'Selbstbeurteilung Kunde'!A214</f>
        <v>3.8.1.q</v>
      </c>
      <c r="B210" s="6" t="str">
        <f>'Selbstbeurteilung Kunde'!C214</f>
        <v>Firmenzeitschrift?</v>
      </c>
      <c r="C210" s="49">
        <f>IF(ISBLANK('Selbstbeurteilung Kunde'!D214),0,1)</f>
        <v>0</v>
      </c>
      <c r="D210" s="49" t="str">
        <f>IF(AND('Selbstbeurteilung Kunde'!D214="",'Selbstbeurteilung Kunde'!E214=""),"*","")</f>
        <v>*</v>
      </c>
      <c r="E210" s="50" t="str">
        <f>IF(ISBLANK('Selbstbeurteilung Kunde'!F214),"",'Selbstbeurteilung Kunde'!F214)</f>
        <v/>
      </c>
      <c r="F210" s="287"/>
      <c r="G210" s="287"/>
      <c r="H210" s="287"/>
      <c r="I210" s="287"/>
      <c r="J210" s="287"/>
      <c r="K210" s="287"/>
      <c r="L210" s="279"/>
      <c r="M210" s="47">
        <v>0</v>
      </c>
      <c r="N210" s="34"/>
      <c r="O210" s="35">
        <f t="shared" si="37"/>
        <v>0</v>
      </c>
      <c r="P210" s="54">
        <f t="shared" si="38"/>
        <v>0</v>
      </c>
      <c r="Q210" s="46"/>
      <c r="R210" s="34"/>
    </row>
    <row r="211" spans="1:18" x14ac:dyDescent="0.3">
      <c r="A211" s="3" t="str">
        <f>'Selbstbeurteilung Kunde'!A215</f>
        <v>3.8.1.r</v>
      </c>
      <c r="B211" s="6" t="str">
        <f>'Selbstbeurteilung Kunde'!C215</f>
        <v>Personalzeitschrift?</v>
      </c>
      <c r="C211" s="49">
        <f>IF(ISBLANK('Selbstbeurteilung Kunde'!D215),0,1)</f>
        <v>0</v>
      </c>
      <c r="D211" s="49" t="str">
        <f>IF(AND('Selbstbeurteilung Kunde'!D215="",'Selbstbeurteilung Kunde'!E215=""),"*","")</f>
        <v>*</v>
      </c>
      <c r="E211" s="50" t="str">
        <f>IF(ISBLANK('Selbstbeurteilung Kunde'!F215),"",'Selbstbeurteilung Kunde'!F215)</f>
        <v/>
      </c>
      <c r="F211" s="287"/>
      <c r="G211" s="287"/>
      <c r="H211" s="287"/>
      <c r="I211" s="287"/>
      <c r="J211" s="287"/>
      <c r="K211" s="287"/>
      <c r="L211" s="279"/>
      <c r="M211" s="47">
        <v>1</v>
      </c>
      <c r="N211" s="34"/>
      <c r="O211" s="35">
        <f t="shared" si="37"/>
        <v>0</v>
      </c>
      <c r="P211" s="54">
        <f t="shared" si="38"/>
        <v>0</v>
      </c>
      <c r="Q211" s="46"/>
      <c r="R211" s="34"/>
    </row>
    <row r="212" spans="1:18" x14ac:dyDescent="0.3">
      <c r="A212" s="3" t="str">
        <f>'Selbstbeurteilung Kunde'!A216</f>
        <v>3.8.1.s</v>
      </c>
      <c r="B212" s="6" t="str">
        <f>'Selbstbeurteilung Kunde'!C216</f>
        <v>Fachzeitschriften?</v>
      </c>
      <c r="C212" s="49">
        <f>IF(ISBLANK('Selbstbeurteilung Kunde'!D216),0,1)</f>
        <v>0</v>
      </c>
      <c r="D212" s="49" t="str">
        <f>IF(AND('Selbstbeurteilung Kunde'!D216="",'Selbstbeurteilung Kunde'!E216=""),"*","")</f>
        <v>*</v>
      </c>
      <c r="E212" s="50" t="str">
        <f>IF(ISBLANK('Selbstbeurteilung Kunde'!F216),"",'Selbstbeurteilung Kunde'!F216)</f>
        <v/>
      </c>
      <c r="F212" s="287"/>
      <c r="G212" s="287"/>
      <c r="H212" s="287"/>
      <c r="I212" s="287"/>
      <c r="J212" s="287"/>
      <c r="K212" s="287"/>
      <c r="L212" s="279"/>
      <c r="M212" s="47">
        <v>0</v>
      </c>
      <c r="N212" s="34"/>
      <c r="O212" s="35">
        <f t="shared" si="37"/>
        <v>0</v>
      </c>
      <c r="P212" s="54">
        <f t="shared" si="38"/>
        <v>0</v>
      </c>
      <c r="Q212" s="46"/>
      <c r="R212" s="34"/>
    </row>
    <row r="213" spans="1:18" x14ac:dyDescent="0.3">
      <c r="A213" s="3" t="str">
        <f>'Selbstbeurteilung Kunde'!A217</f>
        <v>3.8.1.t</v>
      </c>
      <c r="B213" s="6" t="str">
        <f>'Selbstbeurteilung Kunde'!C217</f>
        <v>Bibliothek?</v>
      </c>
      <c r="C213" s="49">
        <f>IF(ISBLANK('Selbstbeurteilung Kunde'!D217),0,1)</f>
        <v>0</v>
      </c>
      <c r="D213" s="49" t="str">
        <f>IF(AND('Selbstbeurteilung Kunde'!D217="",'Selbstbeurteilung Kunde'!E217=""),"*","")</f>
        <v>*</v>
      </c>
      <c r="E213" s="50" t="str">
        <f>IF(ISBLANK('Selbstbeurteilung Kunde'!F217),"",'Selbstbeurteilung Kunde'!F217)</f>
        <v/>
      </c>
      <c r="F213" s="287"/>
      <c r="G213" s="287"/>
      <c r="H213" s="287"/>
      <c r="I213" s="287"/>
      <c r="J213" s="287"/>
      <c r="K213" s="287"/>
      <c r="L213" s="279"/>
      <c r="M213" s="47">
        <v>0</v>
      </c>
      <c r="N213" s="34"/>
      <c r="O213" s="35">
        <f t="shared" si="37"/>
        <v>0</v>
      </c>
      <c r="P213" s="54">
        <f t="shared" si="38"/>
        <v>0</v>
      </c>
      <c r="Q213" s="46"/>
      <c r="R213" s="34"/>
    </row>
    <row r="214" spans="1:18" x14ac:dyDescent="0.3">
      <c r="A214" s="3" t="str">
        <f>'Selbstbeurteilung Kunde'!A218</f>
        <v>3.8.1.u</v>
      </c>
      <c r="B214" s="6" t="str">
        <f>'Selbstbeurteilung Kunde'!C218</f>
        <v>Jahresberichte?</v>
      </c>
      <c r="C214" s="49">
        <f>IF(ISBLANK('Selbstbeurteilung Kunde'!D218),0,1)</f>
        <v>0</v>
      </c>
      <c r="D214" s="49" t="str">
        <f>IF(AND('Selbstbeurteilung Kunde'!D218="",'Selbstbeurteilung Kunde'!E218=""),"*","")</f>
        <v>*</v>
      </c>
      <c r="E214" s="50" t="str">
        <f>IF(ISBLANK('Selbstbeurteilung Kunde'!F218),"",'Selbstbeurteilung Kunde'!F218)</f>
        <v/>
      </c>
      <c r="F214" s="290"/>
      <c r="G214" s="290"/>
      <c r="H214" s="290"/>
      <c r="I214" s="290"/>
      <c r="J214" s="290"/>
      <c r="K214" s="290"/>
      <c r="L214" s="279"/>
      <c r="M214" s="47">
        <v>1</v>
      </c>
      <c r="N214" s="34"/>
      <c r="O214" s="35">
        <f t="shared" si="37"/>
        <v>0</v>
      </c>
      <c r="P214" s="54">
        <f t="shared" si="38"/>
        <v>0</v>
      </c>
      <c r="Q214" s="46"/>
      <c r="R214" s="34"/>
    </row>
    <row r="215" spans="1:18" x14ac:dyDescent="0.3">
      <c r="A215" s="3" t="str">
        <f>'Selbstbeurteilung Kunde'!A219</f>
        <v>3.8.1.v</v>
      </c>
      <c r="B215" s="6" t="str">
        <f>'Selbstbeurteilung Kunde'!C219</f>
        <v>Mitarbeiterbefragungen?</v>
      </c>
      <c r="C215" s="49">
        <f>IF(ISBLANK('Selbstbeurteilung Kunde'!D219),0,1)</f>
        <v>0</v>
      </c>
      <c r="D215" s="49" t="str">
        <f>IF(AND('Selbstbeurteilung Kunde'!D219="",'Selbstbeurteilung Kunde'!E219=""),"*","")</f>
        <v>*</v>
      </c>
      <c r="E215" s="50" t="str">
        <f>IF(ISBLANK('Selbstbeurteilung Kunde'!F219),"",'Selbstbeurteilung Kunde'!F219)</f>
        <v/>
      </c>
      <c r="F215" s="287"/>
      <c r="G215" s="287"/>
      <c r="H215" s="287"/>
      <c r="I215" s="287"/>
      <c r="J215" s="287"/>
      <c r="K215" s="287"/>
      <c r="L215" s="279"/>
      <c r="M215" s="47">
        <v>0</v>
      </c>
      <c r="N215" s="34"/>
      <c r="O215" s="35">
        <f t="shared" si="37"/>
        <v>0</v>
      </c>
      <c r="P215" s="54">
        <f t="shared" si="38"/>
        <v>0</v>
      </c>
      <c r="Q215" s="46"/>
      <c r="R215" s="34"/>
    </row>
    <row r="216" spans="1:18" x14ac:dyDescent="0.3">
      <c r="A216" s="3" t="str">
        <f>'Selbstbeurteilung Kunde'!A220</f>
        <v>3.8.1.w</v>
      </c>
      <c r="B216" s="6" t="str">
        <f>'Selbstbeurteilung Kunde'!C220</f>
        <v>Internet?</v>
      </c>
      <c r="C216" s="49">
        <f>IF(ISBLANK('Selbstbeurteilung Kunde'!D220),0,1)</f>
        <v>0</v>
      </c>
      <c r="D216" s="49" t="str">
        <f>IF(AND('Selbstbeurteilung Kunde'!D220="",'Selbstbeurteilung Kunde'!E220=""),"*","")</f>
        <v>*</v>
      </c>
      <c r="E216" s="50" t="str">
        <f>IF(ISBLANK('Selbstbeurteilung Kunde'!F220),"",'Selbstbeurteilung Kunde'!F220)</f>
        <v/>
      </c>
      <c r="F216" s="287"/>
      <c r="G216" s="287"/>
      <c r="H216" s="287"/>
      <c r="I216" s="287"/>
      <c r="J216" s="287"/>
      <c r="K216" s="287"/>
      <c r="L216" s="279"/>
      <c r="M216" s="47">
        <v>0</v>
      </c>
      <c r="N216" s="34"/>
      <c r="O216" s="35">
        <f t="shared" si="37"/>
        <v>0</v>
      </c>
      <c r="P216" s="54">
        <f t="shared" si="38"/>
        <v>0</v>
      </c>
      <c r="Q216" s="46"/>
      <c r="R216" s="34"/>
    </row>
    <row r="217" spans="1:18" x14ac:dyDescent="0.3">
      <c r="A217" s="3" t="str">
        <f>'Selbstbeurteilung Kunde'!A221</f>
        <v>3.8.1.x</v>
      </c>
      <c r="B217" s="6" t="str">
        <f>'Selbstbeurteilung Kunde'!C221</f>
        <v>Intranet?</v>
      </c>
      <c r="C217" s="49">
        <f>IF(ISBLANK('Selbstbeurteilung Kunde'!D221),0,1)</f>
        <v>0</v>
      </c>
      <c r="D217" s="49" t="str">
        <f>IF(AND('Selbstbeurteilung Kunde'!D221="",'Selbstbeurteilung Kunde'!E221=""),"*","")</f>
        <v>*</v>
      </c>
      <c r="E217" s="50" t="str">
        <f>IF(ISBLANK('Selbstbeurteilung Kunde'!F221),"",'Selbstbeurteilung Kunde'!F221)</f>
        <v/>
      </c>
      <c r="F217" s="287"/>
      <c r="G217" s="287"/>
      <c r="H217" s="287"/>
      <c r="I217" s="287"/>
      <c r="J217" s="287"/>
      <c r="K217" s="287"/>
      <c r="L217" s="279"/>
      <c r="M217" s="47">
        <v>0</v>
      </c>
      <c r="N217" s="34"/>
      <c r="O217" s="35">
        <f t="shared" si="37"/>
        <v>0</v>
      </c>
      <c r="P217" s="54">
        <f t="shared" si="38"/>
        <v>0</v>
      </c>
      <c r="Q217" s="46"/>
      <c r="R217" s="34"/>
    </row>
    <row r="218" spans="1:18" x14ac:dyDescent="0.3">
      <c r="A218" s="3" t="str">
        <f>'Selbstbeurteilung Kunde'!A222</f>
        <v>3.8.1.y</v>
      </c>
      <c r="B218" s="6" t="str">
        <f>'Selbstbeurteilung Kunde'!C222</f>
        <v>E-Mails?</v>
      </c>
      <c r="C218" s="49">
        <f>IF(ISBLANK('Selbstbeurteilung Kunde'!D222),0,1)</f>
        <v>0</v>
      </c>
      <c r="D218" s="49" t="str">
        <f>IF(AND('Selbstbeurteilung Kunde'!D222="",'Selbstbeurteilung Kunde'!E222=""),"*","")</f>
        <v>*</v>
      </c>
      <c r="E218" s="50" t="str">
        <f>IF(ISBLANK('Selbstbeurteilung Kunde'!F222),"",'Selbstbeurteilung Kunde'!F222)</f>
        <v/>
      </c>
      <c r="F218" s="287"/>
      <c r="G218" s="287"/>
      <c r="H218" s="287"/>
      <c r="I218" s="287"/>
      <c r="J218" s="287"/>
      <c r="K218" s="287"/>
      <c r="L218" s="279"/>
      <c r="M218" s="47">
        <v>0</v>
      </c>
      <c r="N218" s="34"/>
      <c r="O218" s="35">
        <f t="shared" si="37"/>
        <v>0</v>
      </c>
      <c r="P218" s="54">
        <f t="shared" si="38"/>
        <v>0</v>
      </c>
      <c r="Q218" s="46"/>
      <c r="R218" s="34"/>
    </row>
    <row r="219" spans="1:18" x14ac:dyDescent="0.3">
      <c r="A219" s="3" t="str">
        <f>'Selbstbeurteilung Kunde'!A223</f>
        <v>3.8.1.z</v>
      </c>
      <c r="B219" s="6" t="str">
        <f>'Selbstbeurteilung Kunde'!C223</f>
        <v>Software?</v>
      </c>
      <c r="C219" s="49">
        <f>IF(ISBLANK('Selbstbeurteilung Kunde'!D223),0,1)</f>
        <v>0</v>
      </c>
      <c r="D219" s="49" t="str">
        <f>IF(AND('Selbstbeurteilung Kunde'!D223="",'Selbstbeurteilung Kunde'!E223=""),"*","")</f>
        <v>*</v>
      </c>
      <c r="E219" s="50" t="str">
        <f>IF(ISBLANK('Selbstbeurteilung Kunde'!F223),"",'Selbstbeurteilung Kunde'!F223)</f>
        <v/>
      </c>
      <c r="F219" s="290"/>
      <c r="G219" s="290"/>
      <c r="H219" s="290"/>
      <c r="I219" s="290"/>
      <c r="J219" s="290"/>
      <c r="K219" s="290"/>
      <c r="L219" s="279"/>
      <c r="M219" s="47">
        <v>0</v>
      </c>
      <c r="N219" s="34"/>
      <c r="O219" s="35">
        <f t="shared" si="37"/>
        <v>0</v>
      </c>
      <c r="P219" s="54">
        <f t="shared" si="38"/>
        <v>0</v>
      </c>
      <c r="Q219" s="46"/>
      <c r="R219" s="34"/>
    </row>
    <row r="220" spans="1:18" x14ac:dyDescent="0.3">
      <c r="A220" s="3" t="str">
        <f>'Selbstbeurteilung Kunde'!A224</f>
        <v>3.8.1.aa</v>
      </c>
      <c r="B220" s="6" t="str">
        <f>'Selbstbeurteilung Kunde'!C224</f>
        <v>Modelle?</v>
      </c>
      <c r="C220" s="49">
        <f>IF(ISBLANK('Selbstbeurteilung Kunde'!D224),0,1)</f>
        <v>0</v>
      </c>
      <c r="D220" s="49" t="str">
        <f>IF(AND('Selbstbeurteilung Kunde'!D224="",'Selbstbeurteilung Kunde'!E224=""),"*","")</f>
        <v>*</v>
      </c>
      <c r="E220" s="50" t="str">
        <f>IF(ISBLANK('Selbstbeurteilung Kunde'!F224),"",'Selbstbeurteilung Kunde'!F224)</f>
        <v/>
      </c>
      <c r="F220" s="287"/>
      <c r="G220" s="287"/>
      <c r="H220" s="287"/>
      <c r="I220" s="287"/>
      <c r="J220" s="287"/>
      <c r="K220" s="287"/>
      <c r="L220" s="279"/>
      <c r="M220" s="47">
        <v>0</v>
      </c>
      <c r="N220" s="34"/>
      <c r="O220" s="35">
        <f t="shared" si="37"/>
        <v>0</v>
      </c>
      <c r="P220" s="54">
        <f t="shared" si="38"/>
        <v>0</v>
      </c>
      <c r="Q220" s="46"/>
      <c r="R220" s="34"/>
    </row>
    <row r="221" spans="1:18" x14ac:dyDescent="0.3">
      <c r="A221" s="3" t="str">
        <f>'Selbstbeurteilung Kunde'!A225</f>
        <v>3.8.1.bb</v>
      </c>
      <c r="B221" s="6" t="str">
        <f>'Selbstbeurteilung Kunde'!C225</f>
        <v>Muster?</v>
      </c>
      <c r="C221" s="49">
        <f>IF(ISBLANK('Selbstbeurteilung Kunde'!D225),0,1)</f>
        <v>0</v>
      </c>
      <c r="D221" s="49" t="str">
        <f>IF(AND('Selbstbeurteilung Kunde'!D225="",'Selbstbeurteilung Kunde'!E225=""),"*","")</f>
        <v>*</v>
      </c>
      <c r="E221" s="50" t="str">
        <f>IF(ISBLANK('Selbstbeurteilung Kunde'!F225),"",'Selbstbeurteilung Kunde'!F225)</f>
        <v/>
      </c>
      <c r="F221" s="291"/>
      <c r="G221" s="291"/>
      <c r="H221" s="291"/>
      <c r="I221" s="291"/>
      <c r="J221" s="291"/>
      <c r="K221" s="291"/>
      <c r="L221" s="279"/>
      <c r="M221" s="47">
        <v>0</v>
      </c>
      <c r="N221" s="34"/>
      <c r="O221" s="35">
        <f t="shared" si="37"/>
        <v>0</v>
      </c>
      <c r="P221" s="54">
        <f t="shared" si="38"/>
        <v>0</v>
      </c>
      <c r="Q221" s="46"/>
      <c r="R221" s="46"/>
    </row>
    <row r="222" spans="1:18" x14ac:dyDescent="0.3">
      <c r="A222" s="3" t="str">
        <f>'Selbstbeurteilung Kunde'!A226</f>
        <v>3.8.1.cc</v>
      </c>
      <c r="B222" s="6" t="str">
        <f>'Selbstbeurteilung Kunde'!C226</f>
        <v>Ausstellungen?</v>
      </c>
      <c r="C222" s="49">
        <f>IF(ISBLANK('Selbstbeurteilung Kunde'!D226),0,1)</f>
        <v>0</v>
      </c>
      <c r="D222" s="49" t="str">
        <f>IF(AND('Selbstbeurteilung Kunde'!D226="",'Selbstbeurteilung Kunde'!E226=""),"*","")</f>
        <v>*</v>
      </c>
      <c r="E222" s="50" t="str">
        <f>IF(ISBLANK('Selbstbeurteilung Kunde'!F226),"",'Selbstbeurteilung Kunde'!F226)</f>
        <v/>
      </c>
      <c r="F222" s="287"/>
      <c r="G222" s="287"/>
      <c r="H222" s="287"/>
      <c r="I222" s="287"/>
      <c r="J222" s="287"/>
      <c r="K222" s="287"/>
      <c r="L222" s="279"/>
      <c r="M222" s="47">
        <v>0</v>
      </c>
      <c r="N222" s="34"/>
      <c r="O222" s="35">
        <f t="shared" si="37"/>
        <v>0</v>
      </c>
      <c r="P222" s="54">
        <f t="shared" si="38"/>
        <v>0</v>
      </c>
      <c r="Q222" s="46"/>
      <c r="R222" s="34"/>
    </row>
    <row r="223" spans="1:18" x14ac:dyDescent="0.3">
      <c r="A223" s="26" t="str">
        <f>'Selbstbeurteilung Kunde'!A227</f>
        <v>3.9.</v>
      </c>
      <c r="B223" s="27" t="str">
        <f>'Selbstbeurteilung Kunde'!B227</f>
        <v xml:space="preserve"> Sicherheit als Traktandum</v>
      </c>
      <c r="C223" s="28">
        <f>O223/N223</f>
        <v>0</v>
      </c>
      <c r="D223" s="350"/>
      <c r="E223" s="37" t="str">
        <f>IF(ISBLANK('Selbstbeurteilung Kunde'!F227),"",'Selbstbeurteilung Kunde'!F227)</f>
        <v/>
      </c>
      <c r="F223" s="282"/>
      <c r="G223" s="282"/>
      <c r="H223" s="282"/>
      <c r="I223" s="282"/>
      <c r="J223" s="282"/>
      <c r="K223" s="282"/>
      <c r="L223" s="63">
        <f>P223/N223</f>
        <v>0</v>
      </c>
      <c r="M223" s="30">
        <v>1</v>
      </c>
      <c r="N223" s="29">
        <f>SUM(M224:M226)</f>
        <v>9</v>
      </c>
      <c r="O223" s="31">
        <f>SUM(O224:O226)</f>
        <v>0</v>
      </c>
      <c r="P223" s="31">
        <f>SUM(P224:P226)</f>
        <v>0</v>
      </c>
      <c r="Q223" s="65">
        <f>O223/$N223*$M223</f>
        <v>0</v>
      </c>
      <c r="R223" s="65">
        <f>P223/$N223*$M223</f>
        <v>0</v>
      </c>
    </row>
    <row r="224" spans="1:18" ht="39.6" x14ac:dyDescent="0.3">
      <c r="A224" s="3" t="str">
        <f>'Selbstbeurteilung Kunde'!A228</f>
        <v>3.9.1.a</v>
      </c>
      <c r="B224" s="6" t="str">
        <f>'Selbstbeurteilung Kunde'!C228</f>
        <v>Sind Sicherheit und Gesundheitsförderung regelmässige Gesprächsthemen an:
Innerbetrieblichen Besprechungen?</v>
      </c>
      <c r="C224" s="49">
        <f>IF(ISBLANK('Selbstbeurteilung Kunde'!D228),0,1)</f>
        <v>0</v>
      </c>
      <c r="D224" s="49" t="str">
        <f>IF(AND('Selbstbeurteilung Kunde'!D228="",'Selbstbeurteilung Kunde'!E228=""),"*","")</f>
        <v>*</v>
      </c>
      <c r="E224" s="50" t="str">
        <f>IF(ISBLANK('Selbstbeurteilung Kunde'!F228),"",'Selbstbeurteilung Kunde'!F228)</f>
        <v/>
      </c>
      <c r="F224" s="287"/>
      <c r="G224" s="287"/>
      <c r="H224" s="287"/>
      <c r="I224" s="287"/>
      <c r="J224" s="287"/>
      <c r="K224" s="287"/>
      <c r="L224" s="279"/>
      <c r="M224" s="47">
        <v>4</v>
      </c>
      <c r="N224" s="34"/>
      <c r="O224" s="35">
        <f>C224*M224</f>
        <v>0</v>
      </c>
      <c r="P224" s="54">
        <f t="shared" ref="P224:P226" si="39">L224*M224</f>
        <v>0</v>
      </c>
      <c r="Q224" s="46"/>
      <c r="R224" s="34"/>
    </row>
    <row r="225" spans="1:18" ht="26.4" x14ac:dyDescent="0.3">
      <c r="A225" s="3" t="str">
        <f>'Selbstbeurteilung Kunde'!A229</f>
        <v>3.9.1.b</v>
      </c>
      <c r="B225" s="6" t="str">
        <f>'Selbstbeurteilung Kunde'!C229</f>
        <v>Ausserbetrieblichen Besprechungen (z.B. mit Dritten, Fremdfirmen, Mitgliedern von Arbeitsgemeinschaften)?</v>
      </c>
      <c r="C225" s="49">
        <f>IF(ISBLANK('Selbstbeurteilung Kunde'!D229),0,1)</f>
        <v>0</v>
      </c>
      <c r="D225" s="49" t="str">
        <f>IF(AND('Selbstbeurteilung Kunde'!D229="",'Selbstbeurteilung Kunde'!E229=""),"*","")</f>
        <v>*</v>
      </c>
      <c r="E225" s="50" t="str">
        <f>IF(ISBLANK('Selbstbeurteilung Kunde'!F229),"",'Selbstbeurteilung Kunde'!F229)</f>
        <v/>
      </c>
      <c r="F225" s="287"/>
      <c r="G225" s="287"/>
      <c r="H225" s="287"/>
      <c r="I225" s="287"/>
      <c r="J225" s="287"/>
      <c r="K225" s="287"/>
      <c r="L225" s="279"/>
      <c r="M225" s="47">
        <v>2</v>
      </c>
      <c r="N225" s="34"/>
      <c r="O225" s="35">
        <f>C225*M225</f>
        <v>0</v>
      </c>
      <c r="P225" s="54">
        <f t="shared" si="39"/>
        <v>0</v>
      </c>
      <c r="Q225" s="46"/>
      <c r="R225" s="34"/>
    </row>
    <row r="226" spans="1:18" ht="118.8" x14ac:dyDescent="0.3">
      <c r="A226" s="3" t="str">
        <f>'Selbstbeurteilung Kunde'!A230</f>
        <v>3.9.2.</v>
      </c>
      <c r="B226" s="6" t="str">
        <f>'Selbstbeurteilung Kunde'!C230</f>
        <v>Werden bei Gesprächen über Sicherheit und Gesundheitsförderung nicht nur Probleme diskutiert, sondern auch Schutzziele* festgelegt und Massnahmen getroffen?
*Schutzziele: Ziele, die erreicht werden müssen, um Sicherheit und Gesundheit gemäss der allgemeinen Erfahrung und dem Stand der Technik zu gewährleisten. Schutzziele lassen Mittel und Wege der Zielerreichung offen.</v>
      </c>
      <c r="C226" s="49">
        <f>IF(ISBLANK('Selbstbeurteilung Kunde'!D230),0,1)</f>
        <v>0</v>
      </c>
      <c r="D226" s="49" t="str">
        <f>IF(AND('Selbstbeurteilung Kunde'!D230="",'Selbstbeurteilung Kunde'!E230=""),"*","")</f>
        <v>*</v>
      </c>
      <c r="E226" s="50" t="str">
        <f>IF(ISBLANK('Selbstbeurteilung Kunde'!F230),"",'Selbstbeurteilung Kunde'!F230)</f>
        <v/>
      </c>
      <c r="F226" s="287"/>
      <c r="G226" s="287"/>
      <c r="H226" s="287"/>
      <c r="I226" s="287"/>
      <c r="J226" s="287"/>
      <c r="K226" s="287"/>
      <c r="L226" s="279"/>
      <c r="M226" s="47">
        <v>3</v>
      </c>
      <c r="N226" s="34"/>
      <c r="O226" s="35">
        <f>C226*M226</f>
        <v>0</v>
      </c>
      <c r="P226" s="54">
        <f t="shared" si="39"/>
        <v>0</v>
      </c>
      <c r="Q226" s="46"/>
      <c r="R226" s="34"/>
    </row>
    <row r="227" spans="1:18" x14ac:dyDescent="0.3">
      <c r="A227" s="26" t="str">
        <f>'Selbstbeurteilung Kunde'!A231</f>
        <v>3.10.</v>
      </c>
      <c r="B227" s="27" t="str">
        <f>'Selbstbeurteilung Kunde'!B231</f>
        <v>Anforderugen an Fremdfirmen</v>
      </c>
      <c r="C227" s="28">
        <f>O227/N227</f>
        <v>0</v>
      </c>
      <c r="D227" s="350"/>
      <c r="E227" s="37" t="str">
        <f>IF(ISBLANK('Selbstbeurteilung Kunde'!F231),"",'Selbstbeurteilung Kunde'!F231)</f>
        <v/>
      </c>
      <c r="F227" s="282"/>
      <c r="G227" s="282"/>
      <c r="H227" s="282"/>
      <c r="I227" s="282"/>
      <c r="J227" s="282"/>
      <c r="K227" s="282"/>
      <c r="L227" s="63">
        <f>P227/N227</f>
        <v>0</v>
      </c>
      <c r="M227" s="29">
        <v>1</v>
      </c>
      <c r="N227" s="29">
        <f>SUM(M228:M239)</f>
        <v>16</v>
      </c>
      <c r="O227" s="31">
        <f>SUM(O228:O239)</f>
        <v>0</v>
      </c>
      <c r="P227" s="31">
        <f>SUM(P228:P239)</f>
        <v>0</v>
      </c>
      <c r="Q227" s="65">
        <f>O227/$N227*$M227</f>
        <v>0</v>
      </c>
      <c r="R227" s="65">
        <f>P227/$N227*$M227</f>
        <v>0</v>
      </c>
    </row>
    <row r="228" spans="1:18" ht="39.6" x14ac:dyDescent="0.3">
      <c r="A228" s="3" t="str">
        <f>'Selbstbeurteilung Kunde'!A232</f>
        <v>3.10.1.a</v>
      </c>
      <c r="B228" s="6" t="str">
        <f>'Selbstbeurteilung Kunde'!C232</f>
        <v>Wie häufig werden in ihrem Unternehmen Fremdfirmen beschäftigt:
Niemals?</v>
      </c>
      <c r="C228" s="49">
        <f>IF(ISBLANK('Selbstbeurteilung Kunde'!D232),0,1)</f>
        <v>0</v>
      </c>
      <c r="D228" s="49" t="str">
        <f>IF(AND('Selbstbeurteilung Kunde'!D232="",'Selbstbeurteilung Kunde'!E232=""),"*","")</f>
        <v>*</v>
      </c>
      <c r="E228" s="50" t="str">
        <f>IF(ISBLANK('Selbstbeurteilung Kunde'!F232),"",'Selbstbeurteilung Kunde'!F232)</f>
        <v/>
      </c>
      <c r="F228" s="285"/>
      <c r="G228" s="285"/>
      <c r="H228" s="285"/>
      <c r="I228" s="285"/>
      <c r="J228" s="285"/>
      <c r="K228" s="285"/>
      <c r="L228" s="279"/>
      <c r="M228" s="47">
        <v>0</v>
      </c>
      <c r="N228" s="34"/>
      <c r="O228" s="35">
        <f t="shared" ref="O228:O239" si="40">C228*M228</f>
        <v>0</v>
      </c>
      <c r="P228" s="54">
        <f t="shared" ref="P228:P239" si="41">L228*M228</f>
        <v>0</v>
      </c>
      <c r="Q228" s="46"/>
      <c r="R228" s="34"/>
    </row>
    <row r="229" spans="1:18" x14ac:dyDescent="0.3">
      <c r="A229" s="3" t="str">
        <f>'Selbstbeurteilung Kunde'!A233</f>
        <v>3.10.1.b</v>
      </c>
      <c r="B229" s="6" t="str">
        <f>'Selbstbeurteilung Kunde'!C233</f>
        <v>Selten?</v>
      </c>
      <c r="C229" s="49">
        <f>IF(ISBLANK('Selbstbeurteilung Kunde'!D233),0,1)</f>
        <v>0</v>
      </c>
      <c r="D229" s="49" t="str">
        <f>IF(AND('Selbstbeurteilung Kunde'!D229="",'Selbstbeurteilung Kunde'!E229=""),"*","")</f>
        <v>*</v>
      </c>
      <c r="E229" s="50" t="str">
        <f>IF(ISBLANK('Selbstbeurteilung Kunde'!F233),"",'Selbstbeurteilung Kunde'!F233)</f>
        <v/>
      </c>
      <c r="F229" s="43"/>
      <c r="G229" s="43"/>
      <c r="H229" s="43"/>
      <c r="I229" s="43"/>
      <c r="J229" s="43"/>
      <c r="K229" s="43"/>
      <c r="L229" s="279"/>
      <c r="M229" s="47">
        <v>0</v>
      </c>
      <c r="N229" s="34"/>
      <c r="O229" s="35">
        <f t="shared" si="40"/>
        <v>0</v>
      </c>
      <c r="P229" s="54">
        <f t="shared" si="41"/>
        <v>0</v>
      </c>
      <c r="Q229" s="46"/>
      <c r="R229" s="34"/>
    </row>
    <row r="230" spans="1:18" x14ac:dyDescent="0.3">
      <c r="A230" s="3" t="str">
        <f>'Selbstbeurteilung Kunde'!A234</f>
        <v>3.10.1.c</v>
      </c>
      <c r="B230" s="6" t="str">
        <f>'Selbstbeurteilung Kunde'!C234</f>
        <v>Gelegentlich?</v>
      </c>
      <c r="C230" s="49">
        <f>IF(ISBLANK('Selbstbeurteilung Kunde'!D234),0,1)</f>
        <v>0</v>
      </c>
      <c r="D230" s="49" t="str">
        <f>IF(AND('Selbstbeurteilung Kunde'!D230="",'Selbstbeurteilung Kunde'!E230=""),"*","")</f>
        <v>*</v>
      </c>
      <c r="E230" s="50" t="str">
        <f>IF(ISBLANK('Selbstbeurteilung Kunde'!F234),"",'Selbstbeurteilung Kunde'!F234)</f>
        <v/>
      </c>
      <c r="F230" s="43"/>
      <c r="G230" s="43"/>
      <c r="H230" s="43"/>
      <c r="I230" s="43"/>
      <c r="J230" s="43"/>
      <c r="K230" s="43"/>
      <c r="L230" s="279"/>
      <c r="M230" s="47">
        <v>0</v>
      </c>
      <c r="N230" s="34"/>
      <c r="O230" s="35">
        <f t="shared" si="40"/>
        <v>0</v>
      </c>
      <c r="P230" s="54">
        <f t="shared" si="41"/>
        <v>0</v>
      </c>
      <c r="Q230" s="46"/>
      <c r="R230" s="34"/>
    </row>
    <row r="231" spans="1:18" x14ac:dyDescent="0.3">
      <c r="A231" s="3" t="str">
        <f>'Selbstbeurteilung Kunde'!A235</f>
        <v>3.10.1.d</v>
      </c>
      <c r="B231" s="6" t="str">
        <f>'Selbstbeurteilung Kunde'!C235</f>
        <v>Oft?</v>
      </c>
      <c r="C231" s="49">
        <f>IF(ISBLANK('Selbstbeurteilung Kunde'!D235),0,1)</f>
        <v>0</v>
      </c>
      <c r="D231" s="49" t="str">
        <f>IF(AND('Selbstbeurteilung Kunde'!D231="",'Selbstbeurteilung Kunde'!E231=""),"*","")</f>
        <v>*</v>
      </c>
      <c r="E231" s="50" t="str">
        <f>IF(ISBLANK('Selbstbeurteilung Kunde'!F235),"",'Selbstbeurteilung Kunde'!F235)</f>
        <v/>
      </c>
      <c r="F231" s="43"/>
      <c r="G231" s="43"/>
      <c r="H231" s="43"/>
      <c r="I231" s="43"/>
      <c r="J231" s="43"/>
      <c r="K231" s="43"/>
      <c r="L231" s="279"/>
      <c r="M231" s="47">
        <v>0</v>
      </c>
      <c r="N231" s="34"/>
      <c r="O231" s="35">
        <f t="shared" si="40"/>
        <v>0</v>
      </c>
      <c r="P231" s="54">
        <f t="shared" si="41"/>
        <v>0</v>
      </c>
      <c r="Q231" s="46"/>
      <c r="R231" s="34"/>
    </row>
    <row r="232" spans="1:18" x14ac:dyDescent="0.3">
      <c r="A232" s="3" t="str">
        <f>'Selbstbeurteilung Kunde'!A236</f>
        <v>3.10.1.e</v>
      </c>
      <c r="B232" s="6" t="str">
        <f>'Selbstbeurteilung Kunde'!C236</f>
        <v>Dauernd?</v>
      </c>
      <c r="C232" s="49">
        <f>IF(ISBLANK('Selbstbeurteilung Kunde'!D236),0,1)</f>
        <v>0</v>
      </c>
      <c r="D232" s="49" t="str">
        <f>IF(AND('Selbstbeurteilung Kunde'!D232="",'Selbstbeurteilung Kunde'!E232=""),"*","")</f>
        <v>*</v>
      </c>
      <c r="E232" s="50" t="str">
        <f>IF(ISBLANK('Selbstbeurteilung Kunde'!F236),"",'Selbstbeurteilung Kunde'!F236)</f>
        <v/>
      </c>
      <c r="F232" s="43"/>
      <c r="G232" s="43"/>
      <c r="H232" s="43"/>
      <c r="I232" s="43"/>
      <c r="J232" s="43"/>
      <c r="K232" s="43"/>
      <c r="L232" s="279"/>
      <c r="M232" s="47">
        <v>0</v>
      </c>
      <c r="N232" s="34"/>
      <c r="O232" s="35">
        <f t="shared" si="40"/>
        <v>0</v>
      </c>
      <c r="P232" s="54">
        <f t="shared" si="41"/>
        <v>0</v>
      </c>
      <c r="Q232" s="46"/>
      <c r="R232" s="34"/>
    </row>
    <row r="233" spans="1:18" ht="39.6" x14ac:dyDescent="0.3">
      <c r="A233" s="3" t="str">
        <f>'Selbstbeurteilung Kunde'!A237</f>
        <v>3.10.2.</v>
      </c>
      <c r="B233" s="6" t="str">
        <f>'Selbstbeurteilung Kunde'!C237</f>
        <v>Werden Fremdfirmen auf Gefahren und Sicherheitsanforderungen in Ihrem Unternehmen aufmerksam gemacht?</v>
      </c>
      <c r="C233" s="49">
        <f>IF(ISBLANK('Selbstbeurteilung Kunde'!D237),0,1)</f>
        <v>0</v>
      </c>
      <c r="D233" s="49" t="str">
        <f>IF(AND('Selbstbeurteilung Kunde'!D233="",'Selbstbeurteilung Kunde'!E233=""),"*","")</f>
        <v>*</v>
      </c>
      <c r="E233" s="50" t="str">
        <f>IF(ISBLANK('Selbstbeurteilung Kunde'!F237),"",'Selbstbeurteilung Kunde'!F237)</f>
        <v/>
      </c>
      <c r="F233" s="43"/>
      <c r="G233" s="43"/>
      <c r="H233" s="43"/>
      <c r="I233" s="43"/>
      <c r="J233" s="43"/>
      <c r="K233" s="43"/>
      <c r="L233" s="279"/>
      <c r="M233" s="47">
        <v>3</v>
      </c>
      <c r="N233" s="34"/>
      <c r="O233" s="35">
        <f t="shared" si="40"/>
        <v>0</v>
      </c>
      <c r="P233" s="54">
        <f t="shared" si="41"/>
        <v>0</v>
      </c>
      <c r="Q233" s="46"/>
      <c r="R233" s="34"/>
    </row>
    <row r="234" spans="1:18" ht="39.6" x14ac:dyDescent="0.3">
      <c r="A234" s="3" t="str">
        <f>'Selbstbeurteilung Kunde'!A238</f>
        <v>3.10.3.</v>
      </c>
      <c r="B234" s="6" t="str">
        <f>'Selbstbeurteilung Kunde'!C238</f>
        <v>Ist das Einhalten von Sicherheitsbestimmungen Bestandteil schriftlicher Werkverträge, die Sie mit Fremdfirmen abschliessen?</v>
      </c>
      <c r="C234" s="49">
        <f>IF(ISBLANK('Selbstbeurteilung Kunde'!D238),0,1)</f>
        <v>0</v>
      </c>
      <c r="D234" s="49" t="str">
        <f>IF(AND('Selbstbeurteilung Kunde'!D234="",'Selbstbeurteilung Kunde'!E234=""),"*","")</f>
        <v>*</v>
      </c>
      <c r="E234" s="50" t="str">
        <f>IF(ISBLANK('Selbstbeurteilung Kunde'!F238),"",'Selbstbeurteilung Kunde'!F238)</f>
        <v/>
      </c>
      <c r="F234" s="43"/>
      <c r="G234" s="43"/>
      <c r="H234" s="43"/>
      <c r="I234" s="43"/>
      <c r="J234" s="43"/>
      <c r="K234" s="43"/>
      <c r="L234" s="279"/>
      <c r="M234" s="47">
        <v>1</v>
      </c>
      <c r="N234" s="34"/>
      <c r="O234" s="35">
        <f t="shared" si="40"/>
        <v>0</v>
      </c>
      <c r="P234" s="54">
        <f t="shared" si="41"/>
        <v>0</v>
      </c>
      <c r="Q234" s="46"/>
      <c r="R234" s="34"/>
    </row>
    <row r="235" spans="1:18" ht="26.4" x14ac:dyDescent="0.3">
      <c r="A235" s="3" t="str">
        <f>'Selbstbeurteilung Kunde'!A239</f>
        <v>3.10.4.</v>
      </c>
      <c r="B235" s="6" t="str">
        <f>'Selbstbeurteilung Kunde'!C239</f>
        <v>Wird das Einhalten von Sicherheitsbestimmungen bei Fremdfirmen überwacht und systematisch kontrolliert?</v>
      </c>
      <c r="C235" s="49">
        <f>IF(ISBLANK('Selbstbeurteilung Kunde'!D239),0,1)</f>
        <v>0</v>
      </c>
      <c r="D235" s="49" t="str">
        <f>IF(AND('Selbstbeurteilung Kunde'!D235="",'Selbstbeurteilung Kunde'!E235=""),"*","")</f>
        <v>*</v>
      </c>
      <c r="E235" s="50" t="str">
        <f>IF(ISBLANK('Selbstbeurteilung Kunde'!F239),"",'Selbstbeurteilung Kunde'!F239)</f>
        <v/>
      </c>
      <c r="F235" s="43"/>
      <c r="G235" s="43"/>
      <c r="H235" s="43"/>
      <c r="I235" s="43"/>
      <c r="J235" s="43"/>
      <c r="K235" s="43"/>
      <c r="L235" s="279"/>
      <c r="M235" s="47">
        <v>4</v>
      </c>
      <c r="N235" s="34"/>
      <c r="O235" s="35">
        <f t="shared" si="40"/>
        <v>0</v>
      </c>
      <c r="P235" s="54">
        <f t="shared" si="41"/>
        <v>0</v>
      </c>
      <c r="Q235" s="46"/>
      <c r="R235" s="34"/>
    </row>
    <row r="236" spans="1:18" ht="26.4" x14ac:dyDescent="0.3">
      <c r="A236" s="3" t="str">
        <f>'Selbstbeurteilung Kunde'!A240</f>
        <v>3.10.5.</v>
      </c>
      <c r="B236" s="6" t="str">
        <f>'Selbstbeurteilung Kunde'!C240</f>
        <v>Wird das Einhalten von Sicherheitsbestimmungen bei Fremdfirmen konsequent durchgesetzt?</v>
      </c>
      <c r="C236" s="49">
        <f>IF(ISBLANK('Selbstbeurteilung Kunde'!D240),0,1)</f>
        <v>0</v>
      </c>
      <c r="D236" s="49" t="str">
        <f>IF(AND('Selbstbeurteilung Kunde'!D236="",'Selbstbeurteilung Kunde'!E236=""),"*","")</f>
        <v>*</v>
      </c>
      <c r="E236" s="50" t="str">
        <f>IF(ISBLANK('Selbstbeurteilung Kunde'!F240),"",'Selbstbeurteilung Kunde'!F240)</f>
        <v/>
      </c>
      <c r="F236" s="43"/>
      <c r="G236" s="43"/>
      <c r="H236" s="43"/>
      <c r="I236" s="43"/>
      <c r="J236" s="43"/>
      <c r="K236" s="43"/>
      <c r="L236" s="279"/>
      <c r="M236" s="47">
        <v>4</v>
      </c>
      <c r="N236" s="34"/>
      <c r="O236" s="35">
        <f t="shared" si="40"/>
        <v>0</v>
      </c>
      <c r="P236" s="54">
        <f t="shared" si="41"/>
        <v>0</v>
      </c>
      <c r="Q236" s="46"/>
      <c r="R236" s="34"/>
    </row>
    <row r="237" spans="1:18" ht="26.4" x14ac:dyDescent="0.3">
      <c r="A237" s="3" t="str">
        <f>'Selbstbeurteilung Kunde'!A241</f>
        <v>3.10.6.</v>
      </c>
      <c r="B237" s="6" t="str">
        <f>'Selbstbeurteilung Kunde'!C241</f>
        <v>Sind Sie bereit, Werkverträge mit Fremdfirmen aufzulösen, wenn Sicherheitsbestimmungen nicht eingehalten werden?</v>
      </c>
      <c r="C237" s="49">
        <f>IF(ISBLANK('Selbstbeurteilung Kunde'!D241),0,1)</f>
        <v>0</v>
      </c>
      <c r="D237" s="49" t="str">
        <f>IF(AND('Selbstbeurteilung Kunde'!D237="",'Selbstbeurteilung Kunde'!E237=""),"*","")</f>
        <v>*</v>
      </c>
      <c r="E237" s="50" t="str">
        <f>IF(ISBLANK('Selbstbeurteilung Kunde'!F241),"",'Selbstbeurteilung Kunde'!F241)</f>
        <v/>
      </c>
      <c r="F237" s="43"/>
      <c r="G237" s="43"/>
      <c r="H237" s="43"/>
      <c r="I237" s="43"/>
      <c r="J237" s="43"/>
      <c r="K237" s="43"/>
      <c r="L237" s="279"/>
      <c r="M237" s="47">
        <v>2</v>
      </c>
      <c r="N237" s="34"/>
      <c r="O237" s="35">
        <f t="shared" si="40"/>
        <v>0</v>
      </c>
      <c r="P237" s="54">
        <f t="shared" si="41"/>
        <v>0</v>
      </c>
      <c r="Q237" s="46"/>
      <c r="R237" s="34"/>
    </row>
    <row r="238" spans="1:18" ht="39.6" x14ac:dyDescent="0.3">
      <c r="A238" s="3" t="str">
        <f>'Selbstbeurteilung Kunde'!A242</f>
        <v>3.10.7.</v>
      </c>
      <c r="B238" s="6" t="str">
        <f>'Selbstbeurteilung Kunde'!C242</f>
        <v>Wird das Sicherheits- und Gesundheitsschutz-Verhalten bei Fremdfirmen in der Lieferantenbeurteilung (Q-System) mitberücksichtigt?</v>
      </c>
      <c r="C238" s="49">
        <f>IF(ISBLANK('Selbstbeurteilung Kunde'!D242),0,1)</f>
        <v>0</v>
      </c>
      <c r="D238" s="49" t="str">
        <f>IF(AND('Selbstbeurteilung Kunde'!D238="",'Selbstbeurteilung Kunde'!E238=""),"*","")</f>
        <v>*</v>
      </c>
      <c r="E238" s="50" t="str">
        <f>IF(ISBLANK('Selbstbeurteilung Kunde'!F242),"",'Selbstbeurteilung Kunde'!F242)</f>
        <v/>
      </c>
      <c r="F238" s="43"/>
      <c r="G238" s="43"/>
      <c r="H238" s="43"/>
      <c r="I238" s="43"/>
      <c r="J238" s="43"/>
      <c r="K238" s="43"/>
      <c r="L238" s="279"/>
      <c r="M238" s="47">
        <v>2</v>
      </c>
      <c r="N238" s="34"/>
      <c r="O238" s="35">
        <f t="shared" si="40"/>
        <v>0</v>
      </c>
      <c r="P238" s="54">
        <f t="shared" si="41"/>
        <v>0</v>
      </c>
      <c r="Q238" s="46"/>
      <c r="R238" s="34"/>
    </row>
    <row r="239" spans="1:18" ht="26.4" x14ac:dyDescent="0.3">
      <c r="A239" s="3" t="str">
        <f>'Selbstbeurteilung Kunde'!A243</f>
        <v>3.10.8.</v>
      </c>
      <c r="B239" s="6" t="str">
        <f>'Selbstbeurteilung Kunde'!C243</f>
        <v>Besteht in Ihrem Unternehmen ein Angebot für die Sicherheitsausbildung der beauftragten Fremdfirmen?</v>
      </c>
      <c r="C239" s="49">
        <f>IF(ISBLANK('Selbstbeurteilung Kunde'!D243),0,1)</f>
        <v>0</v>
      </c>
      <c r="D239" s="49" t="str">
        <f>IF(AND('Selbstbeurteilung Kunde'!D239="",'Selbstbeurteilung Kunde'!E239=""),"*","")</f>
        <v>*</v>
      </c>
      <c r="E239" s="50" t="str">
        <f>IF(ISBLANK('Selbstbeurteilung Kunde'!F243),"",'Selbstbeurteilung Kunde'!F243)</f>
        <v/>
      </c>
      <c r="F239" s="43"/>
      <c r="G239" s="43"/>
      <c r="H239" s="43"/>
      <c r="I239" s="43"/>
      <c r="J239" s="43"/>
      <c r="K239" s="43"/>
      <c r="L239" s="279"/>
      <c r="M239" s="47">
        <v>0</v>
      </c>
      <c r="N239" s="34"/>
      <c r="O239" s="35">
        <f t="shared" si="40"/>
        <v>0</v>
      </c>
      <c r="P239" s="54">
        <f t="shared" si="41"/>
        <v>0</v>
      </c>
      <c r="Q239" s="46"/>
      <c r="R239" s="34"/>
    </row>
    <row r="240" spans="1:18" x14ac:dyDescent="0.3">
      <c r="A240" s="44" t="s">
        <v>183</v>
      </c>
      <c r="B240" s="7" t="str">
        <f>'Selbstbeurteilung Kunde'!B245</f>
        <v>Sicherheitsstandards</v>
      </c>
      <c r="C240" s="40">
        <f>O240/N240</f>
        <v>0</v>
      </c>
      <c r="D240" s="40"/>
      <c r="E240" s="36"/>
      <c r="F240" s="25"/>
      <c r="G240" s="25"/>
      <c r="H240" s="25"/>
      <c r="I240" s="25"/>
      <c r="J240" s="25"/>
      <c r="K240" s="25"/>
      <c r="L240" s="281">
        <f>P240/N240</f>
        <v>0</v>
      </c>
      <c r="M240" s="5"/>
      <c r="N240" s="5">
        <f>SUM(M241,M249,M285,M293,M297,M304,M309,M317,)</f>
        <v>20</v>
      </c>
      <c r="O240" s="61">
        <f>SUM(Q241:Q318)</f>
        <v>0</v>
      </c>
      <c r="P240" s="61">
        <f>SUM(R241:R318)</f>
        <v>0</v>
      </c>
      <c r="Q240" s="45"/>
      <c r="R240" s="45"/>
    </row>
    <row r="241" spans="1:18" x14ac:dyDescent="0.3">
      <c r="A241" s="26" t="str">
        <f>'Selbstbeurteilung Kunde'!A247</f>
        <v>4.1.</v>
      </c>
      <c r="B241" s="27" t="str">
        <f>'Selbstbeurteilung Kunde'!B247</f>
        <v>Merkblätter, Weisungen und Checklisten</v>
      </c>
      <c r="C241" s="28">
        <f>O241/N241</f>
        <v>0</v>
      </c>
      <c r="D241" s="350"/>
      <c r="E241" s="37"/>
      <c r="F241" s="282"/>
      <c r="G241" s="282"/>
      <c r="H241" s="282"/>
      <c r="I241" s="282"/>
      <c r="J241" s="282"/>
      <c r="K241" s="282"/>
      <c r="L241" s="63">
        <f>P241/N241</f>
        <v>0</v>
      </c>
      <c r="M241" s="29">
        <v>1</v>
      </c>
      <c r="N241" s="29">
        <f>SUM(M242:M248)</f>
        <v>12</v>
      </c>
      <c r="O241" s="31">
        <f>SUM(O242:O248)</f>
        <v>0</v>
      </c>
      <c r="P241" s="31">
        <f>SUM(P242:P248)</f>
        <v>0</v>
      </c>
      <c r="Q241" s="65">
        <f>O241/$N241*$M241</f>
        <v>0</v>
      </c>
      <c r="R241" s="65">
        <f>P241/$N241*$M241</f>
        <v>0</v>
      </c>
    </row>
    <row r="242" spans="1:18" ht="26.4" x14ac:dyDescent="0.3">
      <c r="A242" s="3" t="str">
        <f>'Selbstbeurteilung Kunde'!A248</f>
        <v>4.1.1.</v>
      </c>
      <c r="B242" s="6" t="str">
        <f>'Selbstbeurteilung Kunde'!C248</f>
        <v>Sind sicherheits- und gesundheitsrelevante Merkblätter und Arbeitsanweisungen im Unternehmen vorhanden?</v>
      </c>
      <c r="C242" s="49">
        <f>IF(ISBLANK('Selbstbeurteilung Kunde'!D248),0,1)</f>
        <v>0</v>
      </c>
      <c r="D242" s="49" t="str">
        <f>IF(AND('Selbstbeurteilung Kunde'!D248="",'Selbstbeurteilung Kunde'!E248=""),"*","")</f>
        <v>*</v>
      </c>
      <c r="E242" s="50" t="str">
        <f>IF(ISBLANK('Selbstbeurteilung Kunde'!F248),"",'Selbstbeurteilung Kunde'!F248)</f>
        <v/>
      </c>
      <c r="F242" s="287"/>
      <c r="G242" s="287"/>
      <c r="H242" s="287"/>
      <c r="I242" s="287"/>
      <c r="J242" s="287"/>
      <c r="K242" s="287"/>
      <c r="L242" s="279"/>
      <c r="M242" s="47">
        <v>3</v>
      </c>
      <c r="N242" s="34"/>
      <c r="O242" s="35">
        <f t="shared" ref="O242:O248" si="42">C242*M242</f>
        <v>0</v>
      </c>
      <c r="P242" s="54">
        <f t="shared" ref="P242:P248" si="43">L242*M242</f>
        <v>0</v>
      </c>
      <c r="Q242" s="46"/>
      <c r="R242" s="34"/>
    </row>
    <row r="243" spans="1:18" ht="26.4" x14ac:dyDescent="0.3">
      <c r="A243" s="3" t="str">
        <f>'Selbstbeurteilung Kunde'!A249</f>
        <v>4.1.2.</v>
      </c>
      <c r="B243" s="6" t="str">
        <f>'Selbstbeurteilung Kunde'!C249</f>
        <v>Werden die Checklisten von Suva und der Branchenlösung eingesetzt?</v>
      </c>
      <c r="C243" s="49">
        <f>IF(ISBLANK('Selbstbeurteilung Kunde'!D249),0,1)</f>
        <v>0</v>
      </c>
      <c r="D243" s="49" t="str">
        <f>IF(AND('Selbstbeurteilung Kunde'!D249="",'Selbstbeurteilung Kunde'!E249=""),"*","")</f>
        <v>*</v>
      </c>
      <c r="E243" s="50" t="str">
        <f>IF(ISBLANK('Selbstbeurteilung Kunde'!F249),"",'Selbstbeurteilung Kunde'!F249)</f>
        <v/>
      </c>
      <c r="F243" s="287"/>
      <c r="G243" s="287"/>
      <c r="H243" s="287"/>
      <c r="I243" s="287"/>
      <c r="J243" s="287"/>
      <c r="K243" s="287"/>
      <c r="L243" s="279"/>
      <c r="M243" s="47">
        <v>1</v>
      </c>
      <c r="N243" s="34"/>
      <c r="O243" s="35">
        <f t="shared" si="42"/>
        <v>0</v>
      </c>
      <c r="P243" s="54">
        <f t="shared" si="43"/>
        <v>0</v>
      </c>
      <c r="Q243" s="46"/>
      <c r="R243" s="34"/>
    </row>
    <row r="244" spans="1:18" ht="26.4" x14ac:dyDescent="0.3">
      <c r="A244" s="3" t="str">
        <f>'Selbstbeurteilung Kunde'!A250</f>
        <v>4.1.3.</v>
      </c>
      <c r="B244" s="6" t="str">
        <f>'Selbstbeurteilung Kunde'!C250</f>
        <v>Wird das Booklet "Lebenswichtigen Regeln" der Suva im Unternehmen eingesetzt?</v>
      </c>
      <c r="C244" s="49">
        <f>IF(ISBLANK('Selbstbeurteilung Kunde'!D250),0,1)</f>
        <v>0</v>
      </c>
      <c r="D244" s="49" t="str">
        <f>IF(AND('Selbstbeurteilung Kunde'!D250="",'Selbstbeurteilung Kunde'!E250=""),"*","")</f>
        <v>*</v>
      </c>
      <c r="E244" s="50" t="str">
        <f>IF(ISBLANK('Selbstbeurteilung Kunde'!F250),"",'Selbstbeurteilung Kunde'!F250)</f>
        <v/>
      </c>
      <c r="F244" s="287"/>
      <c r="G244" s="287"/>
      <c r="H244" s="287"/>
      <c r="I244" s="287"/>
      <c r="J244" s="287"/>
      <c r="K244" s="287"/>
      <c r="L244" s="279"/>
      <c r="M244" s="47">
        <v>1</v>
      </c>
      <c r="N244" s="34"/>
      <c r="O244" s="35">
        <f t="shared" si="42"/>
        <v>0</v>
      </c>
      <c r="P244" s="54">
        <f t="shared" si="43"/>
        <v>0</v>
      </c>
      <c r="Q244" s="46"/>
      <c r="R244" s="34"/>
    </row>
    <row r="245" spans="1:18" ht="39.6" x14ac:dyDescent="0.3">
      <c r="A245" s="3" t="str">
        <f>'Selbstbeurteilung Kunde'!A251</f>
        <v>4.1.4.</v>
      </c>
      <c r="B245" s="6" t="str">
        <f>'Selbstbeurteilung Kunde'!C251</f>
        <v>Sind die Adressaten im Besitz der sicherheits- und gesund-heitsrelevanten Merkblätter und Arbeitsanweisungen oder haben sie jederzeit Zugang dazu?</v>
      </c>
      <c r="C245" s="49">
        <f>IF(ISBLANK('Selbstbeurteilung Kunde'!D251),0,1)</f>
        <v>0</v>
      </c>
      <c r="D245" s="49" t="str">
        <f>IF(AND('Selbstbeurteilung Kunde'!D251="",'Selbstbeurteilung Kunde'!E251=""),"*","")</f>
        <v>*</v>
      </c>
      <c r="E245" s="50" t="str">
        <f>IF(ISBLANK('Selbstbeurteilung Kunde'!F251),"",'Selbstbeurteilung Kunde'!F251)</f>
        <v/>
      </c>
      <c r="F245" s="287"/>
      <c r="G245" s="287"/>
      <c r="H245" s="287"/>
      <c r="I245" s="287"/>
      <c r="J245" s="287"/>
      <c r="K245" s="287"/>
      <c r="L245" s="279"/>
      <c r="M245" s="47">
        <v>2</v>
      </c>
      <c r="N245" s="34"/>
      <c r="O245" s="35">
        <f t="shared" si="42"/>
        <v>0</v>
      </c>
      <c r="P245" s="54">
        <f t="shared" si="43"/>
        <v>0</v>
      </c>
      <c r="Q245" s="46"/>
      <c r="R245" s="34"/>
    </row>
    <row r="246" spans="1:18" ht="66" x14ac:dyDescent="0.3">
      <c r="A246" s="3" t="str">
        <f>'Selbstbeurteilung Kunde'!A252</f>
        <v>4.1.5.</v>
      </c>
      <c r="B246" s="6" t="str">
        <f>'Selbstbeurteilung Kunde'!C252</f>
        <v>Werden in Ihrem Unternehmen, als Ergänzung zu den offiziellen Merkblätter und Arbeitsanweisungen, interne Weisungen bezüglich Arbeitssicherheit und Gesundheitsschutz abgefasst und verwendet? Wenn ja, welche?</v>
      </c>
      <c r="C246" s="49">
        <f>IF(ISBLANK('Selbstbeurteilung Kunde'!D252),0,1)</f>
        <v>0</v>
      </c>
      <c r="D246" s="49" t="str">
        <f>IF(AND('Selbstbeurteilung Kunde'!D252="",'Selbstbeurteilung Kunde'!E252=""),"*","")</f>
        <v>*</v>
      </c>
      <c r="E246" s="50" t="str">
        <f>IF(ISBLANK('Selbstbeurteilung Kunde'!F252),"",'Selbstbeurteilung Kunde'!F252)</f>
        <v/>
      </c>
      <c r="F246" s="287"/>
      <c r="G246" s="287"/>
      <c r="H246" s="287"/>
      <c r="I246" s="287"/>
      <c r="J246" s="287"/>
      <c r="K246" s="287"/>
      <c r="L246" s="279"/>
      <c r="M246" s="47">
        <v>1</v>
      </c>
      <c r="N246" s="34"/>
      <c r="O246" s="35">
        <f t="shared" si="42"/>
        <v>0</v>
      </c>
      <c r="P246" s="54">
        <f t="shared" si="43"/>
        <v>0</v>
      </c>
      <c r="Q246" s="46"/>
      <c r="R246" s="34"/>
    </row>
    <row r="247" spans="1:18" ht="26.4" x14ac:dyDescent="0.3">
      <c r="A247" s="3" t="str">
        <f>'Selbstbeurteilung Kunde'!A253</f>
        <v>4.1.6.</v>
      </c>
      <c r="B247" s="6" t="str">
        <f>'Selbstbeurteilung Kunde'!C253</f>
        <v>Werden die betroffenen Mitarbeiter beim Erstellen betriebs-interner Weisungen miteinbezogen?</v>
      </c>
      <c r="C247" s="49">
        <f>IF(ISBLANK('Selbstbeurteilung Kunde'!D253),0,1)</f>
        <v>0</v>
      </c>
      <c r="D247" s="49" t="str">
        <f>IF(AND('Selbstbeurteilung Kunde'!D253="",'Selbstbeurteilung Kunde'!E253=""),"*","")</f>
        <v>*</v>
      </c>
      <c r="E247" s="50" t="str">
        <f>IF(ISBLANK('Selbstbeurteilung Kunde'!F253),"",'Selbstbeurteilung Kunde'!F253)</f>
        <v/>
      </c>
      <c r="F247" s="287"/>
      <c r="G247" s="287"/>
      <c r="H247" s="287"/>
      <c r="I247" s="287"/>
      <c r="J247" s="287"/>
      <c r="K247" s="287"/>
      <c r="L247" s="279"/>
      <c r="M247" s="47">
        <v>3</v>
      </c>
      <c r="N247" s="34"/>
      <c r="O247" s="35">
        <f t="shared" si="42"/>
        <v>0</v>
      </c>
      <c r="P247" s="54">
        <f t="shared" si="43"/>
        <v>0</v>
      </c>
      <c r="Q247" s="46"/>
      <c r="R247" s="34"/>
    </row>
    <row r="248" spans="1:18" ht="52.8" x14ac:dyDescent="0.3">
      <c r="A248" s="3" t="str">
        <f>'Selbstbeurteilung Kunde'!A254</f>
        <v>4.1.7.</v>
      </c>
      <c r="B248" s="6" t="str">
        <f>'Selbstbeurteilung Kunde'!C254</f>
        <v>Ist die permanente Aktualisierung der Merkblätter, Arbeits-anweisungen, und betriebsinterner Weisungen sichergestellt? Wenn ja, welche Stelle oder Person ist damit beauftragt?</v>
      </c>
      <c r="C248" s="49">
        <f>IF(ISBLANK('Selbstbeurteilung Kunde'!D254),0,1)</f>
        <v>0</v>
      </c>
      <c r="D248" s="49" t="str">
        <f>IF(AND('Selbstbeurteilung Kunde'!D254="",'Selbstbeurteilung Kunde'!E254=""),"*","")</f>
        <v>*</v>
      </c>
      <c r="E248" s="50" t="str">
        <f>IF(ISBLANK('Selbstbeurteilung Kunde'!F254),"",'Selbstbeurteilung Kunde'!F254)</f>
        <v/>
      </c>
      <c r="F248" s="287"/>
      <c r="G248" s="287"/>
      <c r="H248" s="287"/>
      <c r="I248" s="287"/>
      <c r="J248" s="287"/>
      <c r="K248" s="287"/>
      <c r="L248" s="279"/>
      <c r="M248" s="47">
        <v>1</v>
      </c>
      <c r="N248" s="34"/>
      <c r="O248" s="35">
        <f t="shared" si="42"/>
        <v>0</v>
      </c>
      <c r="P248" s="54">
        <f t="shared" si="43"/>
        <v>0</v>
      </c>
      <c r="Q248" s="46"/>
      <c r="R248" s="34"/>
    </row>
    <row r="249" spans="1:18" x14ac:dyDescent="0.3">
      <c r="A249" s="26" t="str">
        <f>'Selbstbeurteilung Kunde'!A255</f>
        <v>4.2.</v>
      </c>
      <c r="B249" s="27" t="str">
        <f>'Selbstbeurteilung Kunde'!B255</f>
        <v>Persönlicher Schutz: Bedürfnisse</v>
      </c>
      <c r="C249" s="28">
        <f>O249/N249</f>
        <v>0</v>
      </c>
      <c r="D249" s="350"/>
      <c r="E249" s="37" t="str">
        <f>IF(ISBLANK('Selbstbeurteilung Kunde'!F255),"",'Selbstbeurteilung Kunde'!F255)</f>
        <v/>
      </c>
      <c r="F249" s="282"/>
      <c r="G249" s="282"/>
      <c r="H249" s="282"/>
      <c r="I249" s="282"/>
      <c r="J249" s="282"/>
      <c r="K249" s="282"/>
      <c r="L249" s="63">
        <f>P249/N249</f>
        <v>0</v>
      </c>
      <c r="M249" s="29">
        <v>0</v>
      </c>
      <c r="N249" s="29">
        <f>SUM(M250:M284)</f>
        <v>35</v>
      </c>
      <c r="O249" s="31">
        <f>SUM(O250:O284)</f>
        <v>0</v>
      </c>
      <c r="P249" s="31">
        <f>SUM(P250:P284)</f>
        <v>0</v>
      </c>
      <c r="Q249" s="65">
        <f>O249/$N249*$M249</f>
        <v>0</v>
      </c>
      <c r="R249" s="65">
        <f>P249/$N249*$M249</f>
        <v>0</v>
      </c>
    </row>
    <row r="250" spans="1:18" ht="52.8" x14ac:dyDescent="0.3">
      <c r="A250" s="3" t="str">
        <f>'Selbstbeurteilung Kunde'!A256</f>
        <v>4.2.1.a</v>
      </c>
      <c r="B250" s="6" t="str">
        <f>'Selbstbeurteilung Kunde'!C256</f>
        <v>Welche persönlichen Schutzausrüstungen sind aufgrund der Gefährdungssituationen in Ihrem Unternehmen notwendig:
Schutzelme?</v>
      </c>
      <c r="C250" s="49">
        <f>IF(ISBLANK('Selbstbeurteilung Kunde'!D256),0,1)</f>
        <v>0</v>
      </c>
      <c r="D250" s="49" t="str">
        <f>IF(AND('Selbstbeurteilung Kunde'!D256="",'Selbstbeurteilung Kunde'!E256=""),"*","")</f>
        <v>*</v>
      </c>
      <c r="E250" s="50" t="str">
        <f>IF(ISBLANK('Selbstbeurteilung Kunde'!F256),"",'Selbstbeurteilung Kunde'!F256)</f>
        <v/>
      </c>
      <c r="F250" s="287"/>
      <c r="G250" s="287"/>
      <c r="H250" s="287"/>
      <c r="I250" s="287"/>
      <c r="J250" s="287"/>
      <c r="K250" s="287"/>
      <c r="L250" s="279"/>
      <c r="M250" s="47">
        <v>1</v>
      </c>
      <c r="N250" s="34"/>
      <c r="O250" s="35">
        <f t="shared" ref="O250:O284" si="44">C250*M250</f>
        <v>0</v>
      </c>
      <c r="P250" s="54">
        <f t="shared" ref="P250:P284" si="45">L250*M250</f>
        <v>0</v>
      </c>
      <c r="Q250" s="46"/>
      <c r="R250" s="34"/>
    </row>
    <row r="251" spans="1:18" x14ac:dyDescent="0.3">
      <c r="A251" s="3" t="str">
        <f>'Selbstbeurteilung Kunde'!A257</f>
        <v>4.2.1.b</v>
      </c>
      <c r="B251" s="6" t="str">
        <f>'Selbstbeurteilung Kunde'!C257</f>
        <v>Schutzhelme/Gesichtsschutze?</v>
      </c>
      <c r="C251" s="49">
        <f>IF(ISBLANK('Selbstbeurteilung Kunde'!D257),0,1)</f>
        <v>0</v>
      </c>
      <c r="D251" s="49" t="str">
        <f>IF(AND('Selbstbeurteilung Kunde'!D257="",'Selbstbeurteilung Kunde'!E257=""),"*","")</f>
        <v>*</v>
      </c>
      <c r="E251" s="50" t="str">
        <f>IF(ISBLANK('Selbstbeurteilung Kunde'!F257),"",'Selbstbeurteilung Kunde'!F257)</f>
        <v/>
      </c>
      <c r="F251" s="287"/>
      <c r="G251" s="287"/>
      <c r="H251" s="287"/>
      <c r="I251" s="287"/>
      <c r="J251" s="287"/>
      <c r="K251" s="287"/>
      <c r="L251" s="279"/>
      <c r="M251" s="47">
        <v>1</v>
      </c>
      <c r="N251" s="34"/>
      <c r="O251" s="35">
        <f t="shared" si="44"/>
        <v>0</v>
      </c>
      <c r="P251" s="54">
        <f t="shared" si="45"/>
        <v>0</v>
      </c>
      <c r="Q251" s="46"/>
      <c r="R251" s="34"/>
    </row>
    <row r="252" spans="1:18" x14ac:dyDescent="0.3">
      <c r="A252" s="3" t="str">
        <f>'Selbstbeurteilung Kunde'!A258</f>
        <v>4.2.1.c</v>
      </c>
      <c r="B252" s="6" t="str">
        <f>'Selbstbeurteilung Kunde'!C258</f>
        <v>Haarschutznetze?</v>
      </c>
      <c r="C252" s="49">
        <f>IF(ISBLANK('Selbstbeurteilung Kunde'!D258),0,1)</f>
        <v>0</v>
      </c>
      <c r="D252" s="49" t="str">
        <f>IF(AND('Selbstbeurteilung Kunde'!D258="",'Selbstbeurteilung Kunde'!E258=""),"*","")</f>
        <v>*</v>
      </c>
      <c r="E252" s="50" t="str">
        <f>IF(ISBLANK('Selbstbeurteilung Kunde'!F258),"",'Selbstbeurteilung Kunde'!F258)</f>
        <v/>
      </c>
      <c r="F252" s="287"/>
      <c r="G252" s="287"/>
      <c r="H252" s="287"/>
      <c r="I252" s="287"/>
      <c r="J252" s="287"/>
      <c r="K252" s="287"/>
      <c r="L252" s="279"/>
      <c r="M252" s="47">
        <v>1</v>
      </c>
      <c r="N252" s="34"/>
      <c r="O252" s="35">
        <f t="shared" si="44"/>
        <v>0</v>
      </c>
      <c r="P252" s="54">
        <f t="shared" si="45"/>
        <v>0</v>
      </c>
      <c r="Q252" s="46"/>
      <c r="R252" s="34"/>
    </row>
    <row r="253" spans="1:18" x14ac:dyDescent="0.3">
      <c r="A253" s="3" t="str">
        <f>'Selbstbeurteilung Kunde'!A259</f>
        <v>4.2.1.d</v>
      </c>
      <c r="B253" s="6" t="str">
        <f>'Selbstbeurteilung Kunde'!C259</f>
        <v>Schutzbrillen?</v>
      </c>
      <c r="C253" s="49">
        <f>IF(ISBLANK('Selbstbeurteilung Kunde'!D259),0,1)</f>
        <v>0</v>
      </c>
      <c r="D253" s="49" t="str">
        <f>IF(AND('Selbstbeurteilung Kunde'!D259="",'Selbstbeurteilung Kunde'!E259=""),"*","")</f>
        <v>*</v>
      </c>
      <c r="E253" s="50" t="str">
        <f>IF(ISBLANK('Selbstbeurteilung Kunde'!F259),"",'Selbstbeurteilung Kunde'!F259)</f>
        <v/>
      </c>
      <c r="F253" s="287"/>
      <c r="G253" s="287"/>
      <c r="H253" s="287"/>
      <c r="I253" s="287"/>
      <c r="J253" s="287"/>
      <c r="K253" s="287"/>
      <c r="L253" s="279"/>
      <c r="M253" s="47">
        <v>1</v>
      </c>
      <c r="N253" s="34"/>
      <c r="O253" s="35">
        <f t="shared" si="44"/>
        <v>0</v>
      </c>
      <c r="P253" s="54">
        <f t="shared" si="45"/>
        <v>0</v>
      </c>
      <c r="Q253" s="46"/>
      <c r="R253" s="34"/>
    </row>
    <row r="254" spans="1:18" x14ac:dyDescent="0.3">
      <c r="A254" s="3" t="str">
        <f>'Selbstbeurteilung Kunde'!A260</f>
        <v>4.2.1.e</v>
      </c>
      <c r="B254" s="6" t="str">
        <f>'Selbstbeurteilung Kunde'!C260</f>
        <v>Schutzschilde?</v>
      </c>
      <c r="C254" s="49">
        <f>IF(ISBLANK('Selbstbeurteilung Kunde'!D260),0,1)</f>
        <v>0</v>
      </c>
      <c r="D254" s="49" t="str">
        <f>IF(AND('Selbstbeurteilung Kunde'!D260="",'Selbstbeurteilung Kunde'!E260=""),"*","")</f>
        <v>*</v>
      </c>
      <c r="E254" s="50" t="str">
        <f>IF(ISBLANK('Selbstbeurteilung Kunde'!F260),"",'Selbstbeurteilung Kunde'!F260)</f>
        <v/>
      </c>
      <c r="F254" s="287"/>
      <c r="G254" s="287"/>
      <c r="H254" s="287"/>
      <c r="I254" s="287"/>
      <c r="J254" s="287"/>
      <c r="K254" s="287"/>
      <c r="L254" s="279"/>
      <c r="M254" s="47">
        <v>1</v>
      </c>
      <c r="N254" s="34"/>
      <c r="O254" s="35">
        <f t="shared" si="44"/>
        <v>0</v>
      </c>
      <c r="P254" s="54">
        <f t="shared" si="45"/>
        <v>0</v>
      </c>
      <c r="Q254" s="46"/>
      <c r="R254" s="34"/>
    </row>
    <row r="255" spans="1:18" x14ac:dyDescent="0.3">
      <c r="A255" s="3" t="str">
        <f>'Selbstbeurteilung Kunde'!A261</f>
        <v>4.2.1.f</v>
      </c>
      <c r="B255" s="6" t="str">
        <f>'Selbstbeurteilung Kunde'!C261</f>
        <v>Schutzhauben?</v>
      </c>
      <c r="C255" s="49">
        <f>IF(ISBLANK('Selbstbeurteilung Kunde'!D261),0,1)</f>
        <v>0</v>
      </c>
      <c r="D255" s="49" t="str">
        <f>IF(AND('Selbstbeurteilung Kunde'!D261="",'Selbstbeurteilung Kunde'!E261=""),"*","")</f>
        <v>*</v>
      </c>
      <c r="E255" s="50" t="str">
        <f>IF(ISBLANK('Selbstbeurteilung Kunde'!F261),"",'Selbstbeurteilung Kunde'!F261)</f>
        <v/>
      </c>
      <c r="F255" s="287"/>
      <c r="G255" s="287"/>
      <c r="H255" s="287"/>
      <c r="I255" s="287"/>
      <c r="J255" s="287"/>
      <c r="K255" s="287"/>
      <c r="L255" s="279"/>
      <c r="M255" s="47">
        <v>1</v>
      </c>
      <c r="N255" s="34"/>
      <c r="O255" s="35">
        <f t="shared" si="44"/>
        <v>0</v>
      </c>
      <c r="P255" s="54">
        <f t="shared" si="45"/>
        <v>0</v>
      </c>
      <c r="Q255" s="46"/>
      <c r="R255" s="34"/>
    </row>
    <row r="256" spans="1:18" x14ac:dyDescent="0.3">
      <c r="A256" s="3" t="str">
        <f>'Selbstbeurteilung Kunde'!A262</f>
        <v>4.2.1.g</v>
      </c>
      <c r="B256" s="6" t="str">
        <f>'Selbstbeurteilung Kunde'!C262</f>
        <v>Schutzschirme?</v>
      </c>
      <c r="C256" s="49">
        <f>IF(ISBLANK('Selbstbeurteilung Kunde'!D262),0,1)</f>
        <v>0</v>
      </c>
      <c r="D256" s="49" t="str">
        <f>IF(AND('Selbstbeurteilung Kunde'!D262="",'Selbstbeurteilung Kunde'!E262=""),"*","")</f>
        <v>*</v>
      </c>
      <c r="E256" s="50" t="str">
        <f>IF(ISBLANK('Selbstbeurteilung Kunde'!F262),"",'Selbstbeurteilung Kunde'!F262)</f>
        <v/>
      </c>
      <c r="F256" s="287"/>
      <c r="G256" s="287"/>
      <c r="H256" s="287"/>
      <c r="I256" s="287"/>
      <c r="J256" s="287"/>
      <c r="K256" s="287"/>
      <c r="L256" s="279"/>
      <c r="M256" s="47">
        <v>1</v>
      </c>
      <c r="N256" s="34"/>
      <c r="O256" s="35">
        <f t="shared" si="44"/>
        <v>0</v>
      </c>
      <c r="P256" s="54">
        <f t="shared" si="45"/>
        <v>0</v>
      </c>
      <c r="Q256" s="46"/>
      <c r="R256" s="34"/>
    </row>
    <row r="257" spans="1:18" x14ac:dyDescent="0.3">
      <c r="A257" s="3" t="str">
        <f>'Selbstbeurteilung Kunde'!A263</f>
        <v>4.2.1.h</v>
      </c>
      <c r="B257" s="6" t="str">
        <f>'Selbstbeurteilung Kunde'!C263</f>
        <v>Gehörschutzstöpsel?</v>
      </c>
      <c r="C257" s="49">
        <f>IF(ISBLANK('Selbstbeurteilung Kunde'!D263),0,1)</f>
        <v>0</v>
      </c>
      <c r="D257" s="49" t="str">
        <f>IF(AND('Selbstbeurteilung Kunde'!D263="",'Selbstbeurteilung Kunde'!E263=""),"*","")</f>
        <v>*</v>
      </c>
      <c r="E257" s="50" t="str">
        <f>IF(ISBLANK('Selbstbeurteilung Kunde'!F263),"",'Selbstbeurteilung Kunde'!F263)</f>
        <v/>
      </c>
      <c r="F257" s="287"/>
      <c r="G257" s="287"/>
      <c r="H257" s="287"/>
      <c r="I257" s="287"/>
      <c r="J257" s="287"/>
      <c r="K257" s="287"/>
      <c r="L257" s="279"/>
      <c r="M257" s="47">
        <v>1</v>
      </c>
      <c r="N257" s="34"/>
      <c r="O257" s="35">
        <f t="shared" si="44"/>
        <v>0</v>
      </c>
      <c r="P257" s="54">
        <f t="shared" si="45"/>
        <v>0</v>
      </c>
      <c r="Q257" s="46"/>
      <c r="R257" s="34"/>
    </row>
    <row r="258" spans="1:18" x14ac:dyDescent="0.3">
      <c r="A258" s="3" t="str">
        <f>'Selbstbeurteilung Kunde'!A264</f>
        <v>4.2.1.i</v>
      </c>
      <c r="B258" s="6" t="str">
        <f>'Selbstbeurteilung Kunde'!C264</f>
        <v>Gehörschutzkapseln?</v>
      </c>
      <c r="C258" s="49">
        <f>IF(ISBLANK('Selbstbeurteilung Kunde'!D264),0,1)</f>
        <v>0</v>
      </c>
      <c r="D258" s="49" t="str">
        <f>IF(AND('Selbstbeurteilung Kunde'!D264="",'Selbstbeurteilung Kunde'!E264=""),"*","")</f>
        <v>*</v>
      </c>
      <c r="E258" s="50" t="str">
        <f>IF(ISBLANK('Selbstbeurteilung Kunde'!F264),"",'Selbstbeurteilung Kunde'!F264)</f>
        <v/>
      </c>
      <c r="F258" s="287"/>
      <c r="G258" s="287"/>
      <c r="H258" s="287"/>
      <c r="I258" s="287"/>
      <c r="J258" s="287"/>
      <c r="K258" s="287"/>
      <c r="L258" s="279"/>
      <c r="M258" s="47">
        <v>1</v>
      </c>
      <c r="N258" s="34"/>
      <c r="O258" s="35">
        <f t="shared" si="44"/>
        <v>0</v>
      </c>
      <c r="P258" s="54">
        <f t="shared" si="45"/>
        <v>0</v>
      </c>
      <c r="Q258" s="46"/>
      <c r="R258" s="34"/>
    </row>
    <row r="259" spans="1:18" x14ac:dyDescent="0.3">
      <c r="A259" s="3" t="str">
        <f>'Selbstbeurteilung Kunde'!A265</f>
        <v>4.2.1.j</v>
      </c>
      <c r="B259" s="6" t="str">
        <f>'Selbstbeurteilung Kunde'!C265</f>
        <v>Gehörschutzhelme?</v>
      </c>
      <c r="C259" s="49">
        <f>IF(ISBLANK('Selbstbeurteilung Kunde'!D265),0,1)</f>
        <v>0</v>
      </c>
      <c r="D259" s="49" t="str">
        <f>IF(AND('Selbstbeurteilung Kunde'!D265="",'Selbstbeurteilung Kunde'!E265=""),"*","")</f>
        <v>*</v>
      </c>
      <c r="E259" s="50" t="str">
        <f>IF(ISBLANK('Selbstbeurteilung Kunde'!F265),"",'Selbstbeurteilung Kunde'!F265)</f>
        <v/>
      </c>
      <c r="F259" s="287"/>
      <c r="G259" s="287"/>
      <c r="H259" s="287"/>
      <c r="I259" s="287"/>
      <c r="J259" s="287"/>
      <c r="K259" s="287"/>
      <c r="L259" s="279"/>
      <c r="M259" s="47">
        <v>1</v>
      </c>
      <c r="N259" s="34"/>
      <c r="O259" s="35">
        <f t="shared" si="44"/>
        <v>0</v>
      </c>
      <c r="P259" s="54">
        <f t="shared" si="45"/>
        <v>0</v>
      </c>
      <c r="Q259" s="46"/>
      <c r="R259" s="34"/>
    </row>
    <row r="260" spans="1:18" x14ac:dyDescent="0.3">
      <c r="A260" s="3" t="str">
        <f>'Selbstbeurteilung Kunde'!A266</f>
        <v>4.2.1.k</v>
      </c>
      <c r="B260" s="6" t="str">
        <f>'Selbstbeurteilung Kunde'!C266</f>
        <v>Schallschutzanzüge?</v>
      </c>
      <c r="C260" s="49">
        <f>IF(ISBLANK('Selbstbeurteilung Kunde'!D266),0,1)</f>
        <v>0</v>
      </c>
      <c r="D260" s="49" t="str">
        <f>IF(AND('Selbstbeurteilung Kunde'!D266="",'Selbstbeurteilung Kunde'!E266=""),"*","")</f>
        <v>*</v>
      </c>
      <c r="E260" s="50" t="str">
        <f>IF(ISBLANK('Selbstbeurteilung Kunde'!F266),"",'Selbstbeurteilung Kunde'!F266)</f>
        <v/>
      </c>
      <c r="F260" s="287"/>
      <c r="G260" s="287"/>
      <c r="H260" s="287"/>
      <c r="I260" s="287"/>
      <c r="J260" s="287"/>
      <c r="K260" s="287"/>
      <c r="L260" s="279"/>
      <c r="M260" s="47">
        <v>1</v>
      </c>
      <c r="N260" s="34"/>
      <c r="O260" s="35">
        <f t="shared" si="44"/>
        <v>0</v>
      </c>
      <c r="P260" s="54">
        <f t="shared" si="45"/>
        <v>0</v>
      </c>
      <c r="Q260" s="46"/>
      <c r="R260" s="34"/>
    </row>
    <row r="261" spans="1:18" x14ac:dyDescent="0.3">
      <c r="A261" s="3" t="str">
        <f>'Selbstbeurteilung Kunde'!A267</f>
        <v>4.2.1.l</v>
      </c>
      <c r="B261" s="6" t="str">
        <f>'Selbstbeurteilung Kunde'!C267</f>
        <v>Filtergeräte?</v>
      </c>
      <c r="C261" s="49">
        <f>IF(ISBLANK('Selbstbeurteilung Kunde'!D267),0,1)</f>
        <v>0</v>
      </c>
      <c r="D261" s="49" t="str">
        <f>IF(AND('Selbstbeurteilung Kunde'!D267="",'Selbstbeurteilung Kunde'!E267=""),"*","")</f>
        <v>*</v>
      </c>
      <c r="E261" s="50" t="str">
        <f>IF(ISBLANK('Selbstbeurteilung Kunde'!F267),"",'Selbstbeurteilung Kunde'!F267)</f>
        <v/>
      </c>
      <c r="F261" s="287"/>
      <c r="G261" s="287"/>
      <c r="H261" s="287"/>
      <c r="I261" s="287"/>
      <c r="J261" s="287"/>
      <c r="K261" s="287"/>
      <c r="L261" s="279"/>
      <c r="M261" s="47">
        <v>1</v>
      </c>
      <c r="N261" s="34"/>
      <c r="O261" s="35">
        <f t="shared" si="44"/>
        <v>0</v>
      </c>
      <c r="P261" s="54">
        <f t="shared" si="45"/>
        <v>0</v>
      </c>
      <c r="Q261" s="46"/>
      <c r="R261" s="34"/>
    </row>
    <row r="262" spans="1:18" x14ac:dyDescent="0.3">
      <c r="A262" s="3" t="str">
        <f>'Selbstbeurteilung Kunde'!A268</f>
        <v>4.2.1.m</v>
      </c>
      <c r="B262" s="6" t="str">
        <f>'Selbstbeurteilung Kunde'!C268</f>
        <v>Schlauchgeräte  für den Atemschutz?</v>
      </c>
      <c r="C262" s="49">
        <f>IF(ISBLANK('Selbstbeurteilung Kunde'!D268),0,1)</f>
        <v>0</v>
      </c>
      <c r="D262" s="49" t="str">
        <f>IF(AND('Selbstbeurteilung Kunde'!D268="",'Selbstbeurteilung Kunde'!E268=""),"*","")</f>
        <v>*</v>
      </c>
      <c r="E262" s="50" t="str">
        <f>IF(ISBLANK('Selbstbeurteilung Kunde'!F268),"",'Selbstbeurteilung Kunde'!F268)</f>
        <v/>
      </c>
      <c r="F262" s="287"/>
      <c r="G262" s="287"/>
      <c r="H262" s="287"/>
      <c r="I262" s="287"/>
      <c r="J262" s="287"/>
      <c r="K262" s="287"/>
      <c r="L262" s="279"/>
      <c r="M262" s="47">
        <v>1</v>
      </c>
      <c r="N262" s="34"/>
      <c r="O262" s="35">
        <f t="shared" si="44"/>
        <v>0</v>
      </c>
      <c r="P262" s="54">
        <f t="shared" si="45"/>
        <v>0</v>
      </c>
      <c r="Q262" s="46"/>
      <c r="R262" s="34"/>
    </row>
    <row r="263" spans="1:18" x14ac:dyDescent="0.3">
      <c r="A263" s="3" t="str">
        <f>'Selbstbeurteilung Kunde'!A269</f>
        <v>4.2.1.n</v>
      </c>
      <c r="B263" s="6" t="str">
        <f>'Selbstbeurteilung Kunde'!C269</f>
        <v>Regenerationsgeräte für den Atemschutz?</v>
      </c>
      <c r="C263" s="49">
        <f>IF(ISBLANK('Selbstbeurteilung Kunde'!D269),0,1)</f>
        <v>0</v>
      </c>
      <c r="D263" s="49" t="str">
        <f>IF(AND('Selbstbeurteilung Kunde'!D269="",'Selbstbeurteilung Kunde'!E269=""),"*","")</f>
        <v>*</v>
      </c>
      <c r="E263" s="50" t="str">
        <f>IF(ISBLANK('Selbstbeurteilung Kunde'!F269),"",'Selbstbeurteilung Kunde'!F269)</f>
        <v/>
      </c>
      <c r="F263" s="287"/>
      <c r="G263" s="287"/>
      <c r="H263" s="287"/>
      <c r="I263" s="287"/>
      <c r="J263" s="287"/>
      <c r="K263" s="287"/>
      <c r="L263" s="279"/>
      <c r="M263" s="47">
        <v>1</v>
      </c>
      <c r="N263" s="34"/>
      <c r="O263" s="35">
        <f t="shared" si="44"/>
        <v>0</v>
      </c>
      <c r="P263" s="54">
        <f t="shared" si="45"/>
        <v>0</v>
      </c>
      <c r="Q263" s="46"/>
      <c r="R263" s="34"/>
    </row>
    <row r="264" spans="1:18" x14ac:dyDescent="0.3">
      <c r="A264" s="3" t="str">
        <f>'Selbstbeurteilung Kunde'!A270</f>
        <v>4.2.1.o</v>
      </c>
      <c r="B264" s="6" t="str">
        <f>'Selbstbeurteilung Kunde'!C270</f>
        <v>Behältergeräte für den Atemschutz?</v>
      </c>
      <c r="C264" s="49">
        <f>IF(ISBLANK('Selbstbeurteilung Kunde'!D270),0,1)</f>
        <v>0</v>
      </c>
      <c r="D264" s="49" t="str">
        <f>IF(AND('Selbstbeurteilung Kunde'!D270="",'Selbstbeurteilung Kunde'!E270=""),"*","")</f>
        <v>*</v>
      </c>
      <c r="E264" s="50" t="str">
        <f>IF(ISBLANK('Selbstbeurteilung Kunde'!F270),"",'Selbstbeurteilung Kunde'!F270)</f>
        <v/>
      </c>
      <c r="F264" s="287"/>
      <c r="G264" s="287"/>
      <c r="H264" s="287"/>
      <c r="I264" s="287"/>
      <c r="J264" s="287"/>
      <c r="K264" s="287"/>
      <c r="L264" s="279"/>
      <c r="M264" s="47">
        <v>1</v>
      </c>
      <c r="N264" s="34"/>
      <c r="O264" s="35">
        <f t="shared" si="44"/>
        <v>0</v>
      </c>
      <c r="P264" s="54">
        <f t="shared" si="45"/>
        <v>0</v>
      </c>
      <c r="Q264" s="46"/>
      <c r="R264" s="34"/>
    </row>
    <row r="265" spans="1:18" x14ac:dyDescent="0.3">
      <c r="A265" s="3" t="str">
        <f>'Selbstbeurteilung Kunde'!A271</f>
        <v>4.2.1.p</v>
      </c>
      <c r="B265" s="6" t="str">
        <f>'Selbstbeurteilung Kunde'!C271</f>
        <v>Atemschutzhelme?</v>
      </c>
      <c r="C265" s="49">
        <f>IF(ISBLANK('Selbstbeurteilung Kunde'!D271),0,1)</f>
        <v>0</v>
      </c>
      <c r="D265" s="49" t="str">
        <f>IF(AND('Selbstbeurteilung Kunde'!D271="",'Selbstbeurteilung Kunde'!E271=""),"*","")</f>
        <v>*</v>
      </c>
      <c r="E265" s="50" t="str">
        <f>IF(ISBLANK('Selbstbeurteilung Kunde'!F271),"",'Selbstbeurteilung Kunde'!F271)</f>
        <v/>
      </c>
      <c r="F265" s="287"/>
      <c r="G265" s="287"/>
      <c r="H265" s="287"/>
      <c r="I265" s="287"/>
      <c r="J265" s="287"/>
      <c r="K265" s="287"/>
      <c r="L265" s="279"/>
      <c r="M265" s="47">
        <v>1</v>
      </c>
      <c r="N265" s="34"/>
      <c r="O265" s="35">
        <f t="shared" si="44"/>
        <v>0</v>
      </c>
      <c r="P265" s="54">
        <f t="shared" si="45"/>
        <v>0</v>
      </c>
      <c r="Q265" s="46"/>
      <c r="R265" s="34"/>
    </row>
    <row r="266" spans="1:18" x14ac:dyDescent="0.3">
      <c r="A266" s="3" t="str">
        <f>'Selbstbeurteilung Kunde'!A272</f>
        <v>4.2.1.q</v>
      </c>
      <c r="B266" s="6" t="str">
        <f>'Selbstbeurteilung Kunde'!C272</f>
        <v>Atemschutzanzüge?</v>
      </c>
      <c r="C266" s="49">
        <f>IF(ISBLANK('Selbstbeurteilung Kunde'!D272),0,1)</f>
        <v>0</v>
      </c>
      <c r="D266" s="49" t="str">
        <f>IF(AND('Selbstbeurteilung Kunde'!D272="",'Selbstbeurteilung Kunde'!E272=""),"*","")</f>
        <v>*</v>
      </c>
      <c r="E266" s="50" t="str">
        <f>IF(ISBLANK('Selbstbeurteilung Kunde'!F272),"",'Selbstbeurteilung Kunde'!F272)</f>
        <v/>
      </c>
      <c r="F266" s="287"/>
      <c r="G266" s="287"/>
      <c r="H266" s="287"/>
      <c r="I266" s="287"/>
      <c r="J266" s="287"/>
      <c r="K266" s="287"/>
      <c r="L266" s="279"/>
      <c r="M266" s="47">
        <v>1</v>
      </c>
      <c r="N266" s="34"/>
      <c r="O266" s="35">
        <f t="shared" si="44"/>
        <v>0</v>
      </c>
      <c r="P266" s="54">
        <f t="shared" si="45"/>
        <v>0</v>
      </c>
      <c r="Q266" s="46"/>
      <c r="R266" s="34"/>
    </row>
    <row r="267" spans="1:18" x14ac:dyDescent="0.3">
      <c r="A267" s="3" t="str">
        <f>'Selbstbeurteilung Kunde'!A273</f>
        <v>4.2.1.r</v>
      </c>
      <c r="B267" s="6" t="str">
        <f>'Selbstbeurteilung Kunde'!C273</f>
        <v>Schutzhandschuhe?</v>
      </c>
      <c r="C267" s="49">
        <f>IF(ISBLANK('Selbstbeurteilung Kunde'!D273),0,1)</f>
        <v>0</v>
      </c>
      <c r="D267" s="49" t="str">
        <f>IF(AND('Selbstbeurteilung Kunde'!D273="",'Selbstbeurteilung Kunde'!E273=""),"*","")</f>
        <v>*</v>
      </c>
      <c r="E267" s="50" t="str">
        <f>IF(ISBLANK('Selbstbeurteilung Kunde'!F273),"",'Selbstbeurteilung Kunde'!F273)</f>
        <v/>
      </c>
      <c r="F267" s="287"/>
      <c r="G267" s="287"/>
      <c r="H267" s="287"/>
      <c r="I267" s="287"/>
      <c r="J267" s="287"/>
      <c r="K267" s="287"/>
      <c r="L267" s="279"/>
      <c r="M267" s="47">
        <v>1</v>
      </c>
      <c r="N267" s="34"/>
      <c r="O267" s="35">
        <f t="shared" si="44"/>
        <v>0</v>
      </c>
      <c r="P267" s="54">
        <f t="shared" si="45"/>
        <v>0</v>
      </c>
      <c r="Q267" s="46"/>
      <c r="R267" s="34"/>
    </row>
    <row r="268" spans="1:18" x14ac:dyDescent="0.3">
      <c r="A268" s="3" t="str">
        <f>'Selbstbeurteilung Kunde'!A274</f>
        <v>4.2.1.s</v>
      </c>
      <c r="B268" s="6" t="str">
        <f>'Selbstbeurteilung Kunde'!C274</f>
        <v>Armschützer?</v>
      </c>
      <c r="C268" s="49">
        <f>IF(ISBLANK('Selbstbeurteilung Kunde'!D274),0,1)</f>
        <v>0</v>
      </c>
      <c r="D268" s="49" t="str">
        <f>IF(AND('Selbstbeurteilung Kunde'!D274="",'Selbstbeurteilung Kunde'!E274=""),"*","")</f>
        <v>*</v>
      </c>
      <c r="E268" s="50" t="str">
        <f>IF(ISBLANK('Selbstbeurteilung Kunde'!F274),"",'Selbstbeurteilung Kunde'!F274)</f>
        <v/>
      </c>
      <c r="F268" s="287"/>
      <c r="G268" s="287"/>
      <c r="H268" s="287"/>
      <c r="I268" s="287"/>
      <c r="J268" s="287"/>
      <c r="K268" s="287"/>
      <c r="L268" s="279"/>
      <c r="M268" s="47">
        <v>1</v>
      </c>
      <c r="N268" s="34"/>
      <c r="O268" s="35">
        <f t="shared" si="44"/>
        <v>0</v>
      </c>
      <c r="P268" s="54">
        <f t="shared" si="45"/>
        <v>0</v>
      </c>
      <c r="Q268" s="46"/>
      <c r="R268" s="34"/>
    </row>
    <row r="269" spans="1:18" x14ac:dyDescent="0.3">
      <c r="A269" s="3" t="str">
        <f>'Selbstbeurteilung Kunde'!A275</f>
        <v>4.2.1.t</v>
      </c>
      <c r="B269" s="6" t="str">
        <f>'Selbstbeurteilung Kunde'!C275</f>
        <v>Hautschutzmittel?</v>
      </c>
      <c r="C269" s="49">
        <f>IF(ISBLANK('Selbstbeurteilung Kunde'!D275),0,1)</f>
        <v>0</v>
      </c>
      <c r="D269" s="49" t="str">
        <f>IF(AND('Selbstbeurteilung Kunde'!D275="",'Selbstbeurteilung Kunde'!E275=""),"*","")</f>
        <v>*</v>
      </c>
      <c r="E269" s="50" t="str">
        <f>IF(ISBLANK('Selbstbeurteilung Kunde'!F275),"",'Selbstbeurteilung Kunde'!F275)</f>
        <v/>
      </c>
      <c r="F269" s="287"/>
      <c r="G269" s="287"/>
      <c r="H269" s="287"/>
      <c r="I269" s="287"/>
      <c r="J269" s="287"/>
      <c r="K269" s="287"/>
      <c r="L269" s="279"/>
      <c r="M269" s="47">
        <v>1</v>
      </c>
      <c r="N269" s="34"/>
      <c r="O269" s="35">
        <f t="shared" si="44"/>
        <v>0</v>
      </c>
      <c r="P269" s="54">
        <f t="shared" si="45"/>
        <v>0</v>
      </c>
      <c r="Q269" s="46"/>
      <c r="R269" s="34"/>
    </row>
    <row r="270" spans="1:18" x14ac:dyDescent="0.3">
      <c r="A270" s="3" t="str">
        <f>'Selbstbeurteilung Kunde'!A276</f>
        <v>4.2.1.u</v>
      </c>
      <c r="B270" s="6" t="str">
        <f>'Selbstbeurteilung Kunde'!C276</f>
        <v>Schutzschuhe?</v>
      </c>
      <c r="C270" s="49">
        <f>IF(ISBLANK('Selbstbeurteilung Kunde'!D276),0,1)</f>
        <v>0</v>
      </c>
      <c r="D270" s="49" t="str">
        <f>IF(AND('Selbstbeurteilung Kunde'!D276="",'Selbstbeurteilung Kunde'!E276=""),"*","")</f>
        <v>*</v>
      </c>
      <c r="E270" s="50" t="str">
        <f>IF(ISBLANK('Selbstbeurteilung Kunde'!F276),"",'Selbstbeurteilung Kunde'!F276)</f>
        <v/>
      </c>
      <c r="F270" s="287"/>
      <c r="G270" s="287"/>
      <c r="H270" s="287"/>
      <c r="I270" s="287"/>
      <c r="J270" s="287"/>
      <c r="K270" s="287"/>
      <c r="L270" s="279"/>
      <c r="M270" s="47">
        <v>1</v>
      </c>
      <c r="N270" s="34"/>
      <c r="O270" s="35">
        <f t="shared" si="44"/>
        <v>0</v>
      </c>
      <c r="P270" s="54">
        <f t="shared" si="45"/>
        <v>0</v>
      </c>
      <c r="Q270" s="46"/>
      <c r="R270" s="34"/>
    </row>
    <row r="271" spans="1:18" x14ac:dyDescent="0.3">
      <c r="A271" s="3" t="str">
        <f>'Selbstbeurteilung Kunde'!A277</f>
        <v>4.2.1.v</v>
      </c>
      <c r="B271" s="6" t="str">
        <f>'Selbstbeurteilung Kunde'!C277</f>
        <v>Schutzgamaschen?</v>
      </c>
      <c r="C271" s="49">
        <f>IF(ISBLANK('Selbstbeurteilung Kunde'!D277),0,1)</f>
        <v>0</v>
      </c>
      <c r="D271" s="49" t="str">
        <f>IF(AND('Selbstbeurteilung Kunde'!D277="",'Selbstbeurteilung Kunde'!E277=""),"*","")</f>
        <v>*</v>
      </c>
      <c r="E271" s="50" t="str">
        <f>IF(ISBLANK('Selbstbeurteilung Kunde'!F277),"",'Selbstbeurteilung Kunde'!F277)</f>
        <v/>
      </c>
      <c r="F271" s="290"/>
      <c r="G271" s="290"/>
      <c r="H271" s="290"/>
      <c r="I271" s="290"/>
      <c r="J271" s="290"/>
      <c r="K271" s="290"/>
      <c r="L271" s="279"/>
      <c r="M271" s="47">
        <v>1</v>
      </c>
      <c r="N271" s="34"/>
      <c r="O271" s="35">
        <f t="shared" si="44"/>
        <v>0</v>
      </c>
      <c r="P271" s="54">
        <f t="shared" si="45"/>
        <v>0</v>
      </c>
      <c r="Q271" s="46"/>
      <c r="R271" s="46"/>
    </row>
    <row r="272" spans="1:18" x14ac:dyDescent="0.3">
      <c r="A272" s="3" t="str">
        <f>'Selbstbeurteilung Kunde'!A278</f>
        <v>4.2.1.w</v>
      </c>
      <c r="B272" s="6" t="str">
        <f>'Selbstbeurteilung Kunde'!C278</f>
        <v>Schienbeinschützer?</v>
      </c>
      <c r="C272" s="49">
        <f>IF(ISBLANK('Selbstbeurteilung Kunde'!D278),0,1)</f>
        <v>0</v>
      </c>
      <c r="D272" s="49" t="str">
        <f>IF(AND('Selbstbeurteilung Kunde'!D278="",'Selbstbeurteilung Kunde'!E278=""),"*","")</f>
        <v>*</v>
      </c>
      <c r="E272" s="50" t="str">
        <f>IF(ISBLANK('Selbstbeurteilung Kunde'!F278),"",'Selbstbeurteilung Kunde'!F278)</f>
        <v/>
      </c>
      <c r="F272" s="287"/>
      <c r="G272" s="287"/>
      <c r="H272" s="287"/>
      <c r="I272" s="287"/>
      <c r="J272" s="287"/>
      <c r="K272" s="287"/>
      <c r="L272" s="279"/>
      <c r="M272" s="47">
        <v>1</v>
      </c>
      <c r="N272" s="34"/>
      <c r="O272" s="35">
        <f t="shared" si="44"/>
        <v>0</v>
      </c>
      <c r="P272" s="54">
        <f t="shared" si="45"/>
        <v>0</v>
      </c>
      <c r="Q272" s="46"/>
      <c r="R272" s="34"/>
    </row>
    <row r="273" spans="1:18" x14ac:dyDescent="0.3">
      <c r="A273" s="3" t="str">
        <f>'Selbstbeurteilung Kunde'!A279</f>
        <v>4.2.1.x</v>
      </c>
      <c r="B273" s="6" t="str">
        <f>'Selbstbeurteilung Kunde'!C279</f>
        <v>Knieschützer?</v>
      </c>
      <c r="C273" s="49">
        <f>IF(ISBLANK('Selbstbeurteilung Kunde'!D279),0,1)</f>
        <v>0</v>
      </c>
      <c r="D273" s="49" t="str">
        <f>IF(AND('Selbstbeurteilung Kunde'!D279="",'Selbstbeurteilung Kunde'!E279=""),"*","")</f>
        <v>*</v>
      </c>
      <c r="E273" s="50" t="str">
        <f>IF(ISBLANK('Selbstbeurteilung Kunde'!F279),"",'Selbstbeurteilung Kunde'!F279)</f>
        <v/>
      </c>
      <c r="F273" s="287"/>
      <c r="G273" s="287"/>
      <c r="H273" s="287"/>
      <c r="I273" s="287"/>
      <c r="J273" s="287"/>
      <c r="K273" s="287"/>
      <c r="L273" s="279"/>
      <c r="M273" s="47">
        <v>1</v>
      </c>
      <c r="N273" s="34"/>
      <c r="O273" s="35">
        <f t="shared" si="44"/>
        <v>0</v>
      </c>
      <c r="P273" s="54">
        <f t="shared" si="45"/>
        <v>0</v>
      </c>
      <c r="Q273" s="46"/>
      <c r="R273" s="34"/>
    </row>
    <row r="274" spans="1:18" x14ac:dyDescent="0.3">
      <c r="A274" s="3" t="str">
        <f>'Selbstbeurteilung Kunde'!A280</f>
        <v>4.2.1.y</v>
      </c>
      <c r="B274" s="6" t="str">
        <f>'Selbstbeurteilung Kunde'!C280</f>
        <v>Warnkleider, Signalfarben?</v>
      </c>
      <c r="C274" s="49">
        <f>IF(ISBLANK('Selbstbeurteilung Kunde'!D280),0,1)</f>
        <v>0</v>
      </c>
      <c r="D274" s="49" t="str">
        <f>IF(AND('Selbstbeurteilung Kunde'!D280="",'Selbstbeurteilung Kunde'!E280=""),"*","")</f>
        <v>*</v>
      </c>
      <c r="E274" s="50" t="str">
        <f>IF(ISBLANK('Selbstbeurteilung Kunde'!F280),"",'Selbstbeurteilung Kunde'!F280)</f>
        <v/>
      </c>
      <c r="F274" s="287"/>
      <c r="G274" s="287"/>
      <c r="H274" s="287"/>
      <c r="I274" s="287"/>
      <c r="J274" s="287"/>
      <c r="K274" s="287"/>
      <c r="L274" s="279"/>
      <c r="M274" s="47">
        <v>1</v>
      </c>
      <c r="N274" s="34"/>
      <c r="O274" s="35">
        <f t="shared" si="44"/>
        <v>0</v>
      </c>
      <c r="P274" s="54">
        <f t="shared" si="45"/>
        <v>0</v>
      </c>
      <c r="Q274" s="46"/>
      <c r="R274" s="34"/>
    </row>
    <row r="275" spans="1:18" x14ac:dyDescent="0.3">
      <c r="A275" s="3" t="str">
        <f>'Selbstbeurteilung Kunde'!A281</f>
        <v>4.2.1.z</v>
      </c>
      <c r="B275" s="6" t="str">
        <f>'Selbstbeurteilung Kunde'!C281</f>
        <v>Schutzanzüge?</v>
      </c>
      <c r="C275" s="49">
        <f>IF(ISBLANK('Selbstbeurteilung Kunde'!D281),0,1)</f>
        <v>0</v>
      </c>
      <c r="D275" s="49" t="str">
        <f>IF(AND('Selbstbeurteilung Kunde'!D281="",'Selbstbeurteilung Kunde'!E281=""),"*","")</f>
        <v>*</v>
      </c>
      <c r="E275" s="50" t="str">
        <f>IF(ISBLANK('Selbstbeurteilung Kunde'!F281),"",'Selbstbeurteilung Kunde'!F281)</f>
        <v/>
      </c>
      <c r="F275" s="287"/>
      <c r="G275" s="287"/>
      <c r="H275" s="287"/>
      <c r="I275" s="287"/>
      <c r="J275" s="287"/>
      <c r="K275" s="287"/>
      <c r="L275" s="279"/>
      <c r="M275" s="47">
        <v>1</v>
      </c>
      <c r="N275" s="34"/>
      <c r="O275" s="35">
        <f t="shared" si="44"/>
        <v>0</v>
      </c>
      <c r="P275" s="54">
        <f t="shared" si="45"/>
        <v>0</v>
      </c>
      <c r="Q275" s="46"/>
      <c r="R275" s="34"/>
    </row>
    <row r="276" spans="1:18" x14ac:dyDescent="0.3">
      <c r="A276" s="3" t="str">
        <f>'Selbstbeurteilung Kunde'!A282</f>
        <v>4.2.1.aa</v>
      </c>
      <c r="B276" s="6" t="str">
        <f>'Selbstbeurteilung Kunde'!C282</f>
        <v>Schutzschürzen?</v>
      </c>
      <c r="C276" s="49">
        <f>IF(ISBLANK('Selbstbeurteilung Kunde'!D282),0,1)</f>
        <v>0</v>
      </c>
      <c r="D276" s="49" t="str">
        <f>IF(AND('Selbstbeurteilung Kunde'!D282="",'Selbstbeurteilung Kunde'!E282=""),"*","")</f>
        <v>*</v>
      </c>
      <c r="E276" s="50" t="str">
        <f>IF(ISBLANK('Selbstbeurteilung Kunde'!F282),"",'Selbstbeurteilung Kunde'!F282)</f>
        <v/>
      </c>
      <c r="F276" s="287"/>
      <c r="G276" s="287"/>
      <c r="H276" s="287"/>
      <c r="I276" s="287"/>
      <c r="J276" s="287"/>
      <c r="K276" s="287"/>
      <c r="L276" s="279"/>
      <c r="M276" s="47">
        <v>1</v>
      </c>
      <c r="N276" s="34"/>
      <c r="O276" s="35">
        <f t="shared" si="44"/>
        <v>0</v>
      </c>
      <c r="P276" s="54">
        <f t="shared" si="45"/>
        <v>0</v>
      </c>
      <c r="Q276" s="46"/>
      <c r="R276" s="34"/>
    </row>
    <row r="277" spans="1:18" x14ac:dyDescent="0.3">
      <c r="A277" s="3" t="str">
        <f>'Selbstbeurteilung Kunde'!A283</f>
        <v>4.2.1.bb</v>
      </c>
      <c r="B277" s="6" t="str">
        <f>'Selbstbeurteilung Kunde'!C283</f>
        <v>Schutzmäntel?</v>
      </c>
      <c r="C277" s="49">
        <f>IF(ISBLANK('Selbstbeurteilung Kunde'!D283),0,1)</f>
        <v>0</v>
      </c>
      <c r="D277" s="49" t="str">
        <f>IF(AND('Selbstbeurteilung Kunde'!D283="",'Selbstbeurteilung Kunde'!E283=""),"*","")</f>
        <v>*</v>
      </c>
      <c r="E277" s="50" t="str">
        <f>IF(ISBLANK('Selbstbeurteilung Kunde'!F283),"",'Selbstbeurteilung Kunde'!F283)</f>
        <v/>
      </c>
      <c r="F277" s="287"/>
      <c r="G277" s="287"/>
      <c r="H277" s="287"/>
      <c r="I277" s="287"/>
      <c r="J277" s="287"/>
      <c r="K277" s="287"/>
      <c r="L277" s="279"/>
      <c r="M277" s="47">
        <v>1</v>
      </c>
      <c r="N277" s="34"/>
      <c r="O277" s="35">
        <f t="shared" si="44"/>
        <v>0</v>
      </c>
      <c r="P277" s="54">
        <f t="shared" si="45"/>
        <v>0</v>
      </c>
      <c r="Q277" s="46"/>
      <c r="R277" s="34"/>
    </row>
    <row r="278" spans="1:18" x14ac:dyDescent="0.3">
      <c r="A278" s="3" t="str">
        <f>'Selbstbeurteilung Kunde'!A284</f>
        <v>4.2.1.cc</v>
      </c>
      <c r="B278" s="6" t="str">
        <f>'Selbstbeurteilung Kunde'!C284</f>
        <v>Kälteschutze?</v>
      </c>
      <c r="C278" s="49">
        <f>IF(ISBLANK('Selbstbeurteilung Kunde'!D284),0,1)</f>
        <v>0</v>
      </c>
      <c r="D278" s="49" t="str">
        <f>IF(AND('Selbstbeurteilung Kunde'!D284="",'Selbstbeurteilung Kunde'!E284=""),"*","")</f>
        <v>*</v>
      </c>
      <c r="E278" s="50" t="str">
        <f>IF(ISBLANK('Selbstbeurteilung Kunde'!F284),"",'Selbstbeurteilung Kunde'!F284)</f>
        <v/>
      </c>
      <c r="F278" s="287"/>
      <c r="G278" s="287"/>
      <c r="H278" s="287"/>
      <c r="I278" s="287"/>
      <c r="J278" s="287"/>
      <c r="K278" s="287"/>
      <c r="L278" s="279"/>
      <c r="M278" s="47">
        <v>1</v>
      </c>
      <c r="N278" s="34"/>
      <c r="O278" s="35">
        <f t="shared" si="44"/>
        <v>0</v>
      </c>
      <c r="P278" s="54">
        <f t="shared" si="45"/>
        <v>0</v>
      </c>
      <c r="Q278" s="46"/>
      <c r="R278" s="34"/>
    </row>
    <row r="279" spans="1:18" x14ac:dyDescent="0.3">
      <c r="A279" s="3" t="str">
        <f>'Selbstbeurteilung Kunde'!A285</f>
        <v>4.2.1.dd</v>
      </c>
      <c r="B279" s="6" t="str">
        <f>'Selbstbeurteilung Kunde'!C285</f>
        <v>Nässeschutze?</v>
      </c>
      <c r="C279" s="49">
        <f>IF(ISBLANK('Selbstbeurteilung Kunde'!D285),0,1)</f>
        <v>0</v>
      </c>
      <c r="D279" s="49" t="str">
        <f>IF(AND('Selbstbeurteilung Kunde'!D285="",'Selbstbeurteilung Kunde'!E285=""),"*","")</f>
        <v>*</v>
      </c>
      <c r="E279" s="50" t="str">
        <f>IF(ISBLANK('Selbstbeurteilung Kunde'!F285),"",'Selbstbeurteilung Kunde'!F285)</f>
        <v/>
      </c>
      <c r="F279" s="290"/>
      <c r="G279" s="290"/>
      <c r="H279" s="290"/>
      <c r="I279" s="290"/>
      <c r="J279" s="290"/>
      <c r="K279" s="290"/>
      <c r="L279" s="279"/>
      <c r="M279" s="47">
        <v>1</v>
      </c>
      <c r="N279" s="34"/>
      <c r="O279" s="35">
        <f t="shared" si="44"/>
        <v>0</v>
      </c>
      <c r="P279" s="54">
        <f t="shared" si="45"/>
        <v>0</v>
      </c>
      <c r="Q279" s="46"/>
      <c r="R279" s="46"/>
    </row>
    <row r="280" spans="1:18" x14ac:dyDescent="0.3">
      <c r="A280" s="3" t="str">
        <f>'Selbstbeurteilung Kunde'!A286</f>
        <v>4.2.1.ee</v>
      </c>
      <c r="B280" s="6" t="str">
        <f>'Selbstbeurteilung Kunde'!C286</f>
        <v>Hosen mit Schnittschutz?</v>
      </c>
      <c r="C280" s="49">
        <f>IF(ISBLANK('Selbstbeurteilung Kunde'!D286),0,1)</f>
        <v>0</v>
      </c>
      <c r="D280" s="49" t="str">
        <f>IF(AND('Selbstbeurteilung Kunde'!D286="",'Selbstbeurteilung Kunde'!E286=""),"*","")</f>
        <v>*</v>
      </c>
      <c r="E280" s="50" t="str">
        <f>IF(ISBLANK('Selbstbeurteilung Kunde'!F286),"",'Selbstbeurteilung Kunde'!F286)</f>
        <v/>
      </c>
      <c r="F280" s="287"/>
      <c r="G280" s="287"/>
      <c r="H280" s="287"/>
      <c r="I280" s="287"/>
      <c r="J280" s="287"/>
      <c r="K280" s="287"/>
      <c r="L280" s="279"/>
      <c r="M280" s="47">
        <v>1</v>
      </c>
      <c r="N280" s="34"/>
      <c r="O280" s="35">
        <f t="shared" si="44"/>
        <v>0</v>
      </c>
      <c r="P280" s="54">
        <f t="shared" si="45"/>
        <v>0</v>
      </c>
      <c r="Q280" s="46"/>
      <c r="R280" s="34"/>
    </row>
    <row r="281" spans="1:18" x14ac:dyDescent="0.3">
      <c r="A281" s="3" t="str">
        <f>'Selbstbeurteilung Kunde'!A287</f>
        <v>4.2.1.ff</v>
      </c>
      <c r="B281" s="6" t="str">
        <f>'Selbstbeurteilung Kunde'!C287</f>
        <v>Auffanggurte?</v>
      </c>
      <c r="C281" s="49">
        <f>IF(ISBLANK('Selbstbeurteilung Kunde'!D287),0,1)</f>
        <v>0</v>
      </c>
      <c r="D281" s="49" t="str">
        <f>IF(AND('Selbstbeurteilung Kunde'!D287="",'Selbstbeurteilung Kunde'!E287=""),"*","")</f>
        <v>*</v>
      </c>
      <c r="E281" s="50" t="str">
        <f>IF(ISBLANK('Selbstbeurteilung Kunde'!F287),"",'Selbstbeurteilung Kunde'!F287)</f>
        <v/>
      </c>
      <c r="F281" s="287"/>
      <c r="G281" s="287"/>
      <c r="H281" s="287"/>
      <c r="I281" s="287"/>
      <c r="J281" s="287"/>
      <c r="K281" s="287"/>
      <c r="L281" s="279"/>
      <c r="M281" s="47">
        <v>1</v>
      </c>
      <c r="N281" s="34"/>
      <c r="O281" s="35">
        <f t="shared" si="44"/>
        <v>0</v>
      </c>
      <c r="P281" s="54">
        <f t="shared" si="45"/>
        <v>0</v>
      </c>
      <c r="Q281" s="46"/>
      <c r="R281" s="34"/>
    </row>
    <row r="282" spans="1:18" x14ac:dyDescent="0.3">
      <c r="A282" s="3" t="str">
        <f>'Selbstbeurteilung Kunde'!A288</f>
        <v>4.2.1.gg</v>
      </c>
      <c r="B282" s="6" t="str">
        <f>'Selbstbeurteilung Kunde'!C288</f>
        <v>Sicherungsseile?</v>
      </c>
      <c r="C282" s="49">
        <f>IF(ISBLANK('Selbstbeurteilung Kunde'!D288),0,1)</f>
        <v>0</v>
      </c>
      <c r="D282" s="49" t="str">
        <f>IF(AND('Selbstbeurteilung Kunde'!D288="",'Selbstbeurteilung Kunde'!E288=""),"*","")</f>
        <v>*</v>
      </c>
      <c r="E282" s="50" t="str">
        <f>IF(ISBLANK('Selbstbeurteilung Kunde'!F288),"",'Selbstbeurteilung Kunde'!F288)</f>
        <v/>
      </c>
      <c r="F282" s="287"/>
      <c r="G282" s="287"/>
      <c r="H282" s="287"/>
      <c r="I282" s="287"/>
      <c r="J282" s="287"/>
      <c r="K282" s="287"/>
      <c r="L282" s="279"/>
      <c r="M282" s="47">
        <v>1</v>
      </c>
      <c r="N282" s="34"/>
      <c r="O282" s="35">
        <f t="shared" si="44"/>
        <v>0</v>
      </c>
      <c r="P282" s="54">
        <f t="shared" si="45"/>
        <v>0</v>
      </c>
      <c r="Q282" s="46"/>
      <c r="R282" s="34"/>
    </row>
    <row r="283" spans="1:18" x14ac:dyDescent="0.3">
      <c r="A283" s="3" t="str">
        <f>'Selbstbeurteilung Kunde'!A289</f>
        <v>4.2.1.hh</v>
      </c>
      <c r="B283" s="6" t="str">
        <f>'Selbstbeurteilung Kunde'!C289</f>
        <v>Schwimmwesten?</v>
      </c>
      <c r="C283" s="49">
        <f>IF(ISBLANK('Selbstbeurteilung Kunde'!D289),0,1)</f>
        <v>0</v>
      </c>
      <c r="D283" s="49" t="str">
        <f>IF(AND('Selbstbeurteilung Kunde'!D289="",'Selbstbeurteilung Kunde'!E289=""),"*","")</f>
        <v>*</v>
      </c>
      <c r="E283" s="50" t="str">
        <f>IF(ISBLANK('Selbstbeurteilung Kunde'!F289),"",'Selbstbeurteilung Kunde'!F289)</f>
        <v/>
      </c>
      <c r="F283" s="290"/>
      <c r="G283" s="290"/>
      <c r="H283" s="290"/>
      <c r="I283" s="290"/>
      <c r="J283" s="290"/>
      <c r="K283" s="290"/>
      <c r="L283" s="279"/>
      <c r="M283" s="47">
        <v>1</v>
      </c>
      <c r="N283" s="34"/>
      <c r="O283" s="35">
        <f t="shared" si="44"/>
        <v>0</v>
      </c>
      <c r="P283" s="54">
        <f t="shared" si="45"/>
        <v>0</v>
      </c>
      <c r="Q283" s="46"/>
      <c r="R283" s="46"/>
    </row>
    <row r="284" spans="1:18" x14ac:dyDescent="0.3">
      <c r="A284" s="3" t="str">
        <f>'Selbstbeurteilung Kunde'!A290</f>
        <v>4.2.1.ii</v>
      </c>
      <c r="B284" s="6" t="str">
        <f>'Selbstbeurteilung Kunde'!C290</f>
        <v>Andere Schutzausrüstungen? Wenn ja, welche?</v>
      </c>
      <c r="C284" s="49">
        <f>IF(ISBLANK('Selbstbeurteilung Kunde'!D290),0,1)</f>
        <v>0</v>
      </c>
      <c r="D284" s="49" t="str">
        <f>IF(AND('Selbstbeurteilung Kunde'!D290="",'Selbstbeurteilung Kunde'!E290=""),"*","")</f>
        <v>*</v>
      </c>
      <c r="E284" s="50" t="str">
        <f>IF(ISBLANK('Selbstbeurteilung Kunde'!F290),"",'Selbstbeurteilung Kunde'!F290)</f>
        <v/>
      </c>
      <c r="F284" s="290"/>
      <c r="G284" s="290"/>
      <c r="H284" s="290"/>
      <c r="I284" s="290"/>
      <c r="J284" s="290"/>
      <c r="K284" s="290"/>
      <c r="L284" s="279"/>
      <c r="M284" s="47">
        <v>1</v>
      </c>
      <c r="N284" s="34"/>
      <c r="O284" s="35">
        <f t="shared" si="44"/>
        <v>0</v>
      </c>
      <c r="P284" s="54">
        <f t="shared" si="45"/>
        <v>0</v>
      </c>
      <c r="Q284" s="46"/>
      <c r="R284" s="46"/>
    </row>
    <row r="285" spans="1:18" x14ac:dyDescent="0.3">
      <c r="A285" s="27" t="str">
        <f>'Selbstbeurteilung Kunde'!A291</f>
        <v>4.3.</v>
      </c>
      <c r="B285" s="27" t="str">
        <f>'Selbstbeurteilung Kunde'!B291</f>
        <v>Persönlicher Schutz: Anwendung</v>
      </c>
      <c r="C285" s="28">
        <f>O285/N285</f>
        <v>0</v>
      </c>
      <c r="D285" s="350"/>
      <c r="E285" s="37" t="str">
        <f>IF(ISBLANK('Selbstbeurteilung Kunde'!F291),"",'Selbstbeurteilung Kunde'!F291)</f>
        <v/>
      </c>
      <c r="F285" s="282"/>
      <c r="G285" s="282"/>
      <c r="H285" s="282"/>
      <c r="I285" s="282"/>
      <c r="J285" s="282"/>
      <c r="K285" s="282"/>
      <c r="L285" s="63">
        <f>P285/N285</f>
        <v>0</v>
      </c>
      <c r="M285" s="29">
        <v>2</v>
      </c>
      <c r="N285" s="29">
        <f>SUM(M286:M292)</f>
        <v>20</v>
      </c>
      <c r="O285" s="31">
        <f>SUM(O286:O292)</f>
        <v>0</v>
      </c>
      <c r="P285" s="31">
        <f>SUM(P286:P292)</f>
        <v>0</v>
      </c>
      <c r="Q285" s="65">
        <f>O285/$N285*$M285</f>
        <v>0</v>
      </c>
      <c r="R285" s="65">
        <f>P285/$N285*$M285</f>
        <v>0</v>
      </c>
    </row>
    <row r="286" spans="1:18" ht="26.4" x14ac:dyDescent="0.3">
      <c r="A286" s="3" t="str">
        <f>'Selbstbeurteilung Kunde'!A292</f>
        <v>4.3.1.</v>
      </c>
      <c r="B286" s="6" t="str">
        <f>'Selbstbeurteilung Kunde'!C292</f>
        <v>Werden die betroffenen Mitarbeiter bei der Auswahl persönlicher Schutzmittel einbezogen?</v>
      </c>
      <c r="C286" s="49">
        <f>IF(ISBLANK('Selbstbeurteilung Kunde'!D292),0,1)</f>
        <v>0</v>
      </c>
      <c r="D286" s="49" t="str">
        <f>IF(AND('Selbstbeurteilung Kunde'!D292="",'Selbstbeurteilung Kunde'!E292=""),"*","")</f>
        <v>*</v>
      </c>
      <c r="E286" s="50" t="str">
        <f>IF(ISBLANK('Selbstbeurteilung Kunde'!F292),"",'Selbstbeurteilung Kunde'!F292)</f>
        <v/>
      </c>
      <c r="F286" s="287"/>
      <c r="G286" s="287"/>
      <c r="H286" s="287"/>
      <c r="I286" s="287"/>
      <c r="J286" s="287"/>
      <c r="K286" s="287"/>
      <c r="L286" s="279"/>
      <c r="M286" s="47">
        <v>3</v>
      </c>
      <c r="N286" s="34"/>
      <c r="O286" s="35">
        <f t="shared" ref="O286:O292" si="46">C286*M286</f>
        <v>0</v>
      </c>
      <c r="P286" s="54">
        <f t="shared" ref="P286:P292" si="47">L286*M286</f>
        <v>0</v>
      </c>
      <c r="Q286" s="46"/>
      <c r="R286" s="34"/>
    </row>
    <row r="287" spans="1:18" ht="26.4" x14ac:dyDescent="0.3">
      <c r="A287" s="3" t="str">
        <f>'Selbstbeurteilung Kunde'!A293</f>
        <v>4.3.2.</v>
      </c>
      <c r="B287" s="6" t="str">
        <f>'Selbstbeurteilung Kunde'!C293</f>
        <v>Bestehen betriebsinterne schriftliche Weisungen bezüglich der Verwendung persönlicher Schutzmittel?</v>
      </c>
      <c r="C287" s="49">
        <f>IF(ISBLANK('Selbstbeurteilung Kunde'!D293),0,1)</f>
        <v>0</v>
      </c>
      <c r="D287" s="49" t="str">
        <f>IF(AND('Selbstbeurteilung Kunde'!D293="",'Selbstbeurteilung Kunde'!E293=""),"*","")</f>
        <v>*</v>
      </c>
      <c r="E287" s="50" t="str">
        <f>IF(ISBLANK('Selbstbeurteilung Kunde'!F293),"",'Selbstbeurteilung Kunde'!F293)</f>
        <v/>
      </c>
      <c r="F287" s="287"/>
      <c r="G287" s="287"/>
      <c r="H287" s="287"/>
      <c r="I287" s="287"/>
      <c r="J287" s="287"/>
      <c r="K287" s="287"/>
      <c r="L287" s="279"/>
      <c r="M287" s="47">
        <v>3</v>
      </c>
      <c r="N287" s="34"/>
      <c r="O287" s="35">
        <f t="shared" si="46"/>
        <v>0</v>
      </c>
      <c r="P287" s="54">
        <f t="shared" si="47"/>
        <v>0</v>
      </c>
      <c r="Q287" s="46"/>
      <c r="R287" s="34"/>
    </row>
    <row r="288" spans="1:18" ht="26.4" x14ac:dyDescent="0.3">
      <c r="A288" s="3" t="str">
        <f>'Selbstbeurteilung Kunde'!A294</f>
        <v>4.3.3.</v>
      </c>
      <c r="B288" s="6" t="str">
        <f>'Selbstbeurteilung Kunde'!C294</f>
        <v>Wird das Benützen persönlicher Schutzmittel von den Vorgesetzten vorgelebt?</v>
      </c>
      <c r="C288" s="49">
        <f>IF(ISBLANK('Selbstbeurteilung Kunde'!D294),0,1)</f>
        <v>0</v>
      </c>
      <c r="D288" s="49" t="str">
        <f>IF(AND('Selbstbeurteilung Kunde'!D294="",'Selbstbeurteilung Kunde'!E294=""),"*","")</f>
        <v>*</v>
      </c>
      <c r="E288" s="50" t="str">
        <f>IF(ISBLANK('Selbstbeurteilung Kunde'!F294),"",'Selbstbeurteilung Kunde'!F294)</f>
        <v/>
      </c>
      <c r="F288" s="287"/>
      <c r="G288" s="287"/>
      <c r="H288" s="287"/>
      <c r="I288" s="287"/>
      <c r="J288" s="287"/>
      <c r="K288" s="287"/>
      <c r="L288" s="279"/>
      <c r="M288" s="47">
        <v>5</v>
      </c>
      <c r="N288" s="34"/>
      <c r="O288" s="35">
        <f t="shared" si="46"/>
        <v>0</v>
      </c>
      <c r="P288" s="54">
        <f t="shared" si="47"/>
        <v>0</v>
      </c>
      <c r="Q288" s="46"/>
      <c r="R288" s="34"/>
    </row>
    <row r="289" spans="1:18" ht="39.6" x14ac:dyDescent="0.3">
      <c r="A289" s="3" t="str">
        <f>'Selbstbeurteilung Kunde'!A295</f>
        <v>4.3.4.</v>
      </c>
      <c r="B289" s="6" t="str">
        <f>'Selbstbeurteilung Kunde'!C295</f>
        <v>Werden die Beschäftigten über die an ihrem Arbeitsplatz auftretenden Gefahren und entsprechenden Sicherheitsmassnahmen aufgeklärt?</v>
      </c>
      <c r="C289" s="49">
        <f>IF(ISBLANK('Selbstbeurteilung Kunde'!D295),0,1)</f>
        <v>0</v>
      </c>
      <c r="D289" s="49" t="str">
        <f>IF(AND('Selbstbeurteilung Kunde'!D295="",'Selbstbeurteilung Kunde'!E295=""),"*","")</f>
        <v>*</v>
      </c>
      <c r="E289" s="50" t="str">
        <f>IF(ISBLANK('Selbstbeurteilung Kunde'!F295),"",'Selbstbeurteilung Kunde'!F295)</f>
        <v/>
      </c>
      <c r="F289" s="287"/>
      <c r="G289" s="287"/>
      <c r="H289" s="287"/>
      <c r="I289" s="287"/>
      <c r="J289" s="287"/>
      <c r="K289" s="287"/>
      <c r="L289" s="279"/>
      <c r="M289" s="47">
        <v>3</v>
      </c>
      <c r="N289" s="34"/>
      <c r="O289" s="35">
        <f t="shared" si="46"/>
        <v>0</v>
      </c>
      <c r="P289" s="54">
        <f t="shared" si="47"/>
        <v>0</v>
      </c>
      <c r="Q289" s="46"/>
      <c r="R289" s="34"/>
    </row>
    <row r="290" spans="1:18" ht="26.4" x14ac:dyDescent="0.3">
      <c r="A290" s="3" t="str">
        <f>'Selbstbeurteilung Kunde'!A296</f>
        <v>4.3.5.</v>
      </c>
      <c r="B290" s="6" t="str">
        <f>'Selbstbeurteilung Kunde'!C296</f>
        <v>Werden die Beschäftigten in der korrekten Anwendung und Pflege der persönlichen Schutzmittel angeleitet?</v>
      </c>
      <c r="C290" s="49">
        <f>IF(ISBLANK('Selbstbeurteilung Kunde'!D296),0,1)</f>
        <v>0</v>
      </c>
      <c r="D290" s="49" t="str">
        <f>IF(AND('Selbstbeurteilung Kunde'!D296="",'Selbstbeurteilung Kunde'!E296=""),"*","")</f>
        <v>*</v>
      </c>
      <c r="E290" s="50" t="str">
        <f>IF(ISBLANK('Selbstbeurteilung Kunde'!F296),"",'Selbstbeurteilung Kunde'!F296)</f>
        <v/>
      </c>
      <c r="F290" s="287"/>
      <c r="G290" s="287"/>
      <c r="H290" s="287"/>
      <c r="I290" s="287"/>
      <c r="J290" s="287"/>
      <c r="K290" s="287"/>
      <c r="L290" s="279"/>
      <c r="M290" s="47">
        <v>2</v>
      </c>
      <c r="N290" s="34"/>
      <c r="O290" s="35">
        <f t="shared" si="46"/>
        <v>0</v>
      </c>
      <c r="P290" s="54">
        <f t="shared" si="47"/>
        <v>0</v>
      </c>
      <c r="Q290" s="46"/>
      <c r="R290" s="34"/>
    </row>
    <row r="291" spans="1:18" ht="26.4" x14ac:dyDescent="0.3">
      <c r="A291" s="3" t="str">
        <f>'Selbstbeurteilung Kunde'!A297</f>
        <v>4.3.6.</v>
      </c>
      <c r="B291" s="6" t="str">
        <f>'Selbstbeurteilung Kunde'!C297</f>
        <v>Wird die korrekte Anwendung der persönlichen Schutzausrüstung kontrolliert und durchgesetzt?</v>
      </c>
      <c r="C291" s="49">
        <f>IF(ISBLANK('Selbstbeurteilung Kunde'!D297),0,1)</f>
        <v>0</v>
      </c>
      <c r="D291" s="49" t="str">
        <f>IF(AND('Selbstbeurteilung Kunde'!D297="",'Selbstbeurteilung Kunde'!E297=""),"*","")</f>
        <v>*</v>
      </c>
      <c r="E291" s="50" t="str">
        <f>IF(ISBLANK('Selbstbeurteilung Kunde'!F297),"",'Selbstbeurteilung Kunde'!F297)</f>
        <v/>
      </c>
      <c r="F291" s="290"/>
      <c r="G291" s="290"/>
      <c r="H291" s="290"/>
      <c r="I291" s="290"/>
      <c r="J291" s="290"/>
      <c r="K291" s="290"/>
      <c r="L291" s="279"/>
      <c r="M291" s="47">
        <v>4</v>
      </c>
      <c r="N291" s="34"/>
      <c r="O291" s="35">
        <f t="shared" si="46"/>
        <v>0</v>
      </c>
      <c r="P291" s="54">
        <f t="shared" si="47"/>
        <v>0</v>
      </c>
      <c r="Q291" s="46"/>
      <c r="R291" s="46"/>
    </row>
    <row r="292" spans="1:18" ht="52.8" x14ac:dyDescent="0.3">
      <c r="A292" s="3" t="str">
        <f>'Selbstbeurteilung Kunde'!A298</f>
        <v>4.3.7.</v>
      </c>
      <c r="B292" s="6" t="str">
        <f>'Selbstbeurteilung Kunde'!C298</f>
        <v xml:space="preserve">Gibt es Arbeitsplätze oder Tätigkeiten, bei denen sie eine unbefriedigende Akzeptanz von Schutzmitteln feststellen? Falls ja, welche Schutzmittel und Arbeitsplätze/Tätigkeiten sind betroffen? </v>
      </c>
      <c r="C292" s="49">
        <f>IF(ISBLANK('Selbstbeurteilung Kunde'!D298),0,1)</f>
        <v>0</v>
      </c>
      <c r="D292" s="49" t="str">
        <f>IF(AND('Selbstbeurteilung Kunde'!D298="",'Selbstbeurteilung Kunde'!E298=""),"*","")</f>
        <v>*</v>
      </c>
      <c r="E292" s="50" t="str">
        <f>IF(ISBLANK('Selbstbeurteilung Kunde'!F298),"",'Selbstbeurteilung Kunde'!F298)</f>
        <v/>
      </c>
      <c r="F292" s="287"/>
      <c r="G292" s="287"/>
      <c r="H292" s="287"/>
      <c r="I292" s="287"/>
      <c r="J292" s="287"/>
      <c r="K292" s="287"/>
      <c r="L292" s="279"/>
      <c r="M292" s="47">
        <v>0</v>
      </c>
      <c r="N292" s="34"/>
      <c r="O292" s="35">
        <f t="shared" si="46"/>
        <v>0</v>
      </c>
      <c r="P292" s="54">
        <f t="shared" si="47"/>
        <v>0</v>
      </c>
      <c r="Q292" s="46"/>
      <c r="R292" s="34"/>
    </row>
    <row r="293" spans="1:18" x14ac:dyDescent="0.3">
      <c r="A293" s="27" t="str">
        <f>'Selbstbeurteilung Kunde'!A299</f>
        <v>4.4.</v>
      </c>
      <c r="B293" s="27" t="str">
        <f>'Selbstbeurteilung Kunde'!B299</f>
        <v>Normalbetrieb / Sonderbetrieb</v>
      </c>
      <c r="C293" s="28">
        <f>O293/N293</f>
        <v>0</v>
      </c>
      <c r="D293" s="350"/>
      <c r="E293" s="37" t="str">
        <f>IF(ISBLANK('Selbstbeurteilung Kunde'!F299),"",'Selbstbeurteilung Kunde'!F299)</f>
        <v/>
      </c>
      <c r="F293" s="282"/>
      <c r="G293" s="282"/>
      <c r="H293" s="282"/>
      <c r="I293" s="282"/>
      <c r="J293" s="282"/>
      <c r="K293" s="282"/>
      <c r="L293" s="63">
        <f>P293/N293</f>
        <v>0</v>
      </c>
      <c r="M293" s="29">
        <v>2</v>
      </c>
      <c r="N293" s="29">
        <f>SUM(M294:M296)</f>
        <v>4</v>
      </c>
      <c r="O293" s="31">
        <f>SUM(O294:O296)</f>
        <v>0</v>
      </c>
      <c r="P293" s="31">
        <f>SUM(P294:P296)</f>
        <v>0</v>
      </c>
      <c r="Q293" s="65">
        <f>O293/$N293*$M293</f>
        <v>0</v>
      </c>
      <c r="R293" s="65">
        <f>P293/$N293*$M293</f>
        <v>0</v>
      </c>
    </row>
    <row r="294" spans="1:18" ht="118.8" x14ac:dyDescent="0.3">
      <c r="A294" s="3" t="str">
        <f>'Selbstbeurteilung Kunde'!A300</f>
        <v>4.4.1.</v>
      </c>
      <c r="B294" s="6" t="str">
        <f>'Selbstbeurteilung Kunde'!C300</f>
        <v>Werden Anweisungen der Hersteller und Lieferanten betreffend Normal*- und Sonderbetrieb** von Anlagen, Maschinen und Geräten befolgt?
* Normalbetrieb: Bestimmungsgemässer Einsatz, vorgesehene Funktion des Arbeitsmittels.
** Sonderbetrieb:alle übrigen Arbeitsverrichtungen an Arbeitsmitteln, wie rüsten/umrüsten, einrichten/einstallen, Probelauf, Fehler 
suchen/beheben, reinigen.</v>
      </c>
      <c r="C294" s="49">
        <f>IF(ISBLANK('Selbstbeurteilung Kunde'!D300),0,1)</f>
        <v>0</v>
      </c>
      <c r="D294" s="49" t="str">
        <f>IF(AND('Selbstbeurteilung Kunde'!D300="",'Selbstbeurteilung Kunde'!E300=""),"*","")</f>
        <v>*</v>
      </c>
      <c r="E294" s="50" t="str">
        <f>IF(ISBLANK('Selbstbeurteilung Kunde'!F300),"",'Selbstbeurteilung Kunde'!F300)</f>
        <v/>
      </c>
      <c r="F294" s="287"/>
      <c r="G294" s="287"/>
      <c r="H294" s="287"/>
      <c r="I294" s="287"/>
      <c r="J294" s="287"/>
      <c r="K294" s="287"/>
      <c r="L294" s="279"/>
      <c r="M294" s="47">
        <v>3</v>
      </c>
      <c r="N294" s="34"/>
      <c r="O294" s="35">
        <f>C294*M294</f>
        <v>0</v>
      </c>
      <c r="P294" s="54">
        <f t="shared" ref="P294:P296" si="48">L294*M294</f>
        <v>0</v>
      </c>
      <c r="Q294" s="46"/>
      <c r="R294" s="34"/>
    </row>
    <row r="295" spans="1:18" ht="26.4" x14ac:dyDescent="0.3">
      <c r="A295" s="3" t="str">
        <f>'Selbstbeurteilung Kunde'!A301</f>
        <v>4.4.2.</v>
      </c>
      <c r="B295" s="6" t="str">
        <f>'Selbstbeurteilung Kunde'!C301</f>
        <v>Bestehen betriebsinterne Weisungen betreffend Normal- und Sonderbetrieb von Anlagen, Maschinen und Geräten?</v>
      </c>
      <c r="C295" s="49">
        <f>IF(ISBLANK('Selbstbeurteilung Kunde'!D301),0,1)</f>
        <v>0</v>
      </c>
      <c r="D295" s="49" t="str">
        <f>IF(AND('Selbstbeurteilung Kunde'!D301="",'Selbstbeurteilung Kunde'!E301=""),"*","")</f>
        <v>*</v>
      </c>
      <c r="E295" s="50" t="str">
        <f>IF(ISBLANK('Selbstbeurteilung Kunde'!F301),"",'Selbstbeurteilung Kunde'!F301)</f>
        <v/>
      </c>
      <c r="F295" s="287"/>
      <c r="G295" s="287"/>
      <c r="H295" s="287"/>
      <c r="I295" s="287"/>
      <c r="J295" s="287"/>
      <c r="K295" s="287"/>
      <c r="L295" s="279"/>
      <c r="M295" s="47">
        <v>1</v>
      </c>
      <c r="N295" s="34"/>
      <c r="O295" s="35">
        <f>C295*M295</f>
        <v>0</v>
      </c>
      <c r="P295" s="54">
        <f t="shared" si="48"/>
        <v>0</v>
      </c>
      <c r="Q295" s="46"/>
      <c r="R295" s="34"/>
    </row>
    <row r="296" spans="1:18" ht="52.8" x14ac:dyDescent="0.3">
      <c r="A296" s="3" t="str">
        <f>'Selbstbeurteilung Kunde'!A302</f>
        <v>4.4.3.</v>
      </c>
      <c r="B296" s="6" t="str">
        <f>'Selbstbeurteilung Kunde'!C302</f>
        <v>Kennen Sie bei Ihren Anlagen, Maschinen und Geräten das Verhältnis zwischen der Anzahl Unfälle, Beinaheunfälle und Prozessstörungen im Normalbetrieb und im Sonderbetrieb?</v>
      </c>
      <c r="C296" s="49">
        <f>IF(ISBLANK('Selbstbeurteilung Kunde'!D302),0,1)</f>
        <v>0</v>
      </c>
      <c r="D296" s="49" t="str">
        <f>IF(AND('Selbstbeurteilung Kunde'!D302="",'Selbstbeurteilung Kunde'!E302=""),"*","")</f>
        <v>*</v>
      </c>
      <c r="E296" s="50" t="str">
        <f>IF(ISBLANK('Selbstbeurteilung Kunde'!F302),"",'Selbstbeurteilung Kunde'!F302)</f>
        <v/>
      </c>
      <c r="F296" s="290"/>
      <c r="G296" s="290"/>
      <c r="H296" s="290"/>
      <c r="I296" s="290"/>
      <c r="J296" s="290"/>
      <c r="K296" s="290"/>
      <c r="L296" s="279"/>
      <c r="M296" s="47">
        <v>0</v>
      </c>
      <c r="N296" s="34"/>
      <c r="O296" s="35">
        <f>C296*M296</f>
        <v>0</v>
      </c>
      <c r="P296" s="54">
        <f t="shared" si="48"/>
        <v>0</v>
      </c>
      <c r="Q296" s="46"/>
      <c r="R296" s="46"/>
    </row>
    <row r="297" spans="1:18" x14ac:dyDescent="0.3">
      <c r="A297" s="27" t="str">
        <f>'Selbstbeurteilung Kunde'!A303</f>
        <v>4.5.</v>
      </c>
      <c r="B297" s="27" t="str">
        <f>'Selbstbeurteilung Kunde'!B303</f>
        <v>Instandhaltung von Arbeitsmitteln</v>
      </c>
      <c r="C297" s="28">
        <f>O297/N297</f>
        <v>0</v>
      </c>
      <c r="D297" s="350"/>
      <c r="E297" s="37" t="str">
        <f>IF(ISBLANK('Selbstbeurteilung Kunde'!F303),"",'Selbstbeurteilung Kunde'!F303)</f>
        <v/>
      </c>
      <c r="F297" s="282"/>
      <c r="G297" s="282"/>
      <c r="H297" s="282"/>
      <c r="I297" s="282"/>
      <c r="J297" s="282"/>
      <c r="K297" s="282"/>
      <c r="L297" s="63">
        <f>P297/N297</f>
        <v>0</v>
      </c>
      <c r="M297" s="29">
        <v>2</v>
      </c>
      <c r="N297" s="29">
        <f>SUM(M298:M303)</f>
        <v>6</v>
      </c>
      <c r="O297" s="31">
        <f>SUM(O298:O303)</f>
        <v>0</v>
      </c>
      <c r="P297" s="31">
        <f>SUM(P298:P303)</f>
        <v>0</v>
      </c>
      <c r="Q297" s="65">
        <f>O297/$N297*$M297</f>
        <v>0</v>
      </c>
      <c r="R297" s="65">
        <f>P297/$N297*$M297</f>
        <v>0</v>
      </c>
    </row>
    <row r="298" spans="1:18" ht="106.5" customHeight="1" x14ac:dyDescent="0.3">
      <c r="A298" s="3" t="str">
        <f>'Selbstbeurteilung Kunde'!A304</f>
        <v>4.5.1.</v>
      </c>
      <c r="B298" s="6" t="str">
        <f>'Selbstbeurteilung Kunde'!C304</f>
        <v>Hat Ihre Unternehmen eine spezielle Organisationseinheit die mit der Instandhaltung von Arbeitsmitteln* beauftragt ist?
*Arbeitsmittel: Maschinen, Anlagen, Apparate und Werkzeuge, die bei der Arbeit benutzt werden; technische Einrichtungen und Geräte (TEG), die  zur Arbeits- umgebung gehören (z.B. Lüftung, Heizung, Beleuchtung) sowie die persönliche Schutzausrüstungen (PSA).</v>
      </c>
      <c r="C298" s="49">
        <f>IF(ISBLANK('Selbstbeurteilung Kunde'!D304),0,1)</f>
        <v>0</v>
      </c>
      <c r="D298" s="49" t="str">
        <f>IF(AND('Selbstbeurteilung Kunde'!D304="",'Selbstbeurteilung Kunde'!E304=""),"*","")</f>
        <v>*</v>
      </c>
      <c r="E298" s="50" t="str">
        <f>IF(ISBLANK('Selbstbeurteilung Kunde'!F304),"",'Selbstbeurteilung Kunde'!F304)</f>
        <v/>
      </c>
      <c r="F298" s="287"/>
      <c r="G298" s="287"/>
      <c r="H298" s="287"/>
      <c r="I298" s="287"/>
      <c r="J298" s="287"/>
      <c r="K298" s="287"/>
      <c r="L298" s="279"/>
      <c r="M298" s="47">
        <v>1</v>
      </c>
      <c r="N298" s="34"/>
      <c r="O298" s="35">
        <f t="shared" ref="O298:O303" si="49">C298*M298</f>
        <v>0</v>
      </c>
      <c r="P298" s="54">
        <f t="shared" ref="P298:P303" si="50">L298*M298</f>
        <v>0</v>
      </c>
      <c r="Q298" s="46"/>
      <c r="R298" s="34"/>
    </row>
    <row r="299" spans="1:18" ht="39.6" x14ac:dyDescent="0.3">
      <c r="A299" s="3" t="str">
        <f>'Selbstbeurteilung Kunde'!A305</f>
        <v>4.5.2.</v>
      </c>
      <c r="B299" s="6" t="str">
        <f>'Selbstbeurteilung Kunde'!C305</f>
        <v>Werden bestimmte Mitarbeiter Ihres Unternehmens von Herstellerfirmen oder Lieferanten von Arbeitsmitteln in der Instandhaltung gründlich geschult?</v>
      </c>
      <c r="C299" s="49">
        <f>IF(ISBLANK('Selbstbeurteilung Kunde'!D305),0,1)</f>
        <v>0</v>
      </c>
      <c r="D299" s="49" t="str">
        <f>IF(AND('Selbstbeurteilung Kunde'!D305="",'Selbstbeurteilung Kunde'!E305=""),"*","")</f>
        <v>*</v>
      </c>
      <c r="E299" s="50" t="str">
        <f>IF(ISBLANK('Selbstbeurteilung Kunde'!F305),"",'Selbstbeurteilung Kunde'!F305)</f>
        <v/>
      </c>
      <c r="F299" s="287"/>
      <c r="G299" s="287"/>
      <c r="H299" s="287"/>
      <c r="I299" s="287"/>
      <c r="J299" s="287"/>
      <c r="K299" s="287"/>
      <c r="L299" s="279"/>
      <c r="M299" s="47">
        <v>1</v>
      </c>
      <c r="N299" s="34"/>
      <c r="O299" s="35">
        <f t="shared" si="49"/>
        <v>0</v>
      </c>
      <c r="P299" s="54">
        <f t="shared" si="50"/>
        <v>0</v>
      </c>
      <c r="Q299" s="46"/>
      <c r="R299" s="34"/>
    </row>
    <row r="300" spans="1:18" ht="26.4" x14ac:dyDescent="0.3">
      <c r="A300" s="3" t="str">
        <f>'Selbstbeurteilung Kunde'!A306</f>
        <v>4.5.3.</v>
      </c>
      <c r="B300" s="6" t="str">
        <f>'Selbstbeurteilung Kunde'!C306</f>
        <v>Bestehen betriebsinterne Weisungen betreffend der Instandhaltung von Arbeitsmitteln?</v>
      </c>
      <c r="C300" s="49">
        <f>IF(ISBLANK('Selbstbeurteilung Kunde'!D306),0,1)</f>
        <v>0</v>
      </c>
      <c r="D300" s="49" t="str">
        <f>IF(AND('Selbstbeurteilung Kunde'!D306="",'Selbstbeurteilung Kunde'!E306=""),"*","")</f>
        <v>*</v>
      </c>
      <c r="E300" s="50" t="str">
        <f>IF(ISBLANK('Selbstbeurteilung Kunde'!F306),"",'Selbstbeurteilung Kunde'!F306)</f>
        <v/>
      </c>
      <c r="F300" s="287"/>
      <c r="G300" s="287"/>
      <c r="H300" s="287"/>
      <c r="I300" s="287"/>
      <c r="J300" s="287"/>
      <c r="K300" s="287"/>
      <c r="L300" s="279"/>
      <c r="M300" s="47">
        <v>1</v>
      </c>
      <c r="N300" s="34"/>
      <c r="O300" s="35">
        <f t="shared" si="49"/>
        <v>0</v>
      </c>
      <c r="P300" s="54">
        <f t="shared" si="50"/>
        <v>0</v>
      </c>
      <c r="Q300" s="46"/>
      <c r="R300" s="34"/>
    </row>
    <row r="301" spans="1:18" ht="39.6" x14ac:dyDescent="0.3">
      <c r="A301" s="3" t="str">
        <f>'Selbstbeurteilung Kunde'!A307</f>
        <v>4.5.4.</v>
      </c>
      <c r="B301" s="6" t="str">
        <f>'Selbstbeurteilung Kunde'!C307</f>
        <v>Werden Anweisungen der Hersteller und Lieferanten bzw. interne Weisungen betreffend der Instandhaltung von Arbeitsmitteln befolgt?</v>
      </c>
      <c r="C301" s="49">
        <f>IF(ISBLANK('Selbstbeurteilung Kunde'!D307),0,1)</f>
        <v>0</v>
      </c>
      <c r="D301" s="49" t="str">
        <f>IF(AND('Selbstbeurteilung Kunde'!D307="",'Selbstbeurteilung Kunde'!E307=""),"*","")</f>
        <v>*</v>
      </c>
      <c r="E301" s="50" t="str">
        <f>IF(ISBLANK('Selbstbeurteilung Kunde'!F307),"",'Selbstbeurteilung Kunde'!F307)</f>
        <v/>
      </c>
      <c r="F301" s="287"/>
      <c r="G301" s="287"/>
      <c r="H301" s="287"/>
      <c r="I301" s="287"/>
      <c r="J301" s="287"/>
      <c r="K301" s="287"/>
      <c r="L301" s="279"/>
      <c r="M301" s="47">
        <v>1</v>
      </c>
      <c r="N301" s="34"/>
      <c r="O301" s="35">
        <f t="shared" si="49"/>
        <v>0</v>
      </c>
      <c r="P301" s="54">
        <f t="shared" si="50"/>
        <v>0</v>
      </c>
      <c r="Q301" s="46"/>
      <c r="R301" s="34"/>
    </row>
    <row r="302" spans="1:18" ht="39.6" x14ac:dyDescent="0.3">
      <c r="A302" s="3" t="str">
        <f>'Selbstbeurteilung Kunde'!A308</f>
        <v>4.5.5.</v>
      </c>
      <c r="B302" s="6" t="str">
        <f>'Selbstbeurteilung Kunde'!C308</f>
        <v>Werden Instandhaltungsarbeiten geplant (Instandhaltungsplan) und mit den betroffenen Mitarbeitern besprochen?</v>
      </c>
      <c r="C302" s="49">
        <f>IF(ISBLANK('Selbstbeurteilung Kunde'!D308),0,1)</f>
        <v>0</v>
      </c>
      <c r="D302" s="49" t="str">
        <f>IF(AND('Selbstbeurteilung Kunde'!D308="",'Selbstbeurteilung Kunde'!E308=""),"*","")</f>
        <v>*</v>
      </c>
      <c r="E302" s="50" t="str">
        <f>IF(ISBLANK('Selbstbeurteilung Kunde'!F308),"",'Selbstbeurteilung Kunde'!F308)</f>
        <v/>
      </c>
      <c r="F302" s="287"/>
      <c r="G302" s="287"/>
      <c r="H302" s="287"/>
      <c r="I302" s="287"/>
      <c r="J302" s="287"/>
      <c r="K302" s="287"/>
      <c r="L302" s="279"/>
      <c r="M302" s="47">
        <v>1</v>
      </c>
      <c r="N302" s="34"/>
      <c r="O302" s="35">
        <f t="shared" si="49"/>
        <v>0</v>
      </c>
      <c r="P302" s="54">
        <f t="shared" si="50"/>
        <v>0</v>
      </c>
      <c r="Q302" s="46"/>
      <c r="R302" s="34"/>
    </row>
    <row r="303" spans="1:18" ht="39.6" x14ac:dyDescent="0.3">
      <c r="A303" s="3" t="str">
        <f>'Selbstbeurteilung Kunde'!A309</f>
        <v>4.5.6.</v>
      </c>
      <c r="B303" s="6" t="str">
        <f>'Selbstbeurteilung Kunde'!C309</f>
        <v>Erfolgt die Freigabe der Arbeitsmittel, im Anschluss an die Instandhaltungsarbeiten, nach bestimmten Sicherheitsregeln?</v>
      </c>
      <c r="C303" s="49">
        <f>IF(ISBLANK('Selbstbeurteilung Kunde'!D309),0,1)</f>
        <v>0</v>
      </c>
      <c r="D303" s="49" t="str">
        <f>IF(AND('Selbstbeurteilung Kunde'!D309="",'Selbstbeurteilung Kunde'!E309=""),"*","")</f>
        <v>*</v>
      </c>
      <c r="E303" s="50" t="str">
        <f>IF(ISBLANK('Selbstbeurteilung Kunde'!F309),"",'Selbstbeurteilung Kunde'!F309)</f>
        <v/>
      </c>
      <c r="F303" s="290"/>
      <c r="G303" s="290"/>
      <c r="H303" s="290"/>
      <c r="I303" s="290"/>
      <c r="J303" s="290"/>
      <c r="K303" s="290"/>
      <c r="L303" s="279"/>
      <c r="M303" s="47">
        <v>1</v>
      </c>
      <c r="N303" s="34"/>
      <c r="O303" s="35">
        <f t="shared" si="49"/>
        <v>0</v>
      </c>
      <c r="P303" s="54">
        <f t="shared" si="50"/>
        <v>0</v>
      </c>
      <c r="Q303" s="46"/>
      <c r="R303" s="46"/>
    </row>
    <row r="304" spans="1:18" x14ac:dyDescent="0.3">
      <c r="A304" s="27" t="str">
        <f>'Selbstbeurteilung Kunde'!A310</f>
        <v>4.6.</v>
      </c>
      <c r="B304" s="27" t="str">
        <f>'Selbstbeurteilung Kunde'!B310</f>
        <v>Gebäude und Anlagen</v>
      </c>
      <c r="C304" s="28">
        <f>O304/N304</f>
        <v>0</v>
      </c>
      <c r="D304" s="350"/>
      <c r="E304" s="37" t="str">
        <f>IF(ISBLANK('Selbstbeurteilung Kunde'!F310),"",'Selbstbeurteilung Kunde'!F310)</f>
        <v/>
      </c>
      <c r="F304" s="282"/>
      <c r="G304" s="282"/>
      <c r="H304" s="282"/>
      <c r="I304" s="282"/>
      <c r="J304" s="282"/>
      <c r="K304" s="282"/>
      <c r="L304" s="63">
        <f>P304/N304</f>
        <v>0</v>
      </c>
      <c r="M304" s="29">
        <v>1</v>
      </c>
      <c r="N304" s="29">
        <f>SUM(M305:M308)</f>
        <v>9</v>
      </c>
      <c r="O304" s="31">
        <f>SUM(O305:O308)</f>
        <v>0</v>
      </c>
      <c r="P304" s="31">
        <f>SUM(P305:P308)</f>
        <v>0</v>
      </c>
      <c r="Q304" s="65">
        <f>O304/$N304*$M304</f>
        <v>0</v>
      </c>
      <c r="R304" s="65">
        <f>P304/$N304*$M304</f>
        <v>0</v>
      </c>
    </row>
    <row r="305" spans="1:18" ht="39.6" x14ac:dyDescent="0.3">
      <c r="A305" s="3" t="str">
        <f>'Selbstbeurteilung Kunde'!A311</f>
        <v>4.6.1.</v>
      </c>
      <c r="B305" s="6" t="str">
        <f>'Selbstbeurteilung Kunde'!C311</f>
        <v>Verfügt Ihre Unternehmen über eine spezielle Organisationseinheit, die mit der Instandhaltung von Gebäuden und Anlagen beauftragt ist?</v>
      </c>
      <c r="C305" s="49">
        <f>IF(ISBLANK('Selbstbeurteilung Kunde'!D311),0,1)</f>
        <v>0</v>
      </c>
      <c r="D305" s="49" t="str">
        <f>IF(AND('Selbstbeurteilung Kunde'!D311="",'Selbstbeurteilung Kunde'!E311=""),"*","")</f>
        <v>*</v>
      </c>
      <c r="E305" s="50" t="str">
        <f>IF(ISBLANK('Selbstbeurteilung Kunde'!F311),"",'Selbstbeurteilung Kunde'!F311)</f>
        <v/>
      </c>
      <c r="F305" s="290"/>
      <c r="G305" s="290"/>
      <c r="H305" s="290"/>
      <c r="I305" s="290"/>
      <c r="J305" s="290"/>
      <c r="K305" s="290"/>
      <c r="L305" s="279"/>
      <c r="M305" s="47">
        <v>2</v>
      </c>
      <c r="N305" s="34"/>
      <c r="O305" s="35">
        <f>M305*C305</f>
        <v>0</v>
      </c>
      <c r="P305" s="54">
        <f t="shared" ref="P305:P308" si="51">L305*M305</f>
        <v>0</v>
      </c>
      <c r="Q305" s="46"/>
      <c r="R305" s="34"/>
    </row>
    <row r="306" spans="1:18" ht="26.4" x14ac:dyDescent="0.3">
      <c r="A306" s="3" t="str">
        <f>'Selbstbeurteilung Kunde'!A312</f>
        <v>4.6.2.</v>
      </c>
      <c r="B306" s="6" t="str">
        <f>'Selbstbeurteilung Kunde'!C312</f>
        <v>Sind Gefährdungen, die beim Unterhalt von Gebäuden und Anlagen auftreten können, ermittelt und dokumentiert?</v>
      </c>
      <c r="C306" s="49">
        <f>IF(ISBLANK('Selbstbeurteilung Kunde'!D312),0,1)</f>
        <v>0</v>
      </c>
      <c r="D306" s="49" t="str">
        <f>IF(AND('Selbstbeurteilung Kunde'!D312="",'Selbstbeurteilung Kunde'!E312=""),"*","")</f>
        <v>*</v>
      </c>
      <c r="E306" s="50" t="str">
        <f>IF(ISBLANK('Selbstbeurteilung Kunde'!F312),"",'Selbstbeurteilung Kunde'!F312)</f>
        <v/>
      </c>
      <c r="F306" s="290"/>
      <c r="G306" s="290"/>
      <c r="H306" s="290"/>
      <c r="I306" s="290"/>
      <c r="J306" s="290"/>
      <c r="K306" s="290"/>
      <c r="L306" s="279"/>
      <c r="M306" s="47">
        <v>3</v>
      </c>
      <c r="N306" s="34"/>
      <c r="O306" s="35">
        <f>M306*C306</f>
        <v>0</v>
      </c>
      <c r="P306" s="54">
        <f t="shared" si="51"/>
        <v>0</v>
      </c>
      <c r="Q306" s="46"/>
      <c r="R306" s="46"/>
    </row>
    <row r="307" spans="1:18" ht="39.6" x14ac:dyDescent="0.3">
      <c r="A307" s="3" t="str">
        <f>'Selbstbeurteilung Kunde'!A313</f>
        <v>4.6.3.</v>
      </c>
      <c r="B307" s="6" t="str">
        <f>'Selbstbeurteilung Kunde'!C313</f>
        <v>Bestehen Sicherheitsbestimmungen und Regelungen betreffend der Instandhaltung von Gebäuden und Anlagen? (z.B. über die Begehbarkeit von Gebäudeteilen)</v>
      </c>
      <c r="C307" s="49">
        <f>IF(ISBLANK('Selbstbeurteilung Kunde'!D313),0,1)</f>
        <v>0</v>
      </c>
      <c r="D307" s="49" t="str">
        <f>IF(AND('Selbstbeurteilung Kunde'!D313="",'Selbstbeurteilung Kunde'!E313=""),"*","")</f>
        <v>*</v>
      </c>
      <c r="E307" s="50" t="str">
        <f>IF(ISBLANK('Selbstbeurteilung Kunde'!F313),"",'Selbstbeurteilung Kunde'!F313)</f>
        <v/>
      </c>
      <c r="F307" s="287"/>
      <c r="G307" s="287"/>
      <c r="H307" s="287"/>
      <c r="I307" s="287"/>
      <c r="J307" s="287"/>
      <c r="K307" s="287"/>
      <c r="L307" s="279"/>
      <c r="M307" s="47">
        <v>2</v>
      </c>
      <c r="N307" s="34"/>
      <c r="O307" s="35">
        <f>M307*C307</f>
        <v>0</v>
      </c>
      <c r="P307" s="54">
        <f t="shared" si="51"/>
        <v>0</v>
      </c>
      <c r="Q307" s="46"/>
      <c r="R307" s="34"/>
    </row>
    <row r="308" spans="1:18" ht="39.6" x14ac:dyDescent="0.3">
      <c r="A308" s="3" t="str">
        <f>'Selbstbeurteilung Kunde'!A314</f>
        <v>4.6.4.</v>
      </c>
      <c r="B308" s="6" t="str">
        <f>'Selbstbeurteilung Kunde'!C314</f>
        <v>Werden bestimmte Mitarbeiter Ihres Unternehmens in der Instandhaltung von Gebäuden und Anlagen ausgebildet und instruiert?</v>
      </c>
      <c r="C308" s="49">
        <f>IF(ISBLANK('Selbstbeurteilung Kunde'!D314),0,1)</f>
        <v>0</v>
      </c>
      <c r="D308" s="49" t="str">
        <f>IF(AND('Selbstbeurteilung Kunde'!D314="",'Selbstbeurteilung Kunde'!E314=""),"*","")</f>
        <v>*</v>
      </c>
      <c r="E308" s="50" t="str">
        <f>IF(ISBLANK('Selbstbeurteilung Kunde'!F314),"",'Selbstbeurteilung Kunde'!F314)</f>
        <v/>
      </c>
      <c r="F308" s="290"/>
      <c r="G308" s="290"/>
      <c r="H308" s="290"/>
      <c r="I308" s="290"/>
      <c r="J308" s="290"/>
      <c r="K308" s="290"/>
      <c r="L308" s="279"/>
      <c r="M308" s="47">
        <v>2</v>
      </c>
      <c r="N308" s="34"/>
      <c r="O308" s="35">
        <f>M308*C308</f>
        <v>0</v>
      </c>
      <c r="P308" s="54">
        <f t="shared" si="51"/>
        <v>0</v>
      </c>
      <c r="Q308" s="46"/>
      <c r="R308" s="46"/>
    </row>
    <row r="309" spans="1:18" x14ac:dyDescent="0.3">
      <c r="A309" s="27" t="str">
        <f>'Selbstbeurteilung Kunde'!A315</f>
        <v>4.7.</v>
      </c>
      <c r="B309" s="27" t="str">
        <f>'Selbstbeurteilung Kunde'!B315</f>
        <v>Beschaffung von Arbeitsmitteln</v>
      </c>
      <c r="C309" s="28">
        <f>O309/N309</f>
        <v>0</v>
      </c>
      <c r="D309" s="350"/>
      <c r="E309" s="37" t="str">
        <f>IF(ISBLANK('Selbstbeurteilung Kunde'!F315),"",'Selbstbeurteilung Kunde'!F315)</f>
        <v/>
      </c>
      <c r="F309" s="282"/>
      <c r="G309" s="282"/>
      <c r="H309" s="282"/>
      <c r="I309" s="282"/>
      <c r="J309" s="282"/>
      <c r="K309" s="282"/>
      <c r="L309" s="63">
        <f>P309/N309</f>
        <v>0</v>
      </c>
      <c r="M309" s="29">
        <v>2</v>
      </c>
      <c r="N309" s="29">
        <f>SUM(M310:M316)</f>
        <v>13</v>
      </c>
      <c r="O309" s="31">
        <f>SUM(O310:O316)</f>
        <v>0</v>
      </c>
      <c r="P309" s="31">
        <f>SUM(P310:P316)</f>
        <v>0</v>
      </c>
      <c r="Q309" s="65">
        <f>O309/$N309*$M309</f>
        <v>0</v>
      </c>
      <c r="R309" s="65">
        <f>P309/$N309*$M309</f>
        <v>0</v>
      </c>
    </row>
    <row r="310" spans="1:18" ht="26.4" x14ac:dyDescent="0.3">
      <c r="A310" s="3" t="str">
        <f>'Selbstbeurteilung Kunde'!A316</f>
        <v>4.7.1.</v>
      </c>
      <c r="B310" s="6" t="str">
        <f>'Selbstbeurteilung Kunde'!C316</f>
        <v>Werden bei der Beschaffung von Arbeitsmitteln sicherheitstechnische Aspekte berücksichtigt?</v>
      </c>
      <c r="C310" s="49">
        <f>IF(ISBLANK('Selbstbeurteilung Kunde'!D316),0,1)</f>
        <v>0</v>
      </c>
      <c r="D310" s="49" t="str">
        <f>IF(AND('Selbstbeurteilung Kunde'!D316="",'Selbstbeurteilung Kunde'!E316=""),"*","")</f>
        <v>*</v>
      </c>
      <c r="E310" s="50" t="str">
        <f>IF(ISBLANK('Selbstbeurteilung Kunde'!F316),"",'Selbstbeurteilung Kunde'!F316)</f>
        <v/>
      </c>
      <c r="F310" s="290"/>
      <c r="G310" s="290"/>
      <c r="H310" s="290"/>
      <c r="I310" s="290"/>
      <c r="J310" s="290"/>
      <c r="K310" s="290"/>
      <c r="L310" s="279"/>
      <c r="M310" s="47">
        <v>3</v>
      </c>
      <c r="N310" s="34"/>
      <c r="O310" s="35">
        <f>C310*M310</f>
        <v>0</v>
      </c>
      <c r="P310" s="54">
        <f t="shared" ref="P310:P316" si="52">L310*M310</f>
        <v>0</v>
      </c>
      <c r="Q310" s="46"/>
      <c r="R310" s="34"/>
    </row>
    <row r="311" spans="1:18" ht="52.8" x14ac:dyDescent="0.3">
      <c r="A311" s="3" t="str">
        <f>'Selbstbeurteilung Kunde'!A317</f>
        <v>4.7.2.</v>
      </c>
      <c r="B311" s="6" t="str">
        <f>'Selbstbeurteilung Kunde'!C317</f>
        <v>Verwenden Sie bei der Beschaffung von Arbeitsmitteln besondere Checklisten, Stichwortlisten oder betriebsinterne Bestimmungen um sicherheitstechnische Aspekte zu überprüfen?</v>
      </c>
      <c r="C311" s="49">
        <f>IF(ISBLANK('Selbstbeurteilung Kunde'!D317),0,1)</f>
        <v>0</v>
      </c>
      <c r="D311" s="49" t="str">
        <f>IF(AND('Selbstbeurteilung Kunde'!D317="",'Selbstbeurteilung Kunde'!E317=""),"*","")</f>
        <v>*</v>
      </c>
      <c r="E311" s="50" t="str">
        <f>IF(ISBLANK('Selbstbeurteilung Kunde'!F317),"",'Selbstbeurteilung Kunde'!F317)</f>
        <v/>
      </c>
      <c r="F311" s="287"/>
      <c r="G311" s="287"/>
      <c r="H311" s="287"/>
      <c r="I311" s="287"/>
      <c r="J311" s="287"/>
      <c r="K311" s="287"/>
      <c r="L311" s="279"/>
      <c r="M311" s="47">
        <v>1</v>
      </c>
      <c r="N311" s="34"/>
      <c r="O311" s="35">
        <f>C311*M311</f>
        <v>0</v>
      </c>
      <c r="P311" s="54">
        <f t="shared" si="52"/>
        <v>0</v>
      </c>
      <c r="Q311" s="46"/>
      <c r="R311" s="34"/>
    </row>
    <row r="312" spans="1:18" ht="42.75" customHeight="1" x14ac:dyDescent="0.3">
      <c r="A312" s="3" t="str">
        <f>'Selbstbeurteilung Kunde'!A318</f>
        <v>4.7.3.</v>
      </c>
      <c r="B312" s="6" t="str">
        <f>'Selbstbeurteilung Kunde'!C318</f>
        <v>Wird überprüft, dass Arbeitsmittel, Anlagen, Werkstoffe und Gefahrenstoffe sicher sind, bevor diese durch ihre Beschäftigten verwendet werden?</v>
      </c>
      <c r="C312" s="49">
        <f>IF(ISBLANK('Selbstbeurteilung Kunde'!D318),0,1)</f>
        <v>0</v>
      </c>
      <c r="D312" s="49" t="str">
        <f>IF(AND('Selbstbeurteilung Kunde'!D318="",'Selbstbeurteilung Kunde'!E318=""),"*","")</f>
        <v>*</v>
      </c>
      <c r="E312" s="50" t="str">
        <f>IF(ISBLANK('Selbstbeurteilung Kunde'!F318),"",'Selbstbeurteilung Kunde'!F318)</f>
        <v/>
      </c>
      <c r="F312" s="287"/>
      <c r="G312" s="287"/>
      <c r="H312" s="287"/>
      <c r="I312" s="287"/>
      <c r="J312" s="287"/>
      <c r="K312" s="287"/>
      <c r="L312" s="279"/>
      <c r="M312" s="47">
        <v>1</v>
      </c>
      <c r="N312" s="34"/>
      <c r="O312" s="35">
        <f t="shared" ref="O312:O313" si="53">C312*M312</f>
        <v>0</v>
      </c>
      <c r="P312" s="54">
        <f t="shared" si="52"/>
        <v>0</v>
      </c>
      <c r="Q312" s="46"/>
      <c r="R312" s="34"/>
    </row>
    <row r="313" spans="1:18" ht="42.75" customHeight="1" x14ac:dyDescent="0.3">
      <c r="A313" s="3" t="str">
        <f>'Selbstbeurteilung Kunde'!A319</f>
        <v>4.7.4.</v>
      </c>
      <c r="B313" s="6" t="str">
        <f>'Selbstbeurteilung Kunde'!C319</f>
        <v xml:space="preserve">Wird die  Überprüfung der Arbeitsmittel, Anlagen und Werkstoffe vor der Verwendung durch ihre Beschäftigte dokumentiert? </v>
      </c>
      <c r="C313" s="49">
        <f>IF(ISBLANK('Selbstbeurteilung Kunde'!D319),0,1)</f>
        <v>0</v>
      </c>
      <c r="D313" s="49" t="str">
        <f>IF(AND('Selbstbeurteilung Kunde'!D319="",'Selbstbeurteilung Kunde'!E319=""),"*","")</f>
        <v>*</v>
      </c>
      <c r="E313" s="50" t="str">
        <f>IF(ISBLANK('Selbstbeurteilung Kunde'!F319),"",'Selbstbeurteilung Kunde'!F319)</f>
        <v/>
      </c>
      <c r="F313" s="287"/>
      <c r="G313" s="287"/>
      <c r="H313" s="287"/>
      <c r="I313" s="287"/>
      <c r="J313" s="287"/>
      <c r="K313" s="287"/>
      <c r="L313" s="279"/>
      <c r="M313" s="47">
        <v>1</v>
      </c>
      <c r="N313" s="34"/>
      <c r="O313" s="35">
        <f t="shared" si="53"/>
        <v>0</v>
      </c>
      <c r="P313" s="54">
        <f t="shared" si="52"/>
        <v>0</v>
      </c>
      <c r="Q313" s="46"/>
      <c r="R313" s="34"/>
    </row>
    <row r="314" spans="1:18" ht="38.25" customHeight="1" x14ac:dyDescent="0.3">
      <c r="A314" s="3" t="str">
        <f>'Selbstbeurteilung Kunde'!A320</f>
        <v>4.7.5.</v>
      </c>
      <c r="B314" s="6" t="str">
        <f>'Selbstbeurteilung Kunde'!C320</f>
        <v>Verlangen Sie von Lieferanten schon bei der Offerte entsprechende sicherheitstechnische Daten, Prüfberichte, Zertifikate, Testergebnisse, Referenzen?</v>
      </c>
      <c r="C314" s="49">
        <f>IF(ISBLANK('Selbstbeurteilung Kunde'!D320),0,1)</f>
        <v>0</v>
      </c>
      <c r="D314" s="49" t="str">
        <f>IF(AND('Selbstbeurteilung Kunde'!D320="",'Selbstbeurteilung Kunde'!E320=""),"*","")</f>
        <v>*</v>
      </c>
      <c r="E314" s="50" t="str">
        <f>IF(ISBLANK('Selbstbeurteilung Kunde'!F320),"",'Selbstbeurteilung Kunde'!F320)</f>
        <v/>
      </c>
      <c r="F314" s="287"/>
      <c r="G314" s="287"/>
      <c r="H314" s="287"/>
      <c r="I314" s="287"/>
      <c r="J314" s="287"/>
      <c r="K314" s="287"/>
      <c r="L314" s="279"/>
      <c r="M314" s="47">
        <v>1</v>
      </c>
      <c r="N314" s="34"/>
      <c r="O314" s="35">
        <f>C314*M314</f>
        <v>0</v>
      </c>
      <c r="P314" s="54">
        <f t="shared" si="52"/>
        <v>0</v>
      </c>
      <c r="Q314" s="46"/>
      <c r="R314" s="34"/>
    </row>
    <row r="315" spans="1:18" ht="66" x14ac:dyDescent="0.3">
      <c r="A315" s="3" t="str">
        <f>'Selbstbeurteilung Kunde'!A321</f>
        <v>4.7.6.</v>
      </c>
      <c r="B315" s="6" t="str">
        <f>'Selbstbeurteilung Kunde'!C321</f>
        <v>Verlangen Sie von den Lieferanten für neue Maschinen die Konformitätserklärung und die Bedienungsanleitung, bzw. für unvollständige Maschinen die Einbauerklärung und die Montageanleitung gemäss MaschV*?
* MaschV: Verordnung über die Sicherheit von Maschinen</v>
      </c>
      <c r="C315" s="49">
        <f>IF(ISBLANK('Selbstbeurteilung Kunde'!D321),0,1)</f>
        <v>0</v>
      </c>
      <c r="D315" s="49" t="str">
        <f>IF(AND('Selbstbeurteilung Kunde'!D321="",'Selbstbeurteilung Kunde'!E321=""),"*","")</f>
        <v>*</v>
      </c>
      <c r="E315" s="50" t="str">
        <f>IF(ISBLANK('Selbstbeurteilung Kunde'!F321),"",'Selbstbeurteilung Kunde'!F321)</f>
        <v/>
      </c>
      <c r="F315" s="287"/>
      <c r="G315" s="287"/>
      <c r="H315" s="287"/>
      <c r="I315" s="287"/>
      <c r="J315" s="287"/>
      <c r="K315" s="287"/>
      <c r="L315" s="279"/>
      <c r="M315" s="47">
        <v>3</v>
      </c>
      <c r="N315" s="34"/>
      <c r="O315" s="35">
        <f>C315*M315</f>
        <v>0</v>
      </c>
      <c r="P315" s="54">
        <f t="shared" si="52"/>
        <v>0</v>
      </c>
      <c r="Q315" s="46"/>
      <c r="R315" s="34"/>
    </row>
    <row r="316" spans="1:18" ht="26.4" x14ac:dyDescent="0.3">
      <c r="A316" s="3" t="str">
        <f>'Selbstbeurteilung Kunde'!A322</f>
        <v>4.7.7.</v>
      </c>
      <c r="B316" s="6" t="str">
        <f>'Selbstbeurteilung Kunde'!C322</f>
        <v>Werden die Konformitätserklärungen auf Vollständigkeit geprüft und archiviert?</v>
      </c>
      <c r="C316" s="49">
        <f>IF(ISBLANK('Selbstbeurteilung Kunde'!D322),0,1)</f>
        <v>0</v>
      </c>
      <c r="D316" s="49" t="str">
        <f>IF(AND('Selbstbeurteilung Kunde'!D322="",'Selbstbeurteilung Kunde'!E322=""),"*","")</f>
        <v>*</v>
      </c>
      <c r="E316" s="50" t="str">
        <f>IF(ISBLANK('Selbstbeurteilung Kunde'!F322),"",'Selbstbeurteilung Kunde'!F322)</f>
        <v/>
      </c>
      <c r="F316" s="287"/>
      <c r="G316" s="287"/>
      <c r="H316" s="287"/>
      <c r="I316" s="287"/>
      <c r="J316" s="287"/>
      <c r="K316" s="287"/>
      <c r="L316" s="279"/>
      <c r="M316" s="47">
        <v>3</v>
      </c>
      <c r="N316" s="34"/>
      <c r="O316" s="35">
        <f>C316*M316</f>
        <v>0</v>
      </c>
      <c r="P316" s="54">
        <f t="shared" si="52"/>
        <v>0</v>
      </c>
      <c r="Q316" s="46"/>
      <c r="R316" s="34"/>
    </row>
    <row r="317" spans="1:18" x14ac:dyDescent="0.3">
      <c r="A317" s="27" t="s">
        <v>1565</v>
      </c>
      <c r="B317" s="27" t="s">
        <v>1566</v>
      </c>
      <c r="C317" s="28">
        <f>O317/N317</f>
        <v>0</v>
      </c>
      <c r="D317" s="350"/>
      <c r="E317" s="37" t="str">
        <f>IF(ISBLANK('Selbstbeurteilung Kunde'!F323),"",'Selbstbeurteilung Kunde'!F323)</f>
        <v/>
      </c>
      <c r="F317" s="282"/>
      <c r="G317" s="282"/>
      <c r="H317" s="282"/>
      <c r="I317" s="282"/>
      <c r="J317" s="282"/>
      <c r="K317" s="282"/>
      <c r="L317" s="63">
        <f>P317/N317</f>
        <v>0</v>
      </c>
      <c r="M317" s="29">
        <v>10</v>
      </c>
      <c r="N317" s="29">
        <f>M318</f>
        <v>5</v>
      </c>
      <c r="O317" s="31">
        <f>O318</f>
        <v>0</v>
      </c>
      <c r="P317" s="31">
        <f>P318</f>
        <v>0</v>
      </c>
      <c r="Q317" s="65">
        <f>O317/$N317*$M317</f>
        <v>0</v>
      </c>
      <c r="R317" s="65">
        <f>P317/$N317*$M317</f>
        <v>0</v>
      </c>
    </row>
    <row r="318" spans="1:18" ht="26.4" x14ac:dyDescent="0.3">
      <c r="A318" s="3" t="s">
        <v>1567</v>
      </c>
      <c r="B318" s="6" t="s">
        <v>1568</v>
      </c>
      <c r="C318" s="49"/>
      <c r="D318" s="49"/>
      <c r="E318" s="50"/>
      <c r="F318" s="290"/>
      <c r="G318" s="290"/>
      <c r="H318" s="290"/>
      <c r="I318" s="290"/>
      <c r="J318" s="290"/>
      <c r="K318" s="290"/>
      <c r="L318" s="279"/>
      <c r="M318" s="47">
        <v>5</v>
      </c>
      <c r="N318" s="34"/>
      <c r="O318" s="35">
        <f>C318*M318</f>
        <v>0</v>
      </c>
      <c r="P318" s="54">
        <f t="shared" ref="P318" si="54">L318*M318</f>
        <v>0</v>
      </c>
      <c r="Q318" s="46"/>
      <c r="R318" s="34"/>
    </row>
    <row r="319" spans="1:18" x14ac:dyDescent="0.3">
      <c r="A319" s="44" t="str">
        <f>'Selbstbeurteilung Kunde'!A324</f>
        <v>5.</v>
      </c>
      <c r="B319" s="7" t="str">
        <f>'Selbstbeurteilung Kunde'!B324</f>
        <v>Gefährdungsermittlung, Risikobeurteilung</v>
      </c>
      <c r="C319" s="40">
        <f>O319/N319</f>
        <v>3.4090909090909088E-2</v>
      </c>
      <c r="D319" s="40"/>
      <c r="E319" s="36"/>
      <c r="F319" s="25"/>
      <c r="G319" s="25"/>
      <c r="H319" s="25"/>
      <c r="I319" s="25"/>
      <c r="J319" s="25"/>
      <c r="K319" s="25"/>
      <c r="L319" s="281">
        <f>P319/N319</f>
        <v>3.4090909090909088E-2</v>
      </c>
      <c r="M319" s="5"/>
      <c r="N319" s="5">
        <f>SUM(M320,M326,M340,M350)</f>
        <v>11</v>
      </c>
      <c r="O319" s="61">
        <f>SUM(Q320:Q367)</f>
        <v>0.375</v>
      </c>
      <c r="P319" s="61">
        <f>SUM(R320:R367)</f>
        <v>0.375</v>
      </c>
      <c r="Q319" s="45"/>
      <c r="R319" s="45"/>
    </row>
    <row r="320" spans="1:18" x14ac:dyDescent="0.3">
      <c r="A320" s="27" t="str">
        <f>'Selbstbeurteilung Kunde'!A326</f>
        <v>5.1.</v>
      </c>
      <c r="B320" s="27" t="str">
        <f>'Selbstbeurteilung Kunde'!B326</f>
        <v>Beizug (gemäss EKAS-Richtlinie 6508)</v>
      </c>
      <c r="C320" s="28">
        <f>O320/N320</f>
        <v>0</v>
      </c>
      <c r="D320" s="350"/>
      <c r="E320" s="37"/>
      <c r="F320" s="282"/>
      <c r="G320" s="282"/>
      <c r="H320" s="282"/>
      <c r="I320" s="282"/>
      <c r="J320" s="282"/>
      <c r="K320" s="282"/>
      <c r="L320" s="63">
        <f>P320/N320</f>
        <v>0</v>
      </c>
      <c r="M320" s="29">
        <v>1</v>
      </c>
      <c r="N320" s="58">
        <f>MAX(M321:M325)</f>
        <v>1</v>
      </c>
      <c r="O320" s="53">
        <f>MAX(O321:O325)</f>
        <v>0</v>
      </c>
      <c r="P320" s="53">
        <f>MAX(P321:P325)</f>
        <v>0</v>
      </c>
      <c r="Q320" s="65">
        <f>O320/N320*M320</f>
        <v>0</v>
      </c>
      <c r="R320" s="65">
        <f>P320/N320*$M320</f>
        <v>0</v>
      </c>
    </row>
    <row r="321" spans="1:18" ht="99" customHeight="1" x14ac:dyDescent="0.3">
      <c r="A321" s="3" t="str">
        <f>'Selbstbeurteilung Kunde'!A327</f>
        <v>5.1.1.a</v>
      </c>
      <c r="B321" s="6" t="str">
        <f>'Selbstbeurteilung Kunde'!C327</f>
        <v>Wie haben Sie den Beizug von Arbeitsärzten und anderen Spezialisten der Arbeitssicherheit in Ihrem Unternehmen geregelt:
Unternehmenseigene Lösung?
Wenn ja, Namen der zuständigen Arbeitsärzte und Spezialisten im Tabellenblatt „Schlüsselpersonen Sicherheit“ eintragen.</v>
      </c>
      <c r="C321" s="49">
        <f>IF(ISBLANK('Selbstbeurteilung Kunde'!D327),0,1)</f>
        <v>0</v>
      </c>
      <c r="D321" s="49" t="str">
        <f>IF(AND('Selbstbeurteilung Kunde'!D327="",'Selbstbeurteilung Kunde'!E327=""),"*","")</f>
        <v>*</v>
      </c>
      <c r="E321" s="50" t="str">
        <f>IF(ISBLANK('Selbstbeurteilung Kunde'!F327),"",'Selbstbeurteilung Kunde'!F327)</f>
        <v/>
      </c>
      <c r="F321" s="290"/>
      <c r="G321" s="290"/>
      <c r="H321" s="290"/>
      <c r="I321" s="290"/>
      <c r="J321" s="290"/>
      <c r="K321" s="290"/>
      <c r="L321" s="279"/>
      <c r="M321" s="47">
        <v>1</v>
      </c>
      <c r="N321" s="34"/>
      <c r="O321" s="35">
        <f>M321*C321</f>
        <v>0</v>
      </c>
      <c r="P321" s="54">
        <f t="shared" ref="P321:P325" si="55">L321*M321</f>
        <v>0</v>
      </c>
      <c r="Q321" s="46"/>
      <c r="R321" s="34"/>
    </row>
    <row r="322" spans="1:18" x14ac:dyDescent="0.3">
      <c r="A322" s="3" t="str">
        <f>'Selbstbeurteilung Kunde'!A328</f>
        <v>5.1.1.b</v>
      </c>
      <c r="B322" s="6" t="str">
        <f>'Selbstbeurteilung Kunde'!C328</f>
        <v>Branchenlösung? Wenn ja, über welche Branchenlösung?</v>
      </c>
      <c r="C322" s="49">
        <f>IF(ISBLANK('Selbstbeurteilung Kunde'!D328),0,1)</f>
        <v>0</v>
      </c>
      <c r="D322" s="49" t="str">
        <f>IF(AND('Selbstbeurteilung Kunde'!D328="",'Selbstbeurteilung Kunde'!E328=""),"*","")</f>
        <v>*</v>
      </c>
      <c r="E322" s="50" t="str">
        <f>IF(ISBLANK('Selbstbeurteilung Kunde'!F328),"",'Selbstbeurteilung Kunde'!F328)</f>
        <v/>
      </c>
      <c r="F322" s="287"/>
      <c r="G322" s="287"/>
      <c r="H322" s="287"/>
      <c r="I322" s="287"/>
      <c r="J322" s="287"/>
      <c r="K322" s="287"/>
      <c r="L322" s="279"/>
      <c r="M322" s="47">
        <v>1</v>
      </c>
      <c r="N322" s="34"/>
      <c r="O322" s="35">
        <f>M322*C322</f>
        <v>0</v>
      </c>
      <c r="P322" s="54">
        <f t="shared" si="55"/>
        <v>0</v>
      </c>
      <c r="Q322" s="46"/>
      <c r="R322" s="34"/>
    </row>
    <row r="323" spans="1:18" ht="26.4" x14ac:dyDescent="0.3">
      <c r="A323" s="3" t="str">
        <f>'Selbstbeurteilung Kunde'!A329</f>
        <v>5.1.1.c</v>
      </c>
      <c r="B323" s="6" t="str">
        <f>'Selbstbeurteilung Kunde'!C329</f>
        <v>Betriebsgruppenlösung? Wenn ja, über welche Betriebsgruppenlösung?</v>
      </c>
      <c r="C323" s="49">
        <f>IF(ISBLANK('Selbstbeurteilung Kunde'!D329),0,1)</f>
        <v>0</v>
      </c>
      <c r="D323" s="49" t="str">
        <f>IF(AND('Selbstbeurteilung Kunde'!D329="",'Selbstbeurteilung Kunde'!E329=""),"*","")</f>
        <v>*</v>
      </c>
      <c r="E323" s="50" t="str">
        <f>IF(ISBLANK('Selbstbeurteilung Kunde'!F329),"",'Selbstbeurteilung Kunde'!F329)</f>
        <v/>
      </c>
      <c r="F323" s="287"/>
      <c r="G323" s="287"/>
      <c r="H323" s="287"/>
      <c r="I323" s="287"/>
      <c r="J323" s="287"/>
      <c r="K323" s="287"/>
      <c r="L323" s="279"/>
      <c r="M323" s="47">
        <v>1</v>
      </c>
      <c r="N323" s="34"/>
      <c r="O323" s="35">
        <f>M323*C323</f>
        <v>0</v>
      </c>
      <c r="P323" s="54">
        <f t="shared" si="55"/>
        <v>0</v>
      </c>
      <c r="Q323" s="46"/>
      <c r="R323" s="34"/>
    </row>
    <row r="324" spans="1:18" x14ac:dyDescent="0.3">
      <c r="A324" s="3" t="str">
        <f>'Selbstbeurteilung Kunde'!A330</f>
        <v>5.1.1.d</v>
      </c>
      <c r="B324" s="6" t="str">
        <f>'Selbstbeurteilung Kunde'!C330</f>
        <v xml:space="preserve">Modellösung? Wenn ja, über welche Modellösung </v>
      </c>
      <c r="C324" s="49">
        <f>IF(ISBLANK('Selbstbeurteilung Kunde'!D330),0,1)</f>
        <v>0</v>
      </c>
      <c r="D324" s="49" t="str">
        <f>IF(AND('Selbstbeurteilung Kunde'!D330="",'Selbstbeurteilung Kunde'!E330=""),"*","")</f>
        <v>*</v>
      </c>
      <c r="E324" s="50" t="str">
        <f>IF(ISBLANK('Selbstbeurteilung Kunde'!F330),"",'Selbstbeurteilung Kunde'!F330)</f>
        <v/>
      </c>
      <c r="F324" s="287"/>
      <c r="G324" s="287"/>
      <c r="H324" s="287"/>
      <c r="I324" s="287"/>
      <c r="J324" s="287"/>
      <c r="K324" s="287"/>
      <c r="L324" s="279"/>
      <c r="M324" s="47">
        <v>1</v>
      </c>
      <c r="N324" s="34"/>
      <c r="O324" s="35">
        <f>M324*C324</f>
        <v>0</v>
      </c>
      <c r="P324" s="54">
        <f t="shared" si="55"/>
        <v>0</v>
      </c>
      <c r="Q324" s="46"/>
      <c r="R324" s="34"/>
    </row>
    <row r="325" spans="1:18" x14ac:dyDescent="0.3">
      <c r="A325" s="3" t="str">
        <f>'Selbstbeurteilung Kunde'!A331</f>
        <v>5.1.1.e</v>
      </c>
      <c r="B325" s="6" t="str">
        <f>'Selbstbeurteilung Kunde'!C331</f>
        <v>Andere Lösung? Wenn ja, welche?</v>
      </c>
      <c r="C325" s="49">
        <f>IF(ISBLANK('Selbstbeurteilung Kunde'!D331),0,1)</f>
        <v>0</v>
      </c>
      <c r="D325" s="49" t="str">
        <f>IF(AND('Selbstbeurteilung Kunde'!D331="",'Selbstbeurteilung Kunde'!E331=""),"*","")</f>
        <v>*</v>
      </c>
      <c r="E325" s="50" t="str">
        <f>IF(ISBLANK('Selbstbeurteilung Kunde'!F331),"",'Selbstbeurteilung Kunde'!F331)</f>
        <v/>
      </c>
      <c r="F325" s="287"/>
      <c r="G325" s="287"/>
      <c r="H325" s="287"/>
      <c r="I325" s="287"/>
      <c r="J325" s="287"/>
      <c r="K325" s="287"/>
      <c r="L325" s="279"/>
      <c r="M325" s="47">
        <v>1</v>
      </c>
      <c r="N325" s="34"/>
      <c r="O325" s="35">
        <f>M325*C325</f>
        <v>0</v>
      </c>
      <c r="P325" s="54">
        <f t="shared" si="55"/>
        <v>0</v>
      </c>
      <c r="Q325" s="46"/>
      <c r="R325" s="34"/>
    </row>
    <row r="326" spans="1:18" x14ac:dyDescent="0.3">
      <c r="A326" s="27" t="str">
        <f>'Selbstbeurteilung Kunde'!A332</f>
        <v>5.2.</v>
      </c>
      <c r="B326" s="27" t="str">
        <f>'Selbstbeurteilung Kunde'!B332</f>
        <v>Gefährdungsermittlung</v>
      </c>
      <c r="C326" s="28">
        <f>O326/N326</f>
        <v>0</v>
      </c>
      <c r="D326" s="350"/>
      <c r="E326" s="37" t="str">
        <f>IF(ISBLANK('Selbstbeurteilung Kunde'!F332),"",'Selbstbeurteilung Kunde'!F332)</f>
        <v/>
      </c>
      <c r="F326" s="282"/>
      <c r="G326" s="282"/>
      <c r="H326" s="282"/>
      <c r="I326" s="282"/>
      <c r="J326" s="282"/>
      <c r="K326" s="282"/>
      <c r="L326" s="63">
        <f>P326/N326</f>
        <v>0</v>
      </c>
      <c r="M326" s="29">
        <v>3</v>
      </c>
      <c r="N326" s="29">
        <f>SUM(M327:M339)</f>
        <v>16</v>
      </c>
      <c r="O326" s="31">
        <f>SUM(O327:O339)</f>
        <v>0</v>
      </c>
      <c r="P326" s="31">
        <f>SUM(P327:P339)</f>
        <v>0</v>
      </c>
      <c r="Q326" s="65">
        <f>O326/$N326*$M326</f>
        <v>0</v>
      </c>
      <c r="R326" s="65">
        <f>P326/$N326*$M326</f>
        <v>0</v>
      </c>
    </row>
    <row r="327" spans="1:18" ht="39.6" x14ac:dyDescent="0.3">
      <c r="A327" s="3" t="str">
        <f>'Selbstbeurteilung Kunde'!A333</f>
        <v>5.2.1.</v>
      </c>
      <c r="B327" s="6" t="str">
        <f>'Selbstbeurteilung Kunde'!C333</f>
        <v>Sind die Gefahren bezüglich Sicherheit und Gesundheit der Arbeitnehmenden in Ihrem Unternehmen ermittelt und dokumentiert? Wenn ja, mit welchen Methoden?</v>
      </c>
      <c r="C327" s="49">
        <f>IF(ISBLANK('Selbstbeurteilung Kunde'!D333),0,1)</f>
        <v>0</v>
      </c>
      <c r="D327" s="49" t="str">
        <f>IF(AND('Selbstbeurteilung Kunde'!D333="",'Selbstbeurteilung Kunde'!E333=""),"*","")</f>
        <v>*</v>
      </c>
      <c r="E327" s="50" t="str">
        <f>IF(ISBLANK('Selbstbeurteilung Kunde'!F333),"",'Selbstbeurteilung Kunde'!F333)</f>
        <v/>
      </c>
      <c r="F327" s="287"/>
      <c r="G327" s="287"/>
      <c r="H327" s="287"/>
      <c r="I327" s="287"/>
      <c r="J327" s="287"/>
      <c r="K327" s="287"/>
      <c r="L327" s="279"/>
      <c r="M327" s="47">
        <v>3</v>
      </c>
      <c r="N327" s="34"/>
      <c r="O327" s="35">
        <f t="shared" ref="O327:O339" si="56">C327*M327</f>
        <v>0</v>
      </c>
      <c r="P327" s="54">
        <f t="shared" ref="P327:P339" si="57">L327*M327</f>
        <v>0</v>
      </c>
      <c r="Q327" s="46"/>
      <c r="R327" s="34"/>
    </row>
    <row r="328" spans="1:18" ht="39.6" x14ac:dyDescent="0.3">
      <c r="A328" s="3" t="str">
        <f>'Selbstbeurteilung Kunde'!A334</f>
        <v>5.2.2.a</v>
      </c>
      <c r="B328" s="6" t="str">
        <f>'Selbstbeurteilung Kunde'!C334</f>
        <v>Auf welche Sachverhalte bzw. Gegenstände bezieht sich die Gefährdungsermittlung:
Arbeitsmittel?</v>
      </c>
      <c r="C328" s="49">
        <f>IF(ISBLANK('Selbstbeurteilung Kunde'!D334),0,1)</f>
        <v>0</v>
      </c>
      <c r="D328" s="49" t="str">
        <f>IF(AND('Selbstbeurteilung Kunde'!D334="",'Selbstbeurteilung Kunde'!E334=""),"*","")</f>
        <v>*</v>
      </c>
      <c r="E328" s="50" t="str">
        <f>IF(ISBLANK('Selbstbeurteilung Kunde'!F334),"",'Selbstbeurteilung Kunde'!F334)</f>
        <v/>
      </c>
      <c r="F328" s="287"/>
      <c r="G328" s="287"/>
      <c r="H328" s="287"/>
      <c r="I328" s="287"/>
      <c r="J328" s="287"/>
      <c r="K328" s="287"/>
      <c r="L328" s="279"/>
      <c r="M328" s="47">
        <v>1</v>
      </c>
      <c r="N328" s="34"/>
      <c r="O328" s="35">
        <f t="shared" si="56"/>
        <v>0</v>
      </c>
      <c r="P328" s="54">
        <f t="shared" si="57"/>
        <v>0</v>
      </c>
      <c r="Q328" s="46"/>
      <c r="R328" s="34"/>
    </row>
    <row r="329" spans="1:18" x14ac:dyDescent="0.3">
      <c r="A329" s="3" t="str">
        <f>'Selbstbeurteilung Kunde'!A335</f>
        <v>5.2.2.b</v>
      </c>
      <c r="B329" s="6" t="str">
        <f>'Selbstbeurteilung Kunde'!C335</f>
        <v>Arbeitsprozesse, Verfahren, Methoden?</v>
      </c>
      <c r="C329" s="49">
        <f>IF(ISBLANK('Selbstbeurteilung Kunde'!D335),0,1)</f>
        <v>0</v>
      </c>
      <c r="D329" s="49" t="str">
        <f>IF(AND('Selbstbeurteilung Kunde'!D335="",'Selbstbeurteilung Kunde'!E335=""),"*","")</f>
        <v>*</v>
      </c>
      <c r="E329" s="50" t="str">
        <f>IF(ISBLANK('Selbstbeurteilung Kunde'!F335),"",'Selbstbeurteilung Kunde'!F335)</f>
        <v/>
      </c>
      <c r="F329" s="287"/>
      <c r="G329" s="287"/>
      <c r="H329" s="287"/>
      <c r="I329" s="287"/>
      <c r="J329" s="287"/>
      <c r="K329" s="287"/>
      <c r="L329" s="279"/>
      <c r="M329" s="47">
        <v>1</v>
      </c>
      <c r="N329" s="34"/>
      <c r="O329" s="35">
        <f t="shared" si="56"/>
        <v>0</v>
      </c>
      <c r="P329" s="54">
        <f t="shared" si="57"/>
        <v>0</v>
      </c>
      <c r="Q329" s="46"/>
      <c r="R329" s="34"/>
    </row>
    <row r="330" spans="1:18" x14ac:dyDescent="0.3">
      <c r="A330" s="3" t="str">
        <f>'Selbstbeurteilung Kunde'!A336</f>
        <v>5.2.2.c</v>
      </c>
      <c r="B330" s="6" t="str">
        <f>'Selbstbeurteilung Kunde'!C336</f>
        <v>Tätigkeiten?</v>
      </c>
      <c r="C330" s="49">
        <f>IF(ISBLANK('Selbstbeurteilung Kunde'!D336),0,1)</f>
        <v>0</v>
      </c>
      <c r="D330" s="49" t="str">
        <f>IF(AND('Selbstbeurteilung Kunde'!D336="",'Selbstbeurteilung Kunde'!E336=""),"*","")</f>
        <v>*</v>
      </c>
      <c r="E330" s="50" t="str">
        <f>IF(ISBLANK('Selbstbeurteilung Kunde'!F336),"",'Selbstbeurteilung Kunde'!F336)</f>
        <v/>
      </c>
      <c r="F330" s="290"/>
      <c r="G330" s="290"/>
      <c r="H330" s="290"/>
      <c r="I330" s="290"/>
      <c r="J330" s="290"/>
      <c r="K330" s="290"/>
      <c r="L330" s="279"/>
      <c r="M330" s="47">
        <v>0</v>
      </c>
      <c r="N330" s="34"/>
      <c r="O330" s="35">
        <f t="shared" si="56"/>
        <v>0</v>
      </c>
      <c r="P330" s="54">
        <f t="shared" si="57"/>
        <v>0</v>
      </c>
      <c r="Q330" s="46"/>
      <c r="R330" s="46"/>
    </row>
    <row r="331" spans="1:18" x14ac:dyDescent="0.3">
      <c r="A331" s="3" t="str">
        <f>'Selbstbeurteilung Kunde'!A337</f>
        <v>5.2.2.d</v>
      </c>
      <c r="B331" s="6" t="str">
        <f>'Selbstbeurteilung Kunde'!C337</f>
        <v>Arbeitsplätze?</v>
      </c>
      <c r="C331" s="49">
        <f>IF(ISBLANK('Selbstbeurteilung Kunde'!D337),0,1)</f>
        <v>0</v>
      </c>
      <c r="D331" s="49" t="str">
        <f>IF(AND('Selbstbeurteilung Kunde'!D337="",'Selbstbeurteilung Kunde'!E337=""),"*","")</f>
        <v>*</v>
      </c>
      <c r="E331" s="50" t="str">
        <f>IF(ISBLANK('Selbstbeurteilung Kunde'!F337),"",'Selbstbeurteilung Kunde'!F337)</f>
        <v/>
      </c>
      <c r="F331" s="290"/>
      <c r="G331" s="290"/>
      <c r="H331" s="290"/>
      <c r="I331" s="290"/>
      <c r="J331" s="290"/>
      <c r="K331" s="290"/>
      <c r="L331" s="279"/>
      <c r="M331" s="47">
        <v>1</v>
      </c>
      <c r="N331" s="34"/>
      <c r="O331" s="35">
        <f t="shared" si="56"/>
        <v>0</v>
      </c>
      <c r="P331" s="54">
        <f t="shared" si="57"/>
        <v>0</v>
      </c>
      <c r="Q331" s="46"/>
      <c r="R331" s="34"/>
    </row>
    <row r="332" spans="1:18" ht="28.5" customHeight="1" x14ac:dyDescent="0.3">
      <c r="A332" s="3" t="str">
        <f>'Selbstbeurteilung Kunde'!A338</f>
        <v>5.2.2.e</v>
      </c>
      <c r="B332" s="6" t="str">
        <f>'Selbstbeurteilung Kunde'!C338</f>
        <v>Tätigkeiten / Arbeitsplätze mit Auftragnehmer (z.B. Fremdfirmen)?</v>
      </c>
      <c r="C332" s="49">
        <f>IF(ISBLANK('Selbstbeurteilung Kunde'!D338),0,1)</f>
        <v>0</v>
      </c>
      <c r="D332" s="49" t="str">
        <f>IF(AND('Selbstbeurteilung Kunde'!D338="",'Selbstbeurteilung Kunde'!E338=""),"*","")</f>
        <v>*</v>
      </c>
      <c r="E332" s="50" t="str">
        <f>IF(ISBLANK('Selbstbeurteilung Kunde'!F338),"",'Selbstbeurteilung Kunde'!F338)</f>
        <v/>
      </c>
      <c r="F332" s="290"/>
      <c r="G332" s="290"/>
      <c r="H332" s="290"/>
      <c r="I332" s="290"/>
      <c r="J332" s="290"/>
      <c r="K332" s="290"/>
      <c r="L332" s="279"/>
      <c r="M332" s="47">
        <v>1</v>
      </c>
      <c r="N332" s="34"/>
      <c r="O332" s="35">
        <f t="shared" ref="O332" si="58">C332*M332</f>
        <v>0</v>
      </c>
      <c r="P332" s="54">
        <f t="shared" ref="P332" si="59">L332*M332</f>
        <v>0</v>
      </c>
      <c r="Q332" s="46"/>
      <c r="R332" s="34"/>
    </row>
    <row r="333" spans="1:18" x14ac:dyDescent="0.3">
      <c r="A333" s="3" t="str">
        <f>'Selbstbeurteilung Kunde'!A339</f>
        <v>5.2.2.f</v>
      </c>
      <c r="B333" s="6" t="str">
        <f>'Selbstbeurteilung Kunde'!C339</f>
        <v>Produkte?</v>
      </c>
      <c r="C333" s="49">
        <f>IF(ISBLANK('Selbstbeurteilung Kunde'!D339),0,1)</f>
        <v>0</v>
      </c>
      <c r="D333" s="49" t="str">
        <f>IF(AND('Selbstbeurteilung Kunde'!D339="",'Selbstbeurteilung Kunde'!E339=""),"*","")</f>
        <v>*</v>
      </c>
      <c r="E333" s="50" t="str">
        <f>IF(ISBLANK('Selbstbeurteilung Kunde'!F339),"",'Selbstbeurteilung Kunde'!F339)</f>
        <v/>
      </c>
      <c r="F333" s="287"/>
      <c r="G333" s="287"/>
      <c r="H333" s="287"/>
      <c r="I333" s="287"/>
      <c r="J333" s="287"/>
      <c r="K333" s="287"/>
      <c r="L333" s="279"/>
      <c r="M333" s="47">
        <v>1</v>
      </c>
      <c r="N333" s="34"/>
      <c r="O333" s="35">
        <f t="shared" si="56"/>
        <v>0</v>
      </c>
      <c r="P333" s="54">
        <f t="shared" si="57"/>
        <v>0</v>
      </c>
      <c r="Q333" s="46"/>
      <c r="R333" s="34"/>
    </row>
    <row r="334" spans="1:18" x14ac:dyDescent="0.3">
      <c r="A334" s="3" t="str">
        <f>'Selbstbeurteilung Kunde'!A340</f>
        <v>5.2.2.g</v>
      </c>
      <c r="B334" s="6" t="str">
        <f>'Selbstbeurteilung Kunde'!C340</f>
        <v>Gesundheitsgefährdende Stoffe?</v>
      </c>
      <c r="C334" s="49">
        <f>IF(ISBLANK('Selbstbeurteilung Kunde'!D340),0,1)</f>
        <v>0</v>
      </c>
      <c r="D334" s="49" t="str">
        <f>IF(AND('Selbstbeurteilung Kunde'!D340="",'Selbstbeurteilung Kunde'!E340=""),"*","")</f>
        <v>*</v>
      </c>
      <c r="E334" s="50" t="str">
        <f>IF(ISBLANK('Selbstbeurteilung Kunde'!F340),"",'Selbstbeurteilung Kunde'!F340)</f>
        <v/>
      </c>
      <c r="F334" s="287"/>
      <c r="G334" s="287"/>
      <c r="H334" s="287"/>
      <c r="I334" s="287"/>
      <c r="J334" s="287"/>
      <c r="K334" s="287"/>
      <c r="L334" s="279"/>
      <c r="M334" s="47">
        <v>1</v>
      </c>
      <c r="N334" s="34"/>
      <c r="O334" s="35">
        <f t="shared" si="56"/>
        <v>0</v>
      </c>
      <c r="P334" s="54">
        <f t="shared" si="57"/>
        <v>0</v>
      </c>
      <c r="Q334" s="46"/>
      <c r="R334" s="34"/>
    </row>
    <row r="335" spans="1:18" ht="26.4" x14ac:dyDescent="0.3">
      <c r="A335" s="3" t="str">
        <f>'Selbstbeurteilung Kunde'!A341</f>
        <v>5.2.2.h</v>
      </c>
      <c r="B335" s="6" t="str">
        <f>'Selbstbeurteilung Kunde'!C341</f>
        <v>Andere Sachverhalte oder Gegenstände? Wenn ja, welche?</v>
      </c>
      <c r="C335" s="49">
        <f>IF(ISBLANK('Selbstbeurteilung Kunde'!D341),0,1)</f>
        <v>0</v>
      </c>
      <c r="D335" s="49" t="str">
        <f>IF(AND('Selbstbeurteilung Kunde'!D341="",'Selbstbeurteilung Kunde'!E341=""),"*","")</f>
        <v>*</v>
      </c>
      <c r="E335" s="50" t="str">
        <f>IF(ISBLANK('Selbstbeurteilung Kunde'!F341),"",'Selbstbeurteilung Kunde'!F341)</f>
        <v/>
      </c>
      <c r="F335" s="287"/>
      <c r="G335" s="287"/>
      <c r="H335" s="287"/>
      <c r="I335" s="287"/>
      <c r="J335" s="287"/>
      <c r="K335" s="287"/>
      <c r="L335" s="279"/>
      <c r="M335" s="47">
        <v>0</v>
      </c>
      <c r="N335" s="34"/>
      <c r="O335" s="35">
        <f t="shared" si="56"/>
        <v>0</v>
      </c>
      <c r="P335" s="54">
        <f t="shared" si="57"/>
        <v>0</v>
      </c>
      <c r="Q335" s="46"/>
      <c r="R335" s="34"/>
    </row>
    <row r="336" spans="1:18" ht="26.4" x14ac:dyDescent="0.3">
      <c r="A336" s="3" t="str">
        <f>'Selbstbeurteilung Kunde'!A342</f>
        <v>5.2.3.</v>
      </c>
      <c r="B336" s="6" t="str">
        <f>'Selbstbeurteilung Kunde'!C342</f>
        <v>Wird die Gefährdungsermittlung regelmässig überprüft und den Veränderungen im Unternehmen angepasst?</v>
      </c>
      <c r="C336" s="49">
        <f>IF(ISBLANK('Selbstbeurteilung Kunde'!D342),0,1)</f>
        <v>0</v>
      </c>
      <c r="D336" s="49" t="str">
        <f>IF(AND('Selbstbeurteilung Kunde'!D342="",'Selbstbeurteilung Kunde'!E342=""),"*","")</f>
        <v>*</v>
      </c>
      <c r="E336" s="50" t="str">
        <f>IF(ISBLANK('Selbstbeurteilung Kunde'!F342),"",'Selbstbeurteilung Kunde'!F342)</f>
        <v/>
      </c>
      <c r="F336" s="287"/>
      <c r="G336" s="287"/>
      <c r="H336" s="287"/>
      <c r="I336" s="287"/>
      <c r="J336" s="287"/>
      <c r="K336" s="287"/>
      <c r="L336" s="279"/>
      <c r="M336" s="47">
        <v>3</v>
      </c>
      <c r="N336" s="34"/>
      <c r="O336" s="35">
        <f t="shared" si="56"/>
        <v>0</v>
      </c>
      <c r="P336" s="54">
        <f t="shared" si="57"/>
        <v>0</v>
      </c>
      <c r="Q336" s="46"/>
      <c r="R336" s="34"/>
    </row>
    <row r="337" spans="1:18" ht="39.6" x14ac:dyDescent="0.3">
      <c r="A337" s="3" t="str">
        <f>'Selbstbeurteilung Kunde'!A343</f>
        <v>5.2.4.</v>
      </c>
      <c r="B337" s="6" t="str">
        <f>'Selbstbeurteilung Kunde'!C343</f>
        <v>Gibt es in Ihrem Unternehmen eine Person/Stelle, die für die systematische Gefährdungsermittlung zuständig ist? Wenn ja, welche Person/Stelle?</v>
      </c>
      <c r="C337" s="49">
        <f>IF(ISBLANK('Selbstbeurteilung Kunde'!D343),0,1)</f>
        <v>0</v>
      </c>
      <c r="D337" s="49" t="str">
        <f>IF(AND('Selbstbeurteilung Kunde'!D343="",'Selbstbeurteilung Kunde'!E343=""),"*","")</f>
        <v>*</v>
      </c>
      <c r="E337" s="50" t="str">
        <f>IF(ISBLANK('Selbstbeurteilung Kunde'!F343),"",'Selbstbeurteilung Kunde'!F343)</f>
        <v/>
      </c>
      <c r="F337" s="287"/>
      <c r="G337" s="287"/>
      <c r="H337" s="287"/>
      <c r="I337" s="287"/>
      <c r="J337" s="287"/>
      <c r="K337" s="287"/>
      <c r="L337" s="279"/>
      <c r="M337" s="47">
        <v>1</v>
      </c>
      <c r="N337" s="34"/>
      <c r="O337" s="35">
        <f t="shared" si="56"/>
        <v>0</v>
      </c>
      <c r="P337" s="54">
        <f t="shared" si="57"/>
        <v>0</v>
      </c>
      <c r="Q337" s="46"/>
      <c r="R337" s="34"/>
    </row>
    <row r="338" spans="1:18" ht="26.4" x14ac:dyDescent="0.3">
      <c r="A338" s="3" t="str">
        <f>'Selbstbeurteilung Kunde'!A344</f>
        <v>5.2.5.</v>
      </c>
      <c r="B338" s="6" t="str">
        <f>'Selbstbeurteilung Kunde'!C344</f>
        <v>Werden die Mitarbeitenden in die Gefährdungsermittlung einbezogen?</v>
      </c>
      <c r="C338" s="49">
        <f>IF(ISBLANK('Selbstbeurteilung Kunde'!D344),0,1)</f>
        <v>0</v>
      </c>
      <c r="D338" s="49" t="str">
        <f>IF(AND('Selbstbeurteilung Kunde'!D344="",'Selbstbeurteilung Kunde'!E344=""),"*","")</f>
        <v>*</v>
      </c>
      <c r="E338" s="50" t="str">
        <f>IF(ISBLANK('Selbstbeurteilung Kunde'!F344),"",'Selbstbeurteilung Kunde'!F344)</f>
        <v/>
      </c>
      <c r="F338" s="287"/>
      <c r="G338" s="287"/>
      <c r="H338" s="287"/>
      <c r="I338" s="287"/>
      <c r="J338" s="287"/>
      <c r="K338" s="287"/>
      <c r="L338" s="279"/>
      <c r="M338" s="47">
        <v>2</v>
      </c>
      <c r="N338" s="34"/>
      <c r="O338" s="35">
        <f t="shared" si="56"/>
        <v>0</v>
      </c>
      <c r="P338" s="54">
        <f t="shared" si="57"/>
        <v>0</v>
      </c>
      <c r="Q338" s="46"/>
      <c r="R338" s="34"/>
    </row>
    <row r="339" spans="1:18" ht="39.6" x14ac:dyDescent="0.3">
      <c r="A339" s="3" t="str">
        <f>'Selbstbeurteilung Kunde'!A345</f>
        <v>5.2.7.</v>
      </c>
      <c r="B339" s="6" t="str">
        <f>'Selbstbeurteilung Kunde'!C345</f>
        <v>Werden die Ergebnisse aus der Gefährdungsermittlung bei der Festlegung der Ziele für Sicherheit und Gesundheitsschutz berücksichtigt?</v>
      </c>
      <c r="C339" s="49">
        <f>IF(ISBLANK('Selbstbeurteilung Kunde'!D345),0,1)</f>
        <v>0</v>
      </c>
      <c r="D339" s="49" t="str">
        <f>IF(AND('Selbstbeurteilung Kunde'!D345="",'Selbstbeurteilung Kunde'!E345=""),"*","")</f>
        <v>*</v>
      </c>
      <c r="E339" s="50" t="str">
        <f>IF(ISBLANK('Selbstbeurteilung Kunde'!F345),"",'Selbstbeurteilung Kunde'!F345)</f>
        <v/>
      </c>
      <c r="F339" s="287"/>
      <c r="G339" s="287"/>
      <c r="H339" s="287"/>
      <c r="I339" s="287"/>
      <c r="J339" s="287"/>
      <c r="K339" s="287"/>
      <c r="L339" s="279"/>
      <c r="M339" s="47">
        <v>1</v>
      </c>
      <c r="N339" s="34"/>
      <c r="O339" s="35">
        <f t="shared" si="56"/>
        <v>0</v>
      </c>
      <c r="P339" s="54">
        <f t="shared" si="57"/>
        <v>0</v>
      </c>
      <c r="Q339" s="46"/>
      <c r="R339" s="34"/>
    </row>
    <row r="340" spans="1:18" x14ac:dyDescent="0.3">
      <c r="A340" s="27" t="str">
        <f>'Selbstbeurteilung Kunde'!A346</f>
        <v>5.3.</v>
      </c>
      <c r="B340" s="27" t="str">
        <f>'Selbstbeurteilung Kunde'!B346</f>
        <v>Risikobeurteilung</v>
      </c>
      <c r="C340" s="28">
        <f>O340/N340</f>
        <v>0</v>
      </c>
      <c r="D340" s="350"/>
      <c r="E340" s="37" t="str">
        <f>IF(ISBLANK('Selbstbeurteilung Kunde'!F346),"",'Selbstbeurteilung Kunde'!F346)</f>
        <v/>
      </c>
      <c r="F340" s="282"/>
      <c r="G340" s="282"/>
      <c r="H340" s="282"/>
      <c r="I340" s="282"/>
      <c r="J340" s="282"/>
      <c r="K340" s="282"/>
      <c r="L340" s="63">
        <f>P340/N340</f>
        <v>0</v>
      </c>
      <c r="M340" s="29">
        <v>3</v>
      </c>
      <c r="N340" s="31">
        <f>SUM(M341:M349)</f>
        <v>15</v>
      </c>
      <c r="O340" s="31">
        <f>SUM(O341:O349)</f>
        <v>0</v>
      </c>
      <c r="P340" s="31">
        <f>SUM(P341:P349)</f>
        <v>0</v>
      </c>
      <c r="Q340" s="65">
        <f>O340/$N340*$M340</f>
        <v>0</v>
      </c>
      <c r="R340" s="65">
        <f>P340/$N340*$M340</f>
        <v>0</v>
      </c>
    </row>
    <row r="341" spans="1:18" ht="26.4" x14ac:dyDescent="0.3">
      <c r="A341" s="3" t="str">
        <f>'Selbstbeurteilung Kunde'!A347</f>
        <v>5.3.1</v>
      </c>
      <c r="B341" s="6" t="str">
        <f>'Selbstbeurteilung Kunde'!C347</f>
        <v>Werden in Ihrem Unternehmen Risikobeurteilungen durchgeführt? Wenn ja, mit welcher Methode?</v>
      </c>
      <c r="C341" s="49">
        <f>IF(ISBLANK('Selbstbeurteilung Kunde'!D347),0,1)</f>
        <v>0</v>
      </c>
      <c r="D341" s="49" t="str">
        <f>IF(AND('Selbstbeurteilung Kunde'!D347="",'Selbstbeurteilung Kunde'!E347=""),"*","")</f>
        <v>*</v>
      </c>
      <c r="E341" s="50" t="str">
        <f>IF(ISBLANK('Selbstbeurteilung Kunde'!F347),"",'Selbstbeurteilung Kunde'!F347)</f>
        <v/>
      </c>
      <c r="F341" s="287"/>
      <c r="G341" s="287"/>
      <c r="H341" s="287"/>
      <c r="I341" s="287"/>
      <c r="J341" s="287"/>
      <c r="K341" s="287"/>
      <c r="L341" s="279"/>
      <c r="M341" s="47">
        <v>2</v>
      </c>
      <c r="N341" s="34"/>
      <c r="O341" s="35">
        <f t="shared" ref="O341:O349" si="60">C341*M341</f>
        <v>0</v>
      </c>
      <c r="P341" s="54">
        <f t="shared" ref="P341:P349" si="61">L341*M341</f>
        <v>0</v>
      </c>
      <c r="Q341" s="46"/>
      <c r="R341" s="34"/>
    </row>
    <row r="342" spans="1:18" ht="52.8" x14ac:dyDescent="0.3">
      <c r="A342" s="3" t="str">
        <f>'Selbstbeurteilung Kunde'!A348</f>
        <v>5.3.2.a</v>
      </c>
      <c r="B342" s="6" t="str">
        <f>'Selbstbeurteilung Kunde'!C348</f>
        <v>In welchen Situationen werden Risikobeurteilungen durchgeführt:
Bei neuen Arbeitsprozessen, Arbeitsmitteln und neuen Arbeitsstoffen?</v>
      </c>
      <c r="C342" s="49">
        <f>IF(ISBLANK('Selbstbeurteilung Kunde'!D348),0,1)</f>
        <v>0</v>
      </c>
      <c r="D342" s="49" t="str">
        <f>IF(AND('Selbstbeurteilung Kunde'!D348="",'Selbstbeurteilung Kunde'!E348=""),"*","")</f>
        <v>*</v>
      </c>
      <c r="E342" s="50" t="str">
        <f>IF(ISBLANK('Selbstbeurteilung Kunde'!F348),"",'Selbstbeurteilung Kunde'!F348)</f>
        <v/>
      </c>
      <c r="F342" s="290"/>
      <c r="G342" s="290"/>
      <c r="H342" s="290"/>
      <c r="I342" s="290"/>
      <c r="J342" s="290"/>
      <c r="K342" s="290"/>
      <c r="L342" s="279"/>
      <c r="M342" s="47">
        <v>2</v>
      </c>
      <c r="N342" s="34"/>
      <c r="O342" s="35">
        <f t="shared" si="60"/>
        <v>0</v>
      </c>
      <c r="P342" s="54">
        <f t="shared" si="61"/>
        <v>0</v>
      </c>
      <c r="Q342" s="46"/>
      <c r="R342" s="34"/>
    </row>
    <row r="343" spans="1:18" ht="26.4" x14ac:dyDescent="0.3">
      <c r="A343" s="3" t="str">
        <f>'Selbstbeurteilung Kunde'!A349</f>
        <v>5.3.2.b</v>
      </c>
      <c r="B343" s="6" t="str">
        <f>'Selbstbeurteilung Kunde'!C349</f>
        <v>Bei Veränderung oder Anpassung von Arbeitsprozessen, -mitteln?</v>
      </c>
      <c r="C343" s="49">
        <f>IF(ISBLANK('Selbstbeurteilung Kunde'!D349),0,1)</f>
        <v>0</v>
      </c>
      <c r="D343" s="49" t="str">
        <f>IF(AND('Selbstbeurteilung Kunde'!D349="",'Selbstbeurteilung Kunde'!E349=""),"*","")</f>
        <v>*</v>
      </c>
      <c r="E343" s="50" t="str">
        <f>IF(ISBLANK('Selbstbeurteilung Kunde'!F349),"",'Selbstbeurteilung Kunde'!F349)</f>
        <v/>
      </c>
      <c r="F343" s="287"/>
      <c r="G343" s="287"/>
      <c r="H343" s="287"/>
      <c r="I343" s="287"/>
      <c r="J343" s="287"/>
      <c r="K343" s="287"/>
      <c r="L343" s="279"/>
      <c r="M343" s="47">
        <v>2</v>
      </c>
      <c r="N343" s="34"/>
      <c r="O343" s="35">
        <f t="shared" si="60"/>
        <v>0</v>
      </c>
      <c r="P343" s="54">
        <f t="shared" si="61"/>
        <v>0</v>
      </c>
      <c r="Q343" s="46"/>
      <c r="R343" s="34"/>
    </row>
    <row r="344" spans="1:18" x14ac:dyDescent="0.3">
      <c r="A344" s="3" t="str">
        <f>'Selbstbeurteilung Kunde'!A350</f>
        <v>5.3.2.c</v>
      </c>
      <c r="B344" s="6" t="str">
        <f>'Selbstbeurteilung Kunde'!C350</f>
        <v>Bei fehlenden oder unvollständigen Regeln der Technik?</v>
      </c>
      <c r="C344" s="49">
        <f>IF(ISBLANK('Selbstbeurteilung Kunde'!D350),0,1)</f>
        <v>0</v>
      </c>
      <c r="D344" s="49" t="str">
        <f>IF(AND('Selbstbeurteilung Kunde'!D350="",'Selbstbeurteilung Kunde'!E350=""),"*","")</f>
        <v>*</v>
      </c>
      <c r="E344" s="50" t="str">
        <f>IF(ISBLANK('Selbstbeurteilung Kunde'!F350),"",'Selbstbeurteilung Kunde'!F350)</f>
        <v/>
      </c>
      <c r="F344" s="287"/>
      <c r="G344" s="287"/>
      <c r="H344" s="287"/>
      <c r="I344" s="287"/>
      <c r="J344" s="287"/>
      <c r="K344" s="287"/>
      <c r="L344" s="279"/>
      <c r="M344" s="47">
        <v>1</v>
      </c>
      <c r="N344" s="34"/>
      <c r="O344" s="35">
        <f t="shared" si="60"/>
        <v>0</v>
      </c>
      <c r="P344" s="54">
        <f t="shared" si="61"/>
        <v>0</v>
      </c>
      <c r="Q344" s="46"/>
      <c r="R344" s="34"/>
    </row>
    <row r="345" spans="1:18" ht="26.4" x14ac:dyDescent="0.3">
      <c r="A345" s="3" t="str">
        <f>'Selbstbeurteilung Kunde'!A351</f>
        <v>5.3.3.</v>
      </c>
      <c r="B345" s="6" t="str">
        <f>'Selbstbeurteilung Kunde'!C351</f>
        <v>Wird die Risikobeurteilung regelmässig überprüft und den Veränderungen im Unternehmen angepasst?</v>
      </c>
      <c r="C345" s="49">
        <f>IF(ISBLANK('Selbstbeurteilung Kunde'!D351),0,1)</f>
        <v>0</v>
      </c>
      <c r="D345" s="49" t="str">
        <f>IF(AND('Selbstbeurteilung Kunde'!D351="",'Selbstbeurteilung Kunde'!E351=""),"*","")</f>
        <v>*</v>
      </c>
      <c r="E345" s="50" t="str">
        <f>IF(ISBLANK('Selbstbeurteilung Kunde'!F351),"",'Selbstbeurteilung Kunde'!F351)</f>
        <v/>
      </c>
      <c r="F345" s="287"/>
      <c r="G345" s="287"/>
      <c r="H345" s="287"/>
      <c r="I345" s="287"/>
      <c r="J345" s="287"/>
      <c r="K345" s="287"/>
      <c r="L345" s="279"/>
      <c r="M345" s="47">
        <v>2</v>
      </c>
      <c r="N345" s="34"/>
      <c r="O345" s="35">
        <f t="shared" si="60"/>
        <v>0</v>
      </c>
      <c r="P345" s="54">
        <f t="shared" si="61"/>
        <v>0</v>
      </c>
      <c r="Q345" s="46"/>
      <c r="R345" s="34"/>
    </row>
    <row r="346" spans="1:18" ht="39.6" x14ac:dyDescent="0.3">
      <c r="A346" s="3" t="str">
        <f>'Selbstbeurteilung Kunde'!A352</f>
        <v>5.3.4.</v>
      </c>
      <c r="B346" s="6" t="str">
        <f>'Selbstbeurteilung Kunde'!C352</f>
        <v>Gibt es in Ihrem Unternehmen eine Person/Stelle, die für die systematische Risikobeurteilung zuständig ist? Wenn ja, welche Person/Stelle?</v>
      </c>
      <c r="C346" s="49">
        <f>IF(ISBLANK('Selbstbeurteilung Kunde'!D352),0,1)</f>
        <v>0</v>
      </c>
      <c r="D346" s="49" t="str">
        <f>IF(AND('Selbstbeurteilung Kunde'!D352="",'Selbstbeurteilung Kunde'!E352=""),"*","")</f>
        <v>*</v>
      </c>
      <c r="E346" s="50" t="str">
        <f>IF(ISBLANK('Selbstbeurteilung Kunde'!F352),"",'Selbstbeurteilung Kunde'!F352)</f>
        <v/>
      </c>
      <c r="F346" s="287"/>
      <c r="G346" s="287"/>
      <c r="H346" s="287"/>
      <c r="I346" s="287"/>
      <c r="J346" s="287"/>
      <c r="K346" s="287"/>
      <c r="L346" s="279"/>
      <c r="M346" s="47">
        <v>1</v>
      </c>
      <c r="N346" s="34"/>
      <c r="O346" s="35">
        <f t="shared" si="60"/>
        <v>0</v>
      </c>
      <c r="P346" s="54">
        <f t="shared" si="61"/>
        <v>0</v>
      </c>
      <c r="Q346" s="46"/>
      <c r="R346" s="34"/>
    </row>
    <row r="347" spans="1:18" ht="26.4" x14ac:dyDescent="0.3">
      <c r="A347" s="3" t="str">
        <f>'Selbstbeurteilung Kunde'!A353</f>
        <v>5.3.5.</v>
      </c>
      <c r="B347" s="6" t="str">
        <f>'Selbstbeurteilung Kunde'!C353</f>
        <v>Werden die Mitarbeitenden in die Risikobeurteilung einbezogen?</v>
      </c>
      <c r="C347" s="49">
        <f>IF(ISBLANK('Selbstbeurteilung Kunde'!D353),0,1)</f>
        <v>0</v>
      </c>
      <c r="D347" s="49" t="str">
        <f>IF(AND('Selbstbeurteilung Kunde'!D353="",'Selbstbeurteilung Kunde'!E353=""),"*","")</f>
        <v>*</v>
      </c>
      <c r="E347" s="50" t="str">
        <f>IF(ISBLANK('Selbstbeurteilung Kunde'!F353),"",'Selbstbeurteilung Kunde'!F353)</f>
        <v/>
      </c>
      <c r="F347" s="287"/>
      <c r="G347" s="287"/>
      <c r="H347" s="287"/>
      <c r="I347" s="287"/>
      <c r="J347" s="287"/>
      <c r="K347" s="287"/>
      <c r="L347" s="279"/>
      <c r="M347" s="47">
        <v>2</v>
      </c>
      <c r="N347" s="34"/>
      <c r="O347" s="35">
        <f t="shared" si="60"/>
        <v>0</v>
      </c>
      <c r="P347" s="54">
        <f t="shared" si="61"/>
        <v>0</v>
      </c>
      <c r="Q347" s="46"/>
      <c r="R347" s="34"/>
    </row>
    <row r="348" spans="1:18" ht="26.4" x14ac:dyDescent="0.3">
      <c r="A348" s="3" t="str">
        <f>'Selbstbeurteilung Kunde'!A354</f>
        <v>5.3.6.</v>
      </c>
      <c r="B348" s="6" t="str">
        <f>'Selbstbeurteilung Kunde'!C354</f>
        <v>Sind die Ergebnisse der Risikobeurteilungen dokumentiert? Wenn ja, wie?</v>
      </c>
      <c r="C348" s="49">
        <f>IF(ISBLANK('Selbstbeurteilung Kunde'!D354),0,1)</f>
        <v>0</v>
      </c>
      <c r="D348" s="49" t="str">
        <f>IF(AND('Selbstbeurteilung Kunde'!D354="",'Selbstbeurteilung Kunde'!E354=""),"*","")</f>
        <v>*</v>
      </c>
      <c r="E348" s="50" t="str">
        <f>IF(ISBLANK('Selbstbeurteilung Kunde'!F354),"",'Selbstbeurteilung Kunde'!F354)</f>
        <v/>
      </c>
      <c r="F348" s="287"/>
      <c r="G348" s="287"/>
      <c r="H348" s="287"/>
      <c r="I348" s="287"/>
      <c r="J348" s="287"/>
      <c r="K348" s="287"/>
      <c r="L348" s="279"/>
      <c r="M348" s="47">
        <v>2</v>
      </c>
      <c r="N348" s="34"/>
      <c r="O348" s="35">
        <f t="shared" si="60"/>
        <v>0</v>
      </c>
      <c r="P348" s="54">
        <f t="shared" si="61"/>
        <v>0</v>
      </c>
      <c r="Q348" s="46"/>
      <c r="R348" s="34"/>
    </row>
    <row r="349" spans="1:18" ht="39.6" x14ac:dyDescent="0.3">
      <c r="A349" s="3" t="str">
        <f>'Selbstbeurteilung Kunde'!A355</f>
        <v>5.3.7.</v>
      </c>
      <c r="B349" s="6" t="str">
        <f>'Selbstbeurteilung Kunde'!C355</f>
        <v>Werden die Ergebnisse aus der Risikobeurteilung bei der Festlegung der Ziele für Sicherheit und Gesundheitsschutz berücksichtigt?</v>
      </c>
      <c r="C349" s="49">
        <f>IF(ISBLANK('Selbstbeurteilung Kunde'!D355),0,1)</f>
        <v>0</v>
      </c>
      <c r="D349" s="49" t="str">
        <f>IF(AND('Selbstbeurteilung Kunde'!D355="",'Selbstbeurteilung Kunde'!E355=""),"*","")</f>
        <v>*</v>
      </c>
      <c r="E349" s="50" t="str">
        <f>IF(ISBLANK('Selbstbeurteilung Kunde'!F355),"",'Selbstbeurteilung Kunde'!F355)</f>
        <v/>
      </c>
      <c r="F349" s="287"/>
      <c r="G349" s="287"/>
      <c r="H349" s="287"/>
      <c r="I349" s="287"/>
      <c r="J349" s="287"/>
      <c r="K349" s="287"/>
      <c r="L349" s="279"/>
      <c r="M349" s="47">
        <v>1</v>
      </c>
      <c r="N349" s="34"/>
      <c r="O349" s="35">
        <f t="shared" si="60"/>
        <v>0</v>
      </c>
      <c r="P349" s="54">
        <f t="shared" si="61"/>
        <v>0</v>
      </c>
      <c r="Q349" s="46"/>
      <c r="R349" s="34"/>
    </row>
    <row r="350" spans="1:18" x14ac:dyDescent="0.3">
      <c r="A350" s="27" t="str">
        <f>'Selbstbeurteilung Kunde'!A356</f>
        <v>5.4.</v>
      </c>
      <c r="B350" s="27" t="str">
        <f>'Selbstbeurteilung Kunde'!B356</f>
        <v>Ereignisanalyse</v>
      </c>
      <c r="C350" s="28">
        <f>O350/N350</f>
        <v>9.375E-2</v>
      </c>
      <c r="D350" s="350"/>
      <c r="E350" s="37" t="str">
        <f>IF(ISBLANK('Selbstbeurteilung Kunde'!F356),"",'Selbstbeurteilung Kunde'!F356)</f>
        <v/>
      </c>
      <c r="F350" s="282"/>
      <c r="G350" s="282"/>
      <c r="H350" s="282"/>
      <c r="I350" s="282"/>
      <c r="J350" s="282"/>
      <c r="K350" s="282"/>
      <c r="L350" s="63">
        <f>P350/N350</f>
        <v>9.375E-2</v>
      </c>
      <c r="M350" s="29">
        <v>4</v>
      </c>
      <c r="N350" s="29">
        <f>SUM(M351:M367)</f>
        <v>32</v>
      </c>
      <c r="O350" s="31">
        <f>SUM(O351:O367)</f>
        <v>3</v>
      </c>
      <c r="P350" s="31">
        <f>SUM(P351:P367)</f>
        <v>3</v>
      </c>
      <c r="Q350" s="65">
        <f>O350/$N350*$M350</f>
        <v>0.375</v>
      </c>
      <c r="R350" s="65">
        <f>P350/$N350*$M350</f>
        <v>0.375</v>
      </c>
    </row>
    <row r="351" spans="1:18" ht="52.8" x14ac:dyDescent="0.3">
      <c r="A351" s="3" t="str">
        <f>'Selbstbeurteilung Kunde'!A357</f>
        <v>5.4.1.a</v>
      </c>
      <c r="B351" s="6" t="str">
        <f>'Selbstbeurteilung Kunde'!C357</f>
        <v>Besteht in Ihrem Unternehmen eine Weisung, dass die folgenden Ereignisse innerhalb einer bestimmten Zeit gemeldet werden müssen:
Berufsunfälle und Berufskrankheiten?</v>
      </c>
      <c r="C351" s="49">
        <f>IF(ISBLANK('Selbstbeurteilung Kunde'!D357),0,1)</f>
        <v>0</v>
      </c>
      <c r="D351" s="49" t="str">
        <f>IF(AND('Selbstbeurteilung Kunde'!D357="",'Selbstbeurteilung Kunde'!E357=""),"*","")</f>
        <v>*</v>
      </c>
      <c r="E351" s="50" t="str">
        <f>IF(ISBLANK('Selbstbeurteilung Kunde'!F357),"",'Selbstbeurteilung Kunde'!F357)</f>
        <v/>
      </c>
      <c r="F351" s="290"/>
      <c r="G351" s="290"/>
      <c r="H351" s="290"/>
      <c r="I351" s="290"/>
      <c r="J351" s="290"/>
      <c r="K351" s="290"/>
      <c r="L351" s="279"/>
      <c r="M351" s="47">
        <v>3</v>
      </c>
      <c r="N351" s="34"/>
      <c r="O351" s="35">
        <f t="shared" ref="O351:O366" si="62">C351*M351</f>
        <v>0</v>
      </c>
      <c r="P351" s="54">
        <f t="shared" ref="P351:P366" si="63">L351*M351</f>
        <v>0</v>
      </c>
      <c r="Q351" s="46"/>
      <c r="R351" s="46"/>
    </row>
    <row r="352" spans="1:18" x14ac:dyDescent="0.3">
      <c r="A352" s="3" t="str">
        <f>'Selbstbeurteilung Kunde'!A358</f>
        <v>5.4.1.b</v>
      </c>
      <c r="B352" s="6" t="str">
        <f>'Selbstbeurteilung Kunde'!C358</f>
        <v>Nichtberufsunfälle?</v>
      </c>
      <c r="C352" s="49">
        <f>IF(ISBLANK('Selbstbeurteilung Kunde'!D358),0,1)</f>
        <v>0</v>
      </c>
      <c r="D352" s="49" t="str">
        <f>IF(AND('Selbstbeurteilung Kunde'!D358="",'Selbstbeurteilung Kunde'!E358=""),"*","")</f>
        <v>*</v>
      </c>
      <c r="E352" s="50" t="str">
        <f>IF(ISBLANK('Selbstbeurteilung Kunde'!F358),"",'Selbstbeurteilung Kunde'!F358)</f>
        <v/>
      </c>
      <c r="F352" s="287"/>
      <c r="G352" s="287"/>
      <c r="H352" s="287"/>
      <c r="I352" s="287"/>
      <c r="J352" s="287"/>
      <c r="K352" s="287"/>
      <c r="L352" s="279"/>
      <c r="M352" s="47">
        <v>3</v>
      </c>
      <c r="N352" s="34"/>
      <c r="O352" s="35">
        <f t="shared" si="62"/>
        <v>0</v>
      </c>
      <c r="P352" s="54">
        <f t="shared" si="63"/>
        <v>0</v>
      </c>
      <c r="Q352" s="46"/>
      <c r="R352" s="34"/>
    </row>
    <row r="353" spans="1:18" x14ac:dyDescent="0.3">
      <c r="A353" s="3" t="str">
        <f>'Selbstbeurteilung Kunde'!A359</f>
        <v>5.4.1.c</v>
      </c>
      <c r="B353" s="6" t="str">
        <f>'Selbstbeurteilung Kunde'!C359</f>
        <v>Krankheiten?</v>
      </c>
      <c r="C353" s="49">
        <f>IF(ISBLANK('Selbstbeurteilung Kunde'!D359),0,1)</f>
        <v>0</v>
      </c>
      <c r="D353" s="49" t="str">
        <f>IF(AND('Selbstbeurteilung Kunde'!D359="",'Selbstbeurteilung Kunde'!E359=""),"*","")</f>
        <v>*</v>
      </c>
      <c r="E353" s="50" t="str">
        <f>IF(ISBLANK('Selbstbeurteilung Kunde'!F359),"",'Selbstbeurteilung Kunde'!F359)</f>
        <v/>
      </c>
      <c r="F353" s="287"/>
      <c r="G353" s="287"/>
      <c r="H353" s="287"/>
      <c r="I353" s="287"/>
      <c r="J353" s="287"/>
      <c r="K353" s="287"/>
      <c r="L353" s="279"/>
      <c r="M353" s="47">
        <v>3</v>
      </c>
      <c r="N353" s="34"/>
      <c r="O353" s="35">
        <f t="shared" si="62"/>
        <v>0</v>
      </c>
      <c r="P353" s="54">
        <f t="shared" si="63"/>
        <v>0</v>
      </c>
      <c r="Q353" s="46"/>
      <c r="R353" s="34"/>
    </row>
    <row r="354" spans="1:18" x14ac:dyDescent="0.3">
      <c r="A354" s="3" t="str">
        <f>'Selbstbeurteilung Kunde'!A360</f>
        <v>5.4.1.d</v>
      </c>
      <c r="B354" s="6" t="str">
        <f>'Selbstbeurteilung Kunde'!C360</f>
        <v>Sachschäden?</v>
      </c>
      <c r="C354" s="49">
        <f>IF(ISBLANK('Selbstbeurteilung Kunde'!D360),0,1)</f>
        <v>0</v>
      </c>
      <c r="D354" s="49" t="str">
        <f>IF(AND('Selbstbeurteilung Kunde'!D360="",'Selbstbeurteilung Kunde'!E360=""),"*","")</f>
        <v>*</v>
      </c>
      <c r="E354" s="50" t="str">
        <f>IF(ISBLANK('Selbstbeurteilung Kunde'!F360),"",'Selbstbeurteilung Kunde'!F360)</f>
        <v/>
      </c>
      <c r="F354" s="290"/>
      <c r="G354" s="290"/>
      <c r="H354" s="290"/>
      <c r="I354" s="290"/>
      <c r="J354" s="290"/>
      <c r="K354" s="290"/>
      <c r="L354" s="279"/>
      <c r="M354" s="47">
        <v>1</v>
      </c>
      <c r="N354" s="34"/>
      <c r="O354" s="35">
        <f t="shared" si="62"/>
        <v>0</v>
      </c>
      <c r="P354" s="54">
        <f t="shared" si="63"/>
        <v>0</v>
      </c>
      <c r="Q354" s="46"/>
      <c r="R354" s="34"/>
    </row>
    <row r="355" spans="1:18" x14ac:dyDescent="0.3">
      <c r="A355" s="3" t="str">
        <f>'Selbstbeurteilung Kunde'!A361</f>
        <v>5.4.1.e</v>
      </c>
      <c r="B355" s="6" t="str">
        <f>'Selbstbeurteilung Kunde'!C361</f>
        <v>Beinaheunfälle?</v>
      </c>
      <c r="C355" s="49">
        <f>IF(ISBLANK('Selbstbeurteilung Kunde'!D361),0,1)</f>
        <v>0</v>
      </c>
      <c r="D355" s="49" t="str">
        <f>IF(AND('Selbstbeurteilung Kunde'!D361="",'Selbstbeurteilung Kunde'!E361=""),"*","")</f>
        <v>*</v>
      </c>
      <c r="E355" s="50" t="str">
        <f>IF(ISBLANK('Selbstbeurteilung Kunde'!F361),"",'Selbstbeurteilung Kunde'!F361)</f>
        <v/>
      </c>
      <c r="F355" s="287"/>
      <c r="G355" s="287"/>
      <c r="H355" s="287"/>
      <c r="I355" s="287"/>
      <c r="J355" s="287"/>
      <c r="K355" s="287"/>
      <c r="L355" s="279"/>
      <c r="M355" s="47">
        <v>2</v>
      </c>
      <c r="N355" s="34"/>
      <c r="O355" s="35">
        <f t="shared" si="62"/>
        <v>0</v>
      </c>
      <c r="P355" s="54">
        <f t="shared" si="63"/>
        <v>0</v>
      </c>
      <c r="Q355" s="46"/>
      <c r="R355" s="34"/>
    </row>
    <row r="356" spans="1:18" x14ac:dyDescent="0.3">
      <c r="A356" s="3" t="str">
        <f>'Selbstbeurteilung Kunde'!A362</f>
        <v>5.4.1.f</v>
      </c>
      <c r="B356" s="6" t="str">
        <f>'Selbstbeurteilung Kunde'!C362</f>
        <v>Prozessstörungen?</v>
      </c>
      <c r="C356" s="49">
        <f>IF(ISBLANK('Selbstbeurteilung Kunde'!D362),0,1)</f>
        <v>0</v>
      </c>
      <c r="D356" s="49" t="str">
        <f>IF(AND('Selbstbeurteilung Kunde'!D362="",'Selbstbeurteilung Kunde'!E362=""),"*","")</f>
        <v>*</v>
      </c>
      <c r="E356" s="50" t="str">
        <f>IF(ISBLANK('Selbstbeurteilung Kunde'!F362),"",'Selbstbeurteilung Kunde'!F362)</f>
        <v/>
      </c>
      <c r="F356" s="287"/>
      <c r="G356" s="287"/>
      <c r="H356" s="287"/>
      <c r="I356" s="287"/>
      <c r="J356" s="287"/>
      <c r="K356" s="287"/>
      <c r="L356" s="279"/>
      <c r="M356" s="47">
        <v>0</v>
      </c>
      <c r="N356" s="34"/>
      <c r="O356" s="35">
        <f t="shared" si="62"/>
        <v>0</v>
      </c>
      <c r="P356" s="54">
        <f t="shared" si="63"/>
        <v>0</v>
      </c>
      <c r="Q356" s="46"/>
      <c r="R356" s="34"/>
    </row>
    <row r="357" spans="1:18" ht="26.4" x14ac:dyDescent="0.3">
      <c r="A357" s="3" t="str">
        <f>'Selbstbeurteilung Kunde'!A363</f>
        <v>5.4.1.g</v>
      </c>
      <c r="B357" s="6" t="str">
        <f>'Selbstbeurteilung Kunde'!C363</f>
        <v>Andere Ereignisse?
Wenn ja, welche?</v>
      </c>
      <c r="C357" s="49">
        <f>IF(ISBLANK('Selbstbeurteilung Kunde'!D363),0,1)</f>
        <v>0</v>
      </c>
      <c r="D357" s="49" t="str">
        <f>IF(AND('Selbstbeurteilung Kunde'!D363="",'Selbstbeurteilung Kunde'!E363=""),"*","")</f>
        <v>*</v>
      </c>
      <c r="E357" s="50" t="str">
        <f>IF(ISBLANK('Selbstbeurteilung Kunde'!F363),"",'Selbstbeurteilung Kunde'!F363)</f>
        <v/>
      </c>
      <c r="F357" s="287"/>
      <c r="G357" s="287"/>
      <c r="H357" s="287"/>
      <c r="I357" s="287"/>
      <c r="J357" s="287"/>
      <c r="K357" s="287"/>
      <c r="L357" s="279"/>
      <c r="M357" s="47">
        <v>0</v>
      </c>
      <c r="N357" s="34"/>
      <c r="O357" s="35">
        <f t="shared" si="62"/>
        <v>0</v>
      </c>
      <c r="P357" s="54">
        <f t="shared" si="63"/>
        <v>0</v>
      </c>
      <c r="Q357" s="46"/>
      <c r="R357" s="34"/>
    </row>
    <row r="358" spans="1:18" ht="26.4" x14ac:dyDescent="0.3">
      <c r="A358" s="3" t="str">
        <f>'Selbstbeurteilung Kunde'!A364</f>
        <v>5.4.3.</v>
      </c>
      <c r="B358" s="6" t="str">
        <f>'Selbstbeurteilung Kunde'!C364</f>
        <v>Ist eine Stelle bestimmt, die alle Unfallmeldungen sammelt und auswertet?</v>
      </c>
      <c r="C358" s="49">
        <f>IF(ISBLANK('Selbstbeurteilung Kunde'!D364),0,1)</f>
        <v>0</v>
      </c>
      <c r="D358" s="49" t="str">
        <f>IF(AND('Selbstbeurteilung Kunde'!D364="",'Selbstbeurteilung Kunde'!E364=""),"*","")</f>
        <v>*</v>
      </c>
      <c r="E358" s="50" t="str">
        <f>IF(ISBLANK('Selbstbeurteilung Kunde'!F364),"",'Selbstbeurteilung Kunde'!F364)</f>
        <v/>
      </c>
      <c r="F358" s="287"/>
      <c r="G358" s="287"/>
      <c r="H358" s="287"/>
      <c r="I358" s="287"/>
      <c r="J358" s="287"/>
      <c r="K358" s="287"/>
      <c r="L358" s="279"/>
      <c r="M358" s="47">
        <v>4</v>
      </c>
      <c r="N358" s="34"/>
      <c r="O358" s="35">
        <f t="shared" si="62"/>
        <v>0</v>
      </c>
      <c r="P358" s="54">
        <f t="shared" si="63"/>
        <v>0</v>
      </c>
      <c r="Q358" s="46"/>
      <c r="R358" s="34"/>
    </row>
    <row r="359" spans="1:18" ht="26.4" x14ac:dyDescent="0.3">
      <c r="A359" s="3" t="str">
        <f>'Selbstbeurteilung Kunde'!A365</f>
        <v>5.4.4.</v>
      </c>
      <c r="B359" s="6" t="str">
        <f>'Selbstbeurteilung Kunde'!C365</f>
        <v>Ist für die Untersuchung von unerwünschten Ereignissen ein Verfahren definiert und schriftlich festgelegt?</v>
      </c>
      <c r="C359" s="49">
        <f>IF(ISBLANK('Selbstbeurteilung Kunde'!D365),0,1)</f>
        <v>0</v>
      </c>
      <c r="D359" s="49" t="str">
        <f>IF(AND('Selbstbeurteilung Kunde'!D365="",'Selbstbeurteilung Kunde'!E365=""),"*","")</f>
        <v>*</v>
      </c>
      <c r="E359" s="50" t="str">
        <f>IF(ISBLANK('Selbstbeurteilung Kunde'!F365),"",'Selbstbeurteilung Kunde'!F365)</f>
        <v/>
      </c>
      <c r="F359" s="287"/>
      <c r="G359" s="287"/>
      <c r="H359" s="287"/>
      <c r="I359" s="287"/>
      <c r="J359" s="287"/>
      <c r="K359" s="287"/>
      <c r="L359" s="279"/>
      <c r="M359" s="47">
        <v>3</v>
      </c>
      <c r="N359" s="34"/>
      <c r="O359" s="35">
        <f t="shared" si="62"/>
        <v>0</v>
      </c>
      <c r="P359" s="54">
        <f t="shared" si="63"/>
        <v>0</v>
      </c>
      <c r="Q359" s="46"/>
      <c r="R359" s="34"/>
    </row>
    <row r="360" spans="1:18" ht="39.6" x14ac:dyDescent="0.3">
      <c r="A360" s="3" t="str">
        <f>'Selbstbeurteilung Kunde'!A366</f>
        <v>5.4.5.a</v>
      </c>
      <c r="B360" s="6" t="str">
        <f>'Selbstbeurteilung Kunde'!C366</f>
        <v>Werden die folgenden Ereignisse regelmässig  und systematisch untersucht:
Berufsunfälle und Berufskrankheiten?</v>
      </c>
      <c r="C360" s="49">
        <f>IF(ISBLANK('Selbstbeurteilung Kunde'!D366),0,1)</f>
        <v>0</v>
      </c>
      <c r="D360" s="49" t="str">
        <f>IF(AND('Selbstbeurteilung Kunde'!D366="",'Selbstbeurteilung Kunde'!E366=""),"*","")</f>
        <v>*</v>
      </c>
      <c r="E360" s="50" t="str">
        <f>IF(ISBLANK('Selbstbeurteilung Kunde'!F366),"",'Selbstbeurteilung Kunde'!F366)</f>
        <v/>
      </c>
      <c r="F360" s="287"/>
      <c r="G360" s="287"/>
      <c r="H360" s="287"/>
      <c r="I360" s="287"/>
      <c r="J360" s="287"/>
      <c r="K360" s="287"/>
      <c r="L360" s="279"/>
      <c r="M360" s="47">
        <v>3</v>
      </c>
      <c r="N360" s="34"/>
      <c r="O360" s="35">
        <f t="shared" si="62"/>
        <v>0</v>
      </c>
      <c r="P360" s="54">
        <f t="shared" si="63"/>
        <v>0</v>
      </c>
      <c r="Q360" s="46"/>
      <c r="R360" s="34"/>
    </row>
    <row r="361" spans="1:18" x14ac:dyDescent="0.3">
      <c r="A361" s="3" t="str">
        <f>'Selbstbeurteilung Kunde'!A367</f>
        <v>5.4.5.b</v>
      </c>
      <c r="B361" s="6" t="str">
        <f>'Selbstbeurteilung Kunde'!C367</f>
        <v>Nichtberufsunfälle?</v>
      </c>
      <c r="C361" s="49">
        <f>IF(ISBLANK('Selbstbeurteilung Kunde'!D367),0,1)</f>
        <v>0</v>
      </c>
      <c r="D361" s="49" t="str">
        <f>IF(AND('Selbstbeurteilung Kunde'!D367="",'Selbstbeurteilung Kunde'!E367=""),"*","")</f>
        <v>*</v>
      </c>
      <c r="E361" s="50" t="str">
        <f>IF(ISBLANK('Selbstbeurteilung Kunde'!F367),"",'Selbstbeurteilung Kunde'!F367)</f>
        <v/>
      </c>
      <c r="F361" s="287"/>
      <c r="G361" s="287"/>
      <c r="H361" s="287"/>
      <c r="I361" s="287"/>
      <c r="J361" s="287"/>
      <c r="K361" s="287"/>
      <c r="L361" s="279"/>
      <c r="M361" s="47">
        <v>2</v>
      </c>
      <c r="N361" s="34"/>
      <c r="O361" s="35">
        <f t="shared" si="62"/>
        <v>0</v>
      </c>
      <c r="P361" s="54">
        <f t="shared" si="63"/>
        <v>0</v>
      </c>
      <c r="Q361" s="46"/>
      <c r="R361" s="34"/>
    </row>
    <row r="362" spans="1:18" x14ac:dyDescent="0.3">
      <c r="A362" s="3" t="str">
        <f>'Selbstbeurteilung Kunde'!A368</f>
        <v>5.4.5.c</v>
      </c>
      <c r="B362" s="6" t="str">
        <f>'Selbstbeurteilung Kunde'!C368</f>
        <v>Krankheiten?</v>
      </c>
      <c r="C362" s="49">
        <f>IF(ISBLANK('Selbstbeurteilung Kunde'!D368),0,1)</f>
        <v>0</v>
      </c>
      <c r="D362" s="49" t="str">
        <f>IF(AND('Selbstbeurteilung Kunde'!D368="",'Selbstbeurteilung Kunde'!E368=""),"*","")</f>
        <v>*</v>
      </c>
      <c r="E362" s="50" t="str">
        <f>IF(ISBLANK('Selbstbeurteilung Kunde'!F368),"",'Selbstbeurteilung Kunde'!F368)</f>
        <v/>
      </c>
      <c r="F362" s="287"/>
      <c r="G362" s="287"/>
      <c r="H362" s="287"/>
      <c r="I362" s="287"/>
      <c r="J362" s="287"/>
      <c r="K362" s="287"/>
      <c r="L362" s="279"/>
      <c r="M362" s="47">
        <v>1</v>
      </c>
      <c r="N362" s="34"/>
      <c r="O362" s="35">
        <f t="shared" si="62"/>
        <v>0</v>
      </c>
      <c r="P362" s="54">
        <f t="shared" si="63"/>
        <v>0</v>
      </c>
      <c r="Q362" s="46"/>
      <c r="R362" s="34"/>
    </row>
    <row r="363" spans="1:18" x14ac:dyDescent="0.3">
      <c r="A363" s="3" t="str">
        <f>'Selbstbeurteilung Kunde'!A369</f>
        <v>5.4.5.d</v>
      </c>
      <c r="B363" s="6" t="str">
        <f>'Selbstbeurteilung Kunde'!C369</f>
        <v>Sachschäden?</v>
      </c>
      <c r="C363" s="49">
        <f>IF(ISBLANK('Selbstbeurteilung Kunde'!D369),0,1)</f>
        <v>0</v>
      </c>
      <c r="D363" s="49" t="str">
        <f>IF(AND('Selbstbeurteilung Kunde'!D369="",'Selbstbeurteilung Kunde'!E369=""),"*","")</f>
        <v>*</v>
      </c>
      <c r="E363" s="50" t="str">
        <f>IF(ISBLANK('Selbstbeurteilung Kunde'!F369),"",'Selbstbeurteilung Kunde'!F369)</f>
        <v/>
      </c>
      <c r="F363" s="290"/>
      <c r="G363" s="290"/>
      <c r="H363" s="290"/>
      <c r="I363" s="290"/>
      <c r="J363" s="290"/>
      <c r="K363" s="290"/>
      <c r="L363" s="279"/>
      <c r="M363" s="47">
        <v>1</v>
      </c>
      <c r="N363" s="34"/>
      <c r="O363" s="35">
        <f t="shared" si="62"/>
        <v>0</v>
      </c>
      <c r="P363" s="54">
        <f t="shared" si="63"/>
        <v>0</v>
      </c>
      <c r="Q363" s="46"/>
      <c r="R363" s="46"/>
    </row>
    <row r="364" spans="1:18" x14ac:dyDescent="0.3">
      <c r="A364" s="3" t="str">
        <f>'Selbstbeurteilung Kunde'!A370</f>
        <v>5.4.5.e</v>
      </c>
      <c r="B364" s="6" t="str">
        <f>'Selbstbeurteilung Kunde'!C370</f>
        <v>Beinaheunfälle?</v>
      </c>
      <c r="C364" s="49">
        <f>IF(ISBLANK('Selbstbeurteilung Kunde'!D370),0,1)</f>
        <v>0</v>
      </c>
      <c r="D364" s="49" t="str">
        <f>IF(AND('Selbstbeurteilung Kunde'!D370="",'Selbstbeurteilung Kunde'!E370=""),"*","")</f>
        <v>*</v>
      </c>
      <c r="E364" s="50" t="str">
        <f>IF(ISBLANK('Selbstbeurteilung Kunde'!F370),"",'Selbstbeurteilung Kunde'!F370)</f>
        <v/>
      </c>
      <c r="F364" s="292"/>
      <c r="G364" s="292"/>
      <c r="H364" s="292"/>
      <c r="I364" s="292"/>
      <c r="J364" s="292"/>
      <c r="K364" s="292"/>
      <c r="L364" s="279"/>
      <c r="M364" s="47">
        <v>2</v>
      </c>
      <c r="N364" s="34"/>
      <c r="O364" s="35">
        <f t="shared" si="62"/>
        <v>0</v>
      </c>
      <c r="P364" s="54">
        <f t="shared" si="63"/>
        <v>0</v>
      </c>
      <c r="Q364" s="46"/>
      <c r="R364" s="34"/>
    </row>
    <row r="365" spans="1:18" x14ac:dyDescent="0.3">
      <c r="A365" s="3" t="str">
        <f>'Selbstbeurteilung Kunde'!A371</f>
        <v>5.4.5.f</v>
      </c>
      <c r="B365" s="6" t="str">
        <f>'Selbstbeurteilung Kunde'!C371</f>
        <v>Prozessstörungen?</v>
      </c>
      <c r="C365" s="49">
        <f>IF(ISBLANK('Selbstbeurteilung Kunde'!D371),0,1)</f>
        <v>0</v>
      </c>
      <c r="D365" s="49" t="str">
        <f>IF(AND('Selbstbeurteilung Kunde'!D371="",'Selbstbeurteilung Kunde'!E371=""),"*","")</f>
        <v>*</v>
      </c>
      <c r="E365" s="50" t="str">
        <f>IF(ISBLANK('Selbstbeurteilung Kunde'!F371),"",'Selbstbeurteilung Kunde'!F371)</f>
        <v/>
      </c>
      <c r="F365" s="287"/>
      <c r="G365" s="287"/>
      <c r="H365" s="287"/>
      <c r="I365" s="287"/>
      <c r="J365" s="287"/>
      <c r="K365" s="287"/>
      <c r="L365" s="279"/>
      <c r="M365" s="47">
        <v>1</v>
      </c>
      <c r="N365" s="34"/>
      <c r="O365" s="35">
        <f t="shared" si="62"/>
        <v>0</v>
      </c>
      <c r="P365" s="54">
        <f t="shared" si="63"/>
        <v>0</v>
      </c>
      <c r="Q365" s="46"/>
      <c r="R365" s="34"/>
    </row>
    <row r="366" spans="1:18" ht="26.4" x14ac:dyDescent="0.3">
      <c r="A366" s="3" t="str">
        <f>'Selbstbeurteilung Kunde'!A372</f>
        <v>5.4.5.g</v>
      </c>
      <c r="B366" s="6" t="str">
        <f>'Selbstbeurteilung Kunde'!C372</f>
        <v>Andere sicherheits- und gesundheitsrelevante Ereignisse? Wenn ja, welche?</v>
      </c>
      <c r="C366" s="49">
        <f>IF(ISBLANK('Selbstbeurteilung Kunde'!D372),0,1)</f>
        <v>0</v>
      </c>
      <c r="D366" s="49" t="str">
        <f>IF(AND('Selbstbeurteilung Kunde'!D372="",'Selbstbeurteilung Kunde'!E372=""),"*","")</f>
        <v>*</v>
      </c>
      <c r="E366" s="50" t="str">
        <f>IF(ISBLANK('Selbstbeurteilung Kunde'!F372),"",'Selbstbeurteilung Kunde'!F372)</f>
        <v/>
      </c>
      <c r="F366" s="287"/>
      <c r="G366" s="287"/>
      <c r="H366" s="287"/>
      <c r="I366" s="287"/>
      <c r="J366" s="287"/>
      <c r="K366" s="287"/>
      <c r="L366" s="279"/>
      <c r="M366" s="47">
        <v>0</v>
      </c>
      <c r="N366" s="34"/>
      <c r="O366" s="35">
        <f t="shared" si="62"/>
        <v>0</v>
      </c>
      <c r="P366" s="54">
        <f t="shared" si="63"/>
        <v>0</v>
      </c>
      <c r="Q366" s="46"/>
      <c r="R366" s="34"/>
    </row>
    <row r="367" spans="1:18" ht="26.4" x14ac:dyDescent="0.3">
      <c r="A367" s="3" t="str">
        <f>'Selbstbeurteilung Kunde'!A373</f>
        <v>5.4.6.</v>
      </c>
      <c r="B367" s="6" t="str">
        <f>'Selbstbeurteilung Kunde'!C373</f>
        <v>Sind Unfallereignisse nach der Meldung des Falls an die Suva für Sie in der Regel abgeschlossen?</v>
      </c>
      <c r="C367" s="49">
        <f>IF(ISBLANK('Selbstbeurteilung Kunde'!D373),0,1)</f>
        <v>0</v>
      </c>
      <c r="D367" s="49" t="str">
        <f>IF(AND('Selbstbeurteilung Kunde'!D373="",'Selbstbeurteilung Kunde'!E373=""),"*","")</f>
        <v>*</v>
      </c>
      <c r="E367" s="50" t="str">
        <f>IF(ISBLANK('Selbstbeurteilung Kunde'!F373),"",'Selbstbeurteilung Kunde'!F373)</f>
        <v/>
      </c>
      <c r="F367" s="287"/>
      <c r="G367" s="287"/>
      <c r="H367" s="287"/>
      <c r="I367" s="287"/>
      <c r="J367" s="287"/>
      <c r="K367" s="287"/>
      <c r="L367" s="279"/>
      <c r="M367" s="47">
        <v>3</v>
      </c>
      <c r="N367" s="34"/>
      <c r="O367" s="59">
        <f>(1-C367)*M367</f>
        <v>3</v>
      </c>
      <c r="P367" s="59">
        <f>(1-L367)*M367</f>
        <v>3</v>
      </c>
      <c r="Q367" s="46"/>
      <c r="R367" s="34"/>
    </row>
    <row r="368" spans="1:18" x14ac:dyDescent="0.3">
      <c r="A368" s="44" t="str">
        <f>'Selbstbeurteilung Kunde'!A375</f>
        <v>6.</v>
      </c>
      <c r="B368" s="7" t="str">
        <f>'Selbstbeurteilung Kunde'!B375</f>
        <v>Massnahmen</v>
      </c>
      <c r="C368" s="40">
        <f>O368/N368</f>
        <v>0</v>
      </c>
      <c r="D368" s="40"/>
      <c r="E368" s="36"/>
      <c r="F368" s="25"/>
      <c r="G368" s="25"/>
      <c r="H368" s="25"/>
      <c r="I368" s="25"/>
      <c r="J368" s="25"/>
      <c r="K368" s="25"/>
      <c r="L368" s="281">
        <f>P368/N368</f>
        <v>0</v>
      </c>
      <c r="M368" s="5"/>
      <c r="N368" s="5">
        <f>SUM(M369,M380,M392)</f>
        <v>5</v>
      </c>
      <c r="O368" s="61">
        <f>SUM(Q369:Q391)</f>
        <v>0</v>
      </c>
      <c r="P368" s="61">
        <f>SUM(R369:R391)</f>
        <v>0</v>
      </c>
      <c r="Q368" s="45"/>
      <c r="R368" s="45"/>
    </row>
    <row r="369" spans="1:18" x14ac:dyDescent="0.3">
      <c r="A369" s="27" t="str">
        <f>'Selbstbeurteilung Kunde'!A377</f>
        <v>6.1.</v>
      </c>
      <c r="B369" s="27" t="str">
        <f>'Selbstbeurteilung Kunde'!B377</f>
        <v>Massnahmenfindung</v>
      </c>
      <c r="C369" s="28">
        <f>O369/N369</f>
        <v>0</v>
      </c>
      <c r="D369" s="350"/>
      <c r="E369" s="37"/>
      <c r="F369" s="282"/>
      <c r="G369" s="282"/>
      <c r="H369" s="282"/>
      <c r="I369" s="282"/>
      <c r="J369" s="282"/>
      <c r="K369" s="282"/>
      <c r="L369" s="63">
        <f>P369/N369</f>
        <v>0</v>
      </c>
      <c r="M369" s="29">
        <v>3</v>
      </c>
      <c r="N369" s="29">
        <f>SUM(M370:M379)</f>
        <v>15</v>
      </c>
      <c r="O369" s="31">
        <f>SUM(O370:O379)</f>
        <v>0</v>
      </c>
      <c r="P369" s="31">
        <f>SUM(P370:P379)</f>
        <v>0</v>
      </c>
      <c r="Q369" s="65">
        <f>O369/$N369*$M369</f>
        <v>0</v>
      </c>
      <c r="R369" s="65">
        <f>P369/$N369*$M369</f>
        <v>0</v>
      </c>
    </row>
    <row r="370" spans="1:18" ht="26.4" x14ac:dyDescent="0.3">
      <c r="A370" s="3" t="str">
        <f>'Selbstbeurteilung Kunde'!A378</f>
        <v>6.1.1.</v>
      </c>
      <c r="B370" s="6" t="str">
        <f>'Selbstbeurteilung Kunde'!C378</f>
        <v>Werden nach dem Erkennen einer Gefährdung in jedem Fall Massnahmen getroffen?</v>
      </c>
      <c r="C370" s="49">
        <f>IF(ISBLANK('Selbstbeurteilung Kunde'!D378),0,1)</f>
        <v>0</v>
      </c>
      <c r="D370" s="49" t="str">
        <f>IF(AND('Selbstbeurteilung Kunde'!D378="",'Selbstbeurteilung Kunde'!E378=""),"*","")</f>
        <v>*</v>
      </c>
      <c r="E370" s="50" t="str">
        <f>IF(ISBLANK('Selbstbeurteilung Kunde'!F378),"",'Selbstbeurteilung Kunde'!F378)</f>
        <v/>
      </c>
      <c r="F370" s="287"/>
      <c r="G370" s="287"/>
      <c r="H370" s="287"/>
      <c r="I370" s="287"/>
      <c r="J370" s="287"/>
      <c r="K370" s="287"/>
      <c r="L370" s="279"/>
      <c r="M370" s="47">
        <v>5</v>
      </c>
      <c r="N370" s="34"/>
      <c r="O370" s="35">
        <f t="shared" ref="O370:O379" si="64">C370*M370</f>
        <v>0</v>
      </c>
      <c r="P370" s="54">
        <f t="shared" ref="P370:P379" si="65">L370*M370</f>
        <v>0</v>
      </c>
      <c r="Q370" s="46"/>
      <c r="R370" s="34"/>
    </row>
    <row r="371" spans="1:18" ht="26.4" x14ac:dyDescent="0.3">
      <c r="A371" s="3" t="str">
        <f>'Selbstbeurteilung Kunde'!A379</f>
        <v>6.1.2.</v>
      </c>
      <c r="B371" s="6" t="str">
        <f>'Selbstbeurteilung Kunde'!C379</f>
        <v>Werden Sicherheitsmassnahmen aufgrund bestimmter Strategien (Ziele, Mittel und Verfahren) getroffen?</v>
      </c>
      <c r="C371" s="49">
        <f>IF(ISBLANK('Selbstbeurteilung Kunde'!D379),0,1)</f>
        <v>0</v>
      </c>
      <c r="D371" s="49" t="str">
        <f>IF(AND('Selbstbeurteilung Kunde'!D379="",'Selbstbeurteilung Kunde'!E379=""),"*","")</f>
        <v>*</v>
      </c>
      <c r="E371" s="50" t="str">
        <f>IF(ISBLANK('Selbstbeurteilung Kunde'!F379),"",'Selbstbeurteilung Kunde'!F379)</f>
        <v/>
      </c>
      <c r="F371" s="290"/>
      <c r="G371" s="290"/>
      <c r="H371" s="290"/>
      <c r="I371" s="290"/>
      <c r="J371" s="290"/>
      <c r="K371" s="290"/>
      <c r="L371" s="279"/>
      <c r="M371" s="47">
        <v>4</v>
      </c>
      <c r="N371" s="34"/>
      <c r="O371" s="35">
        <f t="shared" si="64"/>
        <v>0</v>
      </c>
      <c r="P371" s="54">
        <f t="shared" si="65"/>
        <v>0</v>
      </c>
      <c r="Q371" s="46"/>
      <c r="R371" s="34"/>
    </row>
    <row r="372" spans="1:18" ht="39.6" x14ac:dyDescent="0.3">
      <c r="A372" s="3" t="str">
        <f>'Selbstbeurteilung Kunde'!A380</f>
        <v>6.1.3.a</v>
      </c>
      <c r="B372" s="6" t="str">
        <f>'Selbstbeurteilung Kunde'!C380</f>
        <v>Welche Stellen/Personen sind an der Massnahmenfindung beteiligt:
Linienvorgesetzte?</v>
      </c>
      <c r="C372" s="49">
        <f>IF(ISBLANK('Selbstbeurteilung Kunde'!D380),0,1)</f>
        <v>0</v>
      </c>
      <c r="D372" s="49" t="str">
        <f>IF(AND('Selbstbeurteilung Kunde'!D380="",'Selbstbeurteilung Kunde'!E380=""),"*","")</f>
        <v>*</v>
      </c>
      <c r="E372" s="50" t="str">
        <f>IF(ISBLANK('Selbstbeurteilung Kunde'!F380),"",'Selbstbeurteilung Kunde'!F380)</f>
        <v/>
      </c>
      <c r="F372" s="290"/>
      <c r="G372" s="290"/>
      <c r="H372" s="290"/>
      <c r="I372" s="290"/>
      <c r="J372" s="290"/>
      <c r="K372" s="290"/>
      <c r="L372" s="279"/>
      <c r="M372" s="47">
        <v>1</v>
      </c>
      <c r="N372" s="34"/>
      <c r="O372" s="35">
        <f t="shared" si="64"/>
        <v>0</v>
      </c>
      <c r="P372" s="54">
        <f t="shared" si="65"/>
        <v>0</v>
      </c>
      <c r="Q372" s="46"/>
      <c r="R372" s="46"/>
    </row>
    <row r="373" spans="1:18" x14ac:dyDescent="0.3">
      <c r="A373" s="3" t="str">
        <f>'Selbstbeurteilung Kunde'!A381</f>
        <v>6.1.3.b</v>
      </c>
      <c r="B373" s="6" t="str">
        <f>'Selbstbeurteilung Kunde'!C381</f>
        <v>Mitarbeitende?</v>
      </c>
      <c r="C373" s="49">
        <f>IF(ISBLANK('Selbstbeurteilung Kunde'!D381),0,1)</f>
        <v>0</v>
      </c>
      <c r="D373" s="49" t="str">
        <f>IF(AND('Selbstbeurteilung Kunde'!D381="",'Selbstbeurteilung Kunde'!E381=""),"*","")</f>
        <v>*</v>
      </c>
      <c r="E373" s="50" t="str">
        <f>IF(ISBLANK('Selbstbeurteilung Kunde'!F381),"",'Selbstbeurteilung Kunde'!F381)</f>
        <v/>
      </c>
      <c r="F373" s="287"/>
      <c r="G373" s="287"/>
      <c r="H373" s="287"/>
      <c r="I373" s="287"/>
      <c r="J373" s="287"/>
      <c r="K373" s="287"/>
      <c r="L373" s="279"/>
      <c r="M373" s="47">
        <v>1</v>
      </c>
      <c r="N373" s="34"/>
      <c r="O373" s="35">
        <f t="shared" si="64"/>
        <v>0</v>
      </c>
      <c r="P373" s="54">
        <f t="shared" si="65"/>
        <v>0</v>
      </c>
      <c r="Q373" s="46"/>
      <c r="R373" s="34"/>
    </row>
    <row r="374" spans="1:18" x14ac:dyDescent="0.3">
      <c r="A374" s="3" t="str">
        <f>'Selbstbeurteilung Kunde'!A382</f>
        <v>6.1.3.c</v>
      </c>
      <c r="B374" s="6" t="str">
        <f>'Selbstbeurteilung Kunde'!C382</f>
        <v>Sicherheitsbeauftragte?</v>
      </c>
      <c r="C374" s="49">
        <f>IF(ISBLANK('Selbstbeurteilung Kunde'!D382),0,1)</f>
        <v>0</v>
      </c>
      <c r="D374" s="49" t="str">
        <f>IF(AND('Selbstbeurteilung Kunde'!D382="",'Selbstbeurteilung Kunde'!E382=""),"*","")</f>
        <v>*</v>
      </c>
      <c r="E374" s="50" t="str">
        <f>IF(ISBLANK('Selbstbeurteilung Kunde'!F382),"",'Selbstbeurteilung Kunde'!F382)</f>
        <v/>
      </c>
      <c r="F374" s="287"/>
      <c r="G374" s="287"/>
      <c r="H374" s="287"/>
      <c r="I374" s="287"/>
      <c r="J374" s="287"/>
      <c r="K374" s="287"/>
      <c r="L374" s="279"/>
      <c r="M374" s="47">
        <v>1</v>
      </c>
      <c r="N374" s="34"/>
      <c r="O374" s="35">
        <f t="shared" si="64"/>
        <v>0</v>
      </c>
      <c r="P374" s="54">
        <f t="shared" si="65"/>
        <v>0</v>
      </c>
      <c r="Q374" s="46"/>
      <c r="R374" s="34"/>
    </row>
    <row r="375" spans="1:18" x14ac:dyDescent="0.3">
      <c r="A375" s="3" t="str">
        <f>'Selbstbeurteilung Kunde'!A383</f>
        <v>6.1.3.d</v>
      </c>
      <c r="B375" s="6" t="str">
        <f>'Selbstbeurteilung Kunde'!C383</f>
        <v>Die Sicherheitsorganisation?</v>
      </c>
      <c r="C375" s="49">
        <f>IF(ISBLANK('Selbstbeurteilung Kunde'!D383),0,1)</f>
        <v>0</v>
      </c>
      <c r="D375" s="49" t="str">
        <f>IF(AND('Selbstbeurteilung Kunde'!D383="",'Selbstbeurteilung Kunde'!E383=""),"*","")</f>
        <v>*</v>
      </c>
      <c r="E375" s="50" t="str">
        <f>IF(ISBLANK('Selbstbeurteilung Kunde'!F383),"",'Selbstbeurteilung Kunde'!F383)</f>
        <v/>
      </c>
      <c r="F375" s="290"/>
      <c r="G375" s="290"/>
      <c r="H375" s="290"/>
      <c r="I375" s="290"/>
      <c r="J375" s="290"/>
      <c r="K375" s="290"/>
      <c r="L375" s="279"/>
      <c r="M375" s="47">
        <v>0</v>
      </c>
      <c r="N375" s="34"/>
      <c r="O375" s="35">
        <f t="shared" si="64"/>
        <v>0</v>
      </c>
      <c r="P375" s="54">
        <f t="shared" si="65"/>
        <v>0</v>
      </c>
      <c r="Q375" s="46"/>
      <c r="R375" s="34"/>
    </row>
    <row r="376" spans="1:18" x14ac:dyDescent="0.3">
      <c r="A376" s="3" t="str">
        <f>'Selbstbeurteilung Kunde'!A384</f>
        <v>6.1.3.e</v>
      </c>
      <c r="B376" s="6" t="str">
        <f>'Selbstbeurteilung Kunde'!C384</f>
        <v>Andere Personen/Stellen? Wenn ja, welche?</v>
      </c>
      <c r="C376" s="49">
        <f>IF(ISBLANK('Selbstbeurteilung Kunde'!D384),0,1)</f>
        <v>0</v>
      </c>
      <c r="D376" s="49" t="str">
        <f>IF(AND('Selbstbeurteilung Kunde'!D384="",'Selbstbeurteilung Kunde'!E384=""),"*","")</f>
        <v>*</v>
      </c>
      <c r="E376" s="50" t="str">
        <f>IF(ISBLANK('Selbstbeurteilung Kunde'!F384),"",'Selbstbeurteilung Kunde'!F384)</f>
        <v/>
      </c>
      <c r="F376" s="287"/>
      <c r="G376" s="287"/>
      <c r="H376" s="287"/>
      <c r="I376" s="287"/>
      <c r="J376" s="287"/>
      <c r="K376" s="287"/>
      <c r="L376" s="279"/>
      <c r="M376" s="47">
        <v>0</v>
      </c>
      <c r="N376" s="34"/>
      <c r="O376" s="35">
        <f t="shared" si="64"/>
        <v>0</v>
      </c>
      <c r="P376" s="54">
        <f t="shared" si="65"/>
        <v>0</v>
      </c>
      <c r="Q376" s="46"/>
      <c r="R376" s="34"/>
    </row>
    <row r="377" spans="1:18" ht="26.4" x14ac:dyDescent="0.3">
      <c r="A377" s="3" t="str">
        <f>'Selbstbeurteilung Kunde'!A385</f>
        <v>6.1.4.</v>
      </c>
      <c r="B377" s="6" t="str">
        <f>'Selbstbeurteilung Kunde'!C385</f>
        <v>Wird die Ausführung der zu treffenden Massnahmen terminiert und überwacht?</v>
      </c>
      <c r="C377" s="49">
        <f>IF(ISBLANK('Selbstbeurteilung Kunde'!D385),0,1)</f>
        <v>0</v>
      </c>
      <c r="D377" s="49" t="str">
        <f>IF(AND('Selbstbeurteilung Kunde'!D385="",'Selbstbeurteilung Kunde'!E385=""),"*","")</f>
        <v>*</v>
      </c>
      <c r="E377" s="50" t="str">
        <f>IF(ISBLANK('Selbstbeurteilung Kunde'!F385),"",'Selbstbeurteilung Kunde'!F385)</f>
        <v/>
      </c>
      <c r="F377" s="287"/>
      <c r="G377" s="287"/>
      <c r="H377" s="287"/>
      <c r="I377" s="287"/>
      <c r="J377" s="287"/>
      <c r="K377" s="287"/>
      <c r="L377" s="279"/>
      <c r="M377" s="47">
        <v>1</v>
      </c>
      <c r="N377" s="34"/>
      <c r="O377" s="35">
        <f t="shared" si="64"/>
        <v>0</v>
      </c>
      <c r="P377" s="54">
        <f t="shared" si="65"/>
        <v>0</v>
      </c>
      <c r="Q377" s="46"/>
      <c r="R377" s="34"/>
    </row>
    <row r="378" spans="1:18" ht="26.4" x14ac:dyDescent="0.3">
      <c r="A378" s="3" t="str">
        <f>'Selbstbeurteilung Kunde'!A386</f>
        <v>6.1.5.</v>
      </c>
      <c r="B378" s="6" t="str">
        <f>'Selbstbeurteilung Kunde'!C386</f>
        <v>Wird die Wirksamkeit der getroffenen Massnahmen kontrolliert?</v>
      </c>
      <c r="C378" s="49">
        <f>IF(ISBLANK('Selbstbeurteilung Kunde'!D386),0,1)</f>
        <v>0</v>
      </c>
      <c r="D378" s="49" t="str">
        <f>IF(AND('Selbstbeurteilung Kunde'!D386="",'Selbstbeurteilung Kunde'!E386=""),"*","")</f>
        <v>*</v>
      </c>
      <c r="E378" s="50" t="str">
        <f>IF(ISBLANK('Selbstbeurteilung Kunde'!F386),"",'Selbstbeurteilung Kunde'!F386)</f>
        <v/>
      </c>
      <c r="F378" s="287"/>
      <c r="G378" s="287"/>
      <c r="H378" s="287"/>
      <c r="I378" s="287"/>
      <c r="J378" s="287"/>
      <c r="K378" s="287"/>
      <c r="L378" s="279"/>
      <c r="M378" s="47">
        <v>1</v>
      </c>
      <c r="N378" s="34"/>
      <c r="O378" s="35">
        <f t="shared" si="64"/>
        <v>0</v>
      </c>
      <c r="P378" s="54">
        <f t="shared" si="65"/>
        <v>0</v>
      </c>
      <c r="Q378" s="46"/>
      <c r="R378" s="34"/>
    </row>
    <row r="379" spans="1:18" ht="39.6" x14ac:dyDescent="0.3">
      <c r="A379" s="3" t="str">
        <f>'Selbstbeurteilung Kunde'!A387</f>
        <v>6.1.6.</v>
      </c>
      <c r="B379" s="6" t="str">
        <f>'Selbstbeurteilung Kunde'!C387</f>
        <v>Werden die Auswirkungen der eingeleiteten bzw. umgesetzten Massnahmen bei der Festlegung der Ziele für Sicherheit und Gesundheitsschutz berücksichtigt?</v>
      </c>
      <c r="C379" s="49">
        <f>IF(ISBLANK('Selbstbeurteilung Kunde'!D387),0,1)</f>
        <v>0</v>
      </c>
      <c r="D379" s="49" t="str">
        <f>IF(AND('Selbstbeurteilung Kunde'!D387="",'Selbstbeurteilung Kunde'!E387=""),"*","")</f>
        <v>*</v>
      </c>
      <c r="E379" s="50" t="str">
        <f>IF(ISBLANK('Selbstbeurteilung Kunde'!F387),"",'Selbstbeurteilung Kunde'!F387)</f>
        <v/>
      </c>
      <c r="F379" s="287"/>
      <c r="G379" s="287"/>
      <c r="H379" s="287"/>
      <c r="I379" s="287"/>
      <c r="J379" s="287"/>
      <c r="K379" s="287"/>
      <c r="L379" s="279"/>
      <c r="M379" s="47">
        <v>1</v>
      </c>
      <c r="N379" s="34"/>
      <c r="O379" s="35">
        <f t="shared" si="64"/>
        <v>0</v>
      </c>
      <c r="P379" s="54">
        <f t="shared" si="65"/>
        <v>0</v>
      </c>
      <c r="Q379" s="46"/>
      <c r="R379" s="34"/>
    </row>
    <row r="380" spans="1:18" x14ac:dyDescent="0.3">
      <c r="A380" s="27" t="str">
        <f>'Selbstbeurteilung Kunde'!A388</f>
        <v>6.2.</v>
      </c>
      <c r="B380" s="27" t="str">
        <f>'Selbstbeurteilung Kunde'!B388</f>
        <v>Sicherheitsprogramme</v>
      </c>
      <c r="C380" s="28">
        <f>O380/N380</f>
        <v>0</v>
      </c>
      <c r="D380" s="350"/>
      <c r="E380" s="37" t="str">
        <f>IF(ISBLANK('Selbstbeurteilung Kunde'!F388),"",'Selbstbeurteilung Kunde'!F388)</f>
        <v/>
      </c>
      <c r="F380" s="282"/>
      <c r="G380" s="282"/>
      <c r="H380" s="282"/>
      <c r="I380" s="282"/>
      <c r="J380" s="282"/>
      <c r="K380" s="282"/>
      <c r="L380" s="63">
        <f>P380/N380</f>
        <v>0</v>
      </c>
      <c r="M380" s="29">
        <v>2</v>
      </c>
      <c r="N380" s="29">
        <f>SUM(M381:M391)</f>
        <v>18</v>
      </c>
      <c r="O380" s="31">
        <f>SUM(O381:O391)</f>
        <v>0</v>
      </c>
      <c r="P380" s="31">
        <f>SUM(P381:P391)</f>
        <v>0</v>
      </c>
      <c r="Q380" s="65">
        <f>O380/$N380*$M380</f>
        <v>0</v>
      </c>
      <c r="R380" s="65">
        <f>P380/$N380*$M380</f>
        <v>0</v>
      </c>
    </row>
    <row r="381" spans="1:18" ht="66" x14ac:dyDescent="0.3">
      <c r="A381" s="3" t="str">
        <f>'Selbstbeurteilung Kunde'!A389</f>
        <v>6.2.1.a</v>
      </c>
      <c r="B381" s="6" t="str">
        <f>'Selbstbeurteilung Kunde'!C389</f>
        <v>Wurden in Ihrem Unternehmen in den letzten zwei Jahren Sicherheitsprogramme in den folgenden Bereichen durchgeführt, gestartet oder für dieses oder nächstes Jahr geplant:
Arbeitssicherheit?</v>
      </c>
      <c r="C381" s="49">
        <f>IF(ISBLANK('Selbstbeurteilung Kunde'!D389),0,1)</f>
        <v>0</v>
      </c>
      <c r="D381" s="49" t="str">
        <f>IF(AND('Selbstbeurteilung Kunde'!D389="",'Selbstbeurteilung Kunde'!E389=""),"*","")</f>
        <v>*</v>
      </c>
      <c r="E381" s="50" t="str">
        <f>IF(ISBLANK('Selbstbeurteilung Kunde'!F389),"",'Selbstbeurteilung Kunde'!F389)</f>
        <v/>
      </c>
      <c r="F381" s="287"/>
      <c r="G381" s="287"/>
      <c r="H381" s="287"/>
      <c r="I381" s="287"/>
      <c r="J381" s="287"/>
      <c r="K381" s="287"/>
      <c r="L381" s="279"/>
      <c r="M381" s="47">
        <v>6</v>
      </c>
      <c r="N381" s="34"/>
      <c r="O381" s="35">
        <f t="shared" ref="O381:O391" si="66">M381*C381</f>
        <v>0</v>
      </c>
      <c r="P381" s="54">
        <f>L381*M381</f>
        <v>0</v>
      </c>
      <c r="Q381" s="46"/>
      <c r="R381" s="34"/>
    </row>
    <row r="382" spans="1:18" x14ac:dyDescent="0.3">
      <c r="A382" s="3" t="str">
        <f>'Selbstbeurteilung Kunde'!A390</f>
        <v>6.2.1.b</v>
      </c>
      <c r="B382" s="6" t="str">
        <f>'Selbstbeurteilung Kunde'!C390</f>
        <v>Freizeitsicherheit?</v>
      </c>
      <c r="C382" s="49">
        <f>IF(ISBLANK('Selbstbeurteilung Kunde'!D390),0,1)</f>
        <v>0</v>
      </c>
      <c r="D382" s="49" t="str">
        <f>IF(AND('Selbstbeurteilung Kunde'!D390="",'Selbstbeurteilung Kunde'!E390=""),"*","")</f>
        <v>*</v>
      </c>
      <c r="E382" s="50" t="str">
        <f>IF(ISBLANK('Selbstbeurteilung Kunde'!F390),"",'Selbstbeurteilung Kunde'!F390)</f>
        <v/>
      </c>
      <c r="F382" s="287"/>
      <c r="G382" s="287"/>
      <c r="H382" s="287"/>
      <c r="I382" s="287"/>
      <c r="J382" s="287"/>
      <c r="K382" s="287"/>
      <c r="L382" s="279"/>
      <c r="M382" s="47">
        <v>4</v>
      </c>
      <c r="N382" s="34"/>
      <c r="O382" s="35">
        <f t="shared" si="66"/>
        <v>0</v>
      </c>
      <c r="P382" s="54">
        <f t="shared" ref="P382:P391" si="67">L382*M382</f>
        <v>0</v>
      </c>
      <c r="Q382" s="46"/>
      <c r="R382" s="34"/>
    </row>
    <row r="383" spans="1:18" x14ac:dyDescent="0.3">
      <c r="A383" s="3" t="str">
        <f>'Selbstbeurteilung Kunde'!A391</f>
        <v>6.2.1.c</v>
      </c>
      <c r="B383" s="6" t="str">
        <f>'Selbstbeurteilung Kunde'!C391</f>
        <v>Gesundheitsförderung?</v>
      </c>
      <c r="C383" s="49">
        <f>IF(ISBLANK('Selbstbeurteilung Kunde'!D391),0,1)</f>
        <v>0</v>
      </c>
      <c r="D383" s="49" t="str">
        <f>IF(AND('Selbstbeurteilung Kunde'!D391="",'Selbstbeurteilung Kunde'!E391=""),"*","")</f>
        <v>*</v>
      </c>
      <c r="E383" s="50" t="str">
        <f>IF(ISBLANK('Selbstbeurteilung Kunde'!F391),"",'Selbstbeurteilung Kunde'!F391)</f>
        <v/>
      </c>
      <c r="F383" s="290"/>
      <c r="G383" s="290"/>
      <c r="H383" s="290"/>
      <c r="I383" s="290"/>
      <c r="J383" s="290"/>
      <c r="K383" s="290"/>
      <c r="L383" s="279"/>
      <c r="M383" s="47">
        <v>2</v>
      </c>
      <c r="N383" s="34"/>
      <c r="O383" s="35">
        <f t="shared" si="66"/>
        <v>0</v>
      </c>
      <c r="P383" s="54">
        <f t="shared" si="67"/>
        <v>0</v>
      </c>
      <c r="Q383" s="46"/>
      <c r="R383" s="34"/>
    </row>
    <row r="384" spans="1:18" ht="52.8" x14ac:dyDescent="0.3">
      <c r="A384" s="3" t="str">
        <f>'Selbstbeurteilung Kunde'!A392</f>
        <v>6.2.2.a</v>
      </c>
      <c r="B384" s="6" t="str">
        <f>'Selbstbeurteilung Kunde'!C392</f>
        <v>Wurden in Ihrem Unternehmen in den letzten zwei Jahren die folgenden Sicherheitsprogramme durchgeführt, gestartet oder für dieses oder das nächste Jahr geplant?
Sichere Arbeitsgerüste?</v>
      </c>
      <c r="C384" s="49">
        <f>IF(ISBLANK('Selbstbeurteilung Kunde'!D392),0,1)</f>
        <v>0</v>
      </c>
      <c r="D384" s="49" t="str">
        <f>IF(AND('Selbstbeurteilung Kunde'!D392="",'Selbstbeurteilung Kunde'!E392=""),"*","")</f>
        <v>*</v>
      </c>
      <c r="E384" s="50" t="str">
        <f>IF(ISBLANK('Selbstbeurteilung Kunde'!F392),"",'Selbstbeurteilung Kunde'!F392)</f>
        <v/>
      </c>
      <c r="F384" s="287"/>
      <c r="G384" s="287"/>
      <c r="H384" s="287"/>
      <c r="I384" s="287"/>
      <c r="J384" s="287"/>
      <c r="K384" s="287"/>
      <c r="L384" s="279"/>
      <c r="M384" s="47">
        <v>0</v>
      </c>
      <c r="N384" s="34"/>
      <c r="O384" s="35">
        <f t="shared" si="66"/>
        <v>0</v>
      </c>
      <c r="P384" s="54">
        <f t="shared" si="67"/>
        <v>0</v>
      </c>
      <c r="Q384" s="46"/>
      <c r="R384" s="34"/>
    </row>
    <row r="385" spans="1:18" x14ac:dyDescent="0.3">
      <c r="A385" s="3" t="str">
        <f>'Selbstbeurteilung Kunde'!A393</f>
        <v>6.2.2.b</v>
      </c>
      <c r="B385" s="6" t="str">
        <f>'Selbstbeurteilung Kunde'!C393</f>
        <v>Sicherheit an Pressen?</v>
      </c>
      <c r="C385" s="49">
        <f>IF(ISBLANK('Selbstbeurteilung Kunde'!D393),0,1)</f>
        <v>0</v>
      </c>
      <c r="D385" s="49" t="str">
        <f>IF(AND('Selbstbeurteilung Kunde'!D393="",'Selbstbeurteilung Kunde'!E393=""),"*","")</f>
        <v>*</v>
      </c>
      <c r="E385" s="50" t="str">
        <f>IF(ISBLANK('Selbstbeurteilung Kunde'!F393),"",'Selbstbeurteilung Kunde'!F393)</f>
        <v/>
      </c>
      <c r="F385" s="287"/>
      <c r="G385" s="287"/>
      <c r="H385" s="287"/>
      <c r="I385" s="287"/>
      <c r="J385" s="287"/>
      <c r="K385" s="287"/>
      <c r="L385" s="279"/>
      <c r="M385" s="47">
        <v>1</v>
      </c>
      <c r="N385" s="34"/>
      <c r="O385" s="35">
        <f t="shared" si="66"/>
        <v>0</v>
      </c>
      <c r="P385" s="54">
        <f t="shared" si="67"/>
        <v>0</v>
      </c>
      <c r="Q385" s="46"/>
      <c r="R385" s="34"/>
    </row>
    <row r="386" spans="1:18" x14ac:dyDescent="0.3">
      <c r="A386" s="3" t="str">
        <f>'Selbstbeurteilung Kunde'!A394</f>
        <v>6.2.2.c</v>
      </c>
      <c r="B386" s="6" t="str">
        <f>'Selbstbeurteilung Kunde'!C394</f>
        <v>STOP dem Manipulieren von Schutzeinrichtungen?</v>
      </c>
      <c r="C386" s="49">
        <f>IF(ISBLANK('Selbstbeurteilung Kunde'!D394),0,1)</f>
        <v>0</v>
      </c>
      <c r="D386" s="49" t="str">
        <f>IF(AND('Selbstbeurteilung Kunde'!D394="",'Selbstbeurteilung Kunde'!E394=""),"*","")</f>
        <v>*</v>
      </c>
      <c r="E386" s="50" t="str">
        <f>IF(ISBLANK('Selbstbeurteilung Kunde'!F394),"",'Selbstbeurteilung Kunde'!F394)</f>
        <v/>
      </c>
      <c r="F386" s="287"/>
      <c r="G386" s="287"/>
      <c r="H386" s="287"/>
      <c r="I386" s="287"/>
      <c r="J386" s="287"/>
      <c r="K386" s="287"/>
      <c r="L386" s="279"/>
      <c r="M386" s="47">
        <v>1</v>
      </c>
      <c r="N386" s="34"/>
      <c r="O386" s="35">
        <f t="shared" si="66"/>
        <v>0</v>
      </c>
      <c r="P386" s="54">
        <f t="shared" si="67"/>
        <v>0</v>
      </c>
      <c r="Q386" s="46"/>
      <c r="R386" s="34"/>
    </row>
    <row r="387" spans="1:18" x14ac:dyDescent="0.3">
      <c r="A387" s="3" t="str">
        <f>'Selbstbeurteilung Kunde'!A395</f>
        <v>6.2.2.d</v>
      </c>
      <c r="B387" s="6" t="str">
        <f>'Selbstbeurteilung Kunde'!C395</f>
        <v>stolpern.ch?</v>
      </c>
      <c r="C387" s="49">
        <f>IF(ISBLANK('Selbstbeurteilung Kunde'!D395),0,1)</f>
        <v>0</v>
      </c>
      <c r="D387" s="49" t="str">
        <f>IF(AND('Selbstbeurteilung Kunde'!D395="",'Selbstbeurteilung Kunde'!E395=""),"*","")</f>
        <v>*</v>
      </c>
      <c r="E387" s="50" t="str">
        <f>IF(ISBLANK('Selbstbeurteilung Kunde'!F395),"",'Selbstbeurteilung Kunde'!F395)</f>
        <v/>
      </c>
      <c r="F387" s="287"/>
      <c r="G387" s="287"/>
      <c r="H387" s="287"/>
      <c r="I387" s="287"/>
      <c r="J387" s="287"/>
      <c r="K387" s="287"/>
      <c r="L387" s="279"/>
      <c r="M387" s="47">
        <v>1</v>
      </c>
      <c r="N387" s="34"/>
      <c r="O387" s="35">
        <f t="shared" si="66"/>
        <v>0</v>
      </c>
      <c r="P387" s="54">
        <f t="shared" si="67"/>
        <v>0</v>
      </c>
      <c r="Q387" s="46"/>
      <c r="R387" s="34"/>
    </row>
    <row r="388" spans="1:18" x14ac:dyDescent="0.3">
      <c r="A388" s="3" t="str">
        <f>'Selbstbeurteilung Kunde'!A396</f>
        <v>6.2.2.e</v>
      </c>
      <c r="B388" s="6" t="str">
        <f>'Selbstbeurteilung Kunde'!C396</f>
        <v>Asbest?</v>
      </c>
      <c r="C388" s="49">
        <f>IF(ISBLANK('Selbstbeurteilung Kunde'!D396),0,1)</f>
        <v>0</v>
      </c>
      <c r="D388" s="49" t="str">
        <f>IF(AND('Selbstbeurteilung Kunde'!D396="",'Selbstbeurteilung Kunde'!E396=""),"*","")</f>
        <v>*</v>
      </c>
      <c r="E388" s="50" t="str">
        <f>IF(ISBLANK('Selbstbeurteilung Kunde'!F396),"",'Selbstbeurteilung Kunde'!F396)</f>
        <v/>
      </c>
      <c r="F388" s="287"/>
      <c r="G388" s="287"/>
      <c r="H388" s="287"/>
      <c r="I388" s="287"/>
      <c r="J388" s="287"/>
      <c r="K388" s="287"/>
      <c r="L388" s="279"/>
      <c r="M388" s="47">
        <v>1</v>
      </c>
      <c r="N388" s="34"/>
      <c r="O388" s="35">
        <f t="shared" si="66"/>
        <v>0</v>
      </c>
      <c r="P388" s="54">
        <f t="shared" si="67"/>
        <v>0</v>
      </c>
      <c r="Q388" s="46"/>
      <c r="R388" s="34"/>
    </row>
    <row r="389" spans="1:18" x14ac:dyDescent="0.3">
      <c r="A389" s="3" t="str">
        <f>'Selbstbeurteilung Kunde'!A397</f>
        <v>6.2.2.f</v>
      </c>
      <c r="B389" s="6" t="str">
        <f>'Selbstbeurteilung Kunde'!C397</f>
        <v>Sichere Instandhaltung?</v>
      </c>
      <c r="C389" s="49">
        <f>IF(ISBLANK('Selbstbeurteilung Kunde'!D397),0,1)</f>
        <v>0</v>
      </c>
      <c r="D389" s="49" t="str">
        <f>IF(AND('Selbstbeurteilung Kunde'!D397="",'Selbstbeurteilung Kunde'!E397=""),"*","")</f>
        <v>*</v>
      </c>
      <c r="E389" s="50" t="str">
        <f>IF(ISBLANK('Selbstbeurteilung Kunde'!F397),"",'Selbstbeurteilung Kunde'!F397)</f>
        <v/>
      </c>
      <c r="F389" s="287"/>
      <c r="G389" s="287"/>
      <c r="H389" s="287"/>
      <c r="I389" s="287"/>
      <c r="J389" s="287"/>
      <c r="K389" s="287"/>
      <c r="L389" s="279"/>
      <c r="M389" s="47">
        <v>0</v>
      </c>
      <c r="N389" s="34"/>
      <c r="O389" s="35">
        <f t="shared" si="66"/>
        <v>0</v>
      </c>
      <c r="P389" s="54">
        <f t="shared" si="67"/>
        <v>0</v>
      </c>
      <c r="Q389" s="46"/>
      <c r="R389" s="34"/>
    </row>
    <row r="390" spans="1:18" x14ac:dyDescent="0.3">
      <c r="A390" s="3" t="str">
        <f>'Selbstbeurteilung Kunde'!A398</f>
        <v>6.2.2.g</v>
      </c>
      <c r="B390" s="6" t="str">
        <f>'Selbstbeurteilung Kunde'!C398</f>
        <v>Sichere Lehrzeit?</v>
      </c>
      <c r="C390" s="49">
        <f>IF(ISBLANK('Selbstbeurteilung Kunde'!D398),0,1)</f>
        <v>0</v>
      </c>
      <c r="D390" s="49" t="str">
        <f>IF(AND('Selbstbeurteilung Kunde'!D398="",'Selbstbeurteilung Kunde'!E398=""),"*","")</f>
        <v>*</v>
      </c>
      <c r="E390" s="50" t="str">
        <f>IF(ISBLANK('Selbstbeurteilung Kunde'!F398),"",'Selbstbeurteilung Kunde'!F398)</f>
        <v/>
      </c>
      <c r="F390" s="287"/>
      <c r="G390" s="287"/>
      <c r="H390" s="287"/>
      <c r="I390" s="287"/>
      <c r="J390" s="287"/>
      <c r="K390" s="287"/>
      <c r="L390" s="279"/>
      <c r="M390" s="47">
        <v>1</v>
      </c>
      <c r="N390" s="34"/>
      <c r="O390" s="35">
        <f t="shared" si="66"/>
        <v>0</v>
      </c>
      <c r="P390" s="54">
        <f t="shared" si="67"/>
        <v>0</v>
      </c>
      <c r="Q390" s="46"/>
      <c r="R390" s="34"/>
    </row>
    <row r="391" spans="1:18" x14ac:dyDescent="0.3">
      <c r="A391" s="3" t="str">
        <f>'Selbstbeurteilung Kunde'!A399</f>
        <v>6.2.2.h</v>
      </c>
      <c r="B391" s="6" t="str">
        <f>'Selbstbeurteilung Kunde'!C399</f>
        <v>Andere Sicherheitsprogramme? Wenn ja, welche?</v>
      </c>
      <c r="C391" s="49">
        <f>IF(ISBLANK('Selbstbeurteilung Kunde'!D399),0,1)</f>
        <v>0</v>
      </c>
      <c r="D391" s="49" t="str">
        <f>IF(AND('Selbstbeurteilung Kunde'!D399="",'Selbstbeurteilung Kunde'!E399=""),"*","")</f>
        <v>*</v>
      </c>
      <c r="E391" s="50" t="str">
        <f>IF(ISBLANK('Selbstbeurteilung Kunde'!F399),"",'Selbstbeurteilung Kunde'!F399)</f>
        <v/>
      </c>
      <c r="F391" s="290"/>
      <c r="G391" s="290"/>
      <c r="H391" s="290"/>
      <c r="I391" s="290"/>
      <c r="J391" s="290"/>
      <c r="K391" s="290"/>
      <c r="L391" s="279"/>
      <c r="M391" s="47">
        <v>1</v>
      </c>
      <c r="N391" s="34"/>
      <c r="O391" s="35">
        <f t="shared" si="66"/>
        <v>0</v>
      </c>
      <c r="P391" s="54">
        <f t="shared" si="67"/>
        <v>0</v>
      </c>
      <c r="Q391" s="46"/>
      <c r="R391" s="46"/>
    </row>
    <row r="392" spans="1:18" x14ac:dyDescent="0.3">
      <c r="A392" s="44" t="str">
        <f>'Selbstbeurteilung Kunde'!A401</f>
        <v>7.</v>
      </c>
      <c r="B392" s="7" t="str">
        <f>'Selbstbeurteilung Kunde'!B401</f>
        <v>Notfallorganisation</v>
      </c>
      <c r="C392" s="40">
        <f>O392/N392</f>
        <v>0</v>
      </c>
      <c r="D392" s="40"/>
      <c r="E392" s="36"/>
      <c r="F392" s="25"/>
      <c r="G392" s="25"/>
      <c r="H392" s="25"/>
      <c r="I392" s="25"/>
      <c r="J392" s="25"/>
      <c r="K392" s="25"/>
      <c r="L392" s="281">
        <f>P392/N392</f>
        <v>0</v>
      </c>
      <c r="M392" s="5"/>
      <c r="N392" s="5">
        <f>SUM(M393,M410,M423)</f>
        <v>3</v>
      </c>
      <c r="O392" s="61">
        <f>SUM(Q393:Q428)</f>
        <v>0</v>
      </c>
      <c r="P392" s="61">
        <f>SUM(R393:R428)</f>
        <v>0</v>
      </c>
      <c r="Q392" s="45"/>
      <c r="R392" s="45"/>
    </row>
    <row r="393" spans="1:18" x14ac:dyDescent="0.3">
      <c r="A393" s="27" t="str">
        <f>'Selbstbeurteilung Kunde'!A403</f>
        <v>7.1.</v>
      </c>
      <c r="B393" s="27" t="str">
        <f>'Selbstbeurteilung Kunde'!B403</f>
        <v>Notfallkonzept</v>
      </c>
      <c r="C393" s="28">
        <f>O393/N393</f>
        <v>0</v>
      </c>
      <c r="D393" s="350"/>
      <c r="E393" s="37"/>
      <c r="F393" s="282"/>
      <c r="G393" s="282"/>
      <c r="H393" s="282"/>
      <c r="I393" s="282"/>
      <c r="J393" s="282"/>
      <c r="K393" s="282"/>
      <c r="L393" s="63">
        <f>P393/N393</f>
        <v>0</v>
      </c>
      <c r="M393" s="29">
        <v>1</v>
      </c>
      <c r="N393" s="29">
        <f>SUM(M394:M409)</f>
        <v>23</v>
      </c>
      <c r="O393" s="31">
        <f>SUM(O394:O409)</f>
        <v>0</v>
      </c>
      <c r="P393" s="31">
        <f>SUM(P394:P409)</f>
        <v>0</v>
      </c>
      <c r="Q393" s="65">
        <f>O393/$N393*$M393</f>
        <v>0</v>
      </c>
      <c r="R393" s="65">
        <f>P393/$N393*$M393</f>
        <v>0</v>
      </c>
    </row>
    <row r="394" spans="1:18" ht="26.4" x14ac:dyDescent="0.3">
      <c r="A394" s="3" t="str">
        <f>'Selbstbeurteilung Kunde'!A404</f>
        <v>7.1.1.</v>
      </c>
      <c r="B394" s="6" t="str">
        <f>'Selbstbeurteilung Kunde'!C404</f>
        <v>Verfügen Sie über ein Notfallkonzept, das den betrieblichen Risiken gerecht wird?</v>
      </c>
      <c r="C394" s="49">
        <f>IF(ISBLANK('Selbstbeurteilung Kunde'!D404),0,1)</f>
        <v>0</v>
      </c>
      <c r="D394" s="49" t="str">
        <f>IF(AND('Selbstbeurteilung Kunde'!D404="",'Selbstbeurteilung Kunde'!E404=""),"*","")</f>
        <v>*</v>
      </c>
      <c r="E394" s="50" t="str">
        <f>IF(ISBLANK('Selbstbeurteilung Kunde'!F404),"",'Selbstbeurteilung Kunde'!F404)</f>
        <v/>
      </c>
      <c r="F394" s="287"/>
      <c r="G394" s="287"/>
      <c r="H394" s="287"/>
      <c r="I394" s="287"/>
      <c r="J394" s="287"/>
      <c r="K394" s="287"/>
      <c r="L394" s="279"/>
      <c r="M394" s="47">
        <v>3</v>
      </c>
      <c r="N394" s="34"/>
      <c r="O394" s="35">
        <f t="shared" ref="O394:O409" si="68">C394*M394</f>
        <v>0</v>
      </c>
      <c r="P394" s="54">
        <f t="shared" ref="P394:P409" si="69">L394*M394</f>
        <v>0</v>
      </c>
      <c r="Q394" s="46"/>
      <c r="R394" s="34"/>
    </row>
    <row r="395" spans="1:18" ht="26.4" x14ac:dyDescent="0.3">
      <c r="A395" s="3" t="str">
        <f>'Selbstbeurteilung Kunde'!A405</f>
        <v>7.1.2.</v>
      </c>
      <c r="B395" s="6" t="str">
        <f>'Selbstbeurteilung Kunde'!C405</f>
        <v>Ist eine rasche und sachdienliche Soforthilfe bei Unfällen und akuten Erkrankungen gewährleistet?</v>
      </c>
      <c r="C395" s="49">
        <f>IF(ISBLANK('Selbstbeurteilung Kunde'!D405),0,1)</f>
        <v>0</v>
      </c>
      <c r="D395" s="49" t="str">
        <f>IF(AND('Selbstbeurteilung Kunde'!D405="",'Selbstbeurteilung Kunde'!E405=""),"*","")</f>
        <v>*</v>
      </c>
      <c r="E395" s="50" t="str">
        <f>IF(ISBLANK('Selbstbeurteilung Kunde'!F405),"",'Selbstbeurteilung Kunde'!F405)</f>
        <v/>
      </c>
      <c r="F395" s="290"/>
      <c r="G395" s="290"/>
      <c r="H395" s="290"/>
      <c r="I395" s="290"/>
      <c r="J395" s="290"/>
      <c r="K395" s="290"/>
      <c r="L395" s="279"/>
      <c r="M395" s="47">
        <v>3</v>
      </c>
      <c r="N395" s="34"/>
      <c r="O395" s="35">
        <f t="shared" si="68"/>
        <v>0</v>
      </c>
      <c r="P395" s="54">
        <f t="shared" si="69"/>
        <v>0</v>
      </c>
      <c r="Q395" s="46"/>
      <c r="R395" s="34"/>
    </row>
    <row r="396" spans="1:18" ht="66" x14ac:dyDescent="0.3">
      <c r="A396" s="3" t="str">
        <f>'Selbstbeurteilung Kunde'!A406</f>
        <v>7.1.3.a</v>
      </c>
      <c r="B396" s="6" t="str">
        <f>'Selbstbeurteilung Kunde'!C406</f>
        <v>Sind die folgenden Institutionen Ihrer Region über spezifische Risiken bzw. mögliche Ereignisse und die in Ihrem Unternehmen gelagerten und verwendeten Arbeitsstoffe informiert:
Ärzte?</v>
      </c>
      <c r="C396" s="49">
        <f>IF(ISBLANK('Selbstbeurteilung Kunde'!D406),0,1)</f>
        <v>0</v>
      </c>
      <c r="D396" s="49" t="str">
        <f>IF(AND('Selbstbeurteilung Kunde'!D406="",'Selbstbeurteilung Kunde'!E406=""),"*","")</f>
        <v>*</v>
      </c>
      <c r="E396" s="50" t="str">
        <f>IF(ISBLANK('Selbstbeurteilung Kunde'!F406),"",'Selbstbeurteilung Kunde'!F406)</f>
        <v/>
      </c>
      <c r="F396" s="287"/>
      <c r="G396" s="287"/>
      <c r="H396" s="287"/>
      <c r="I396" s="287"/>
      <c r="J396" s="287"/>
      <c r="K396" s="287"/>
      <c r="L396" s="279"/>
      <c r="M396" s="47">
        <v>0</v>
      </c>
      <c r="N396" s="34"/>
      <c r="O396" s="35">
        <f t="shared" si="68"/>
        <v>0</v>
      </c>
      <c r="P396" s="54">
        <f t="shared" si="69"/>
        <v>0</v>
      </c>
      <c r="Q396" s="46"/>
      <c r="R396" s="34"/>
    </row>
    <row r="397" spans="1:18" x14ac:dyDescent="0.3">
      <c r="A397" s="3" t="str">
        <f>'Selbstbeurteilung Kunde'!A407</f>
        <v>7.1.3.b</v>
      </c>
      <c r="B397" s="6" t="str">
        <f>'Selbstbeurteilung Kunde'!C407</f>
        <v>Spitäler/Ambulanzen?</v>
      </c>
      <c r="C397" s="49">
        <f>IF(ISBLANK('Selbstbeurteilung Kunde'!D407),0,1)</f>
        <v>0</v>
      </c>
      <c r="D397" s="49" t="str">
        <f>IF(AND('Selbstbeurteilung Kunde'!D407="",'Selbstbeurteilung Kunde'!E407=""),"*","")</f>
        <v>*</v>
      </c>
      <c r="E397" s="50" t="str">
        <f>IF(ISBLANK('Selbstbeurteilung Kunde'!F407),"",'Selbstbeurteilung Kunde'!F407)</f>
        <v/>
      </c>
      <c r="F397" s="287"/>
      <c r="G397" s="287"/>
      <c r="H397" s="287"/>
      <c r="I397" s="287"/>
      <c r="J397" s="287"/>
      <c r="K397" s="287"/>
      <c r="L397" s="279"/>
      <c r="M397" s="47">
        <v>0</v>
      </c>
      <c r="N397" s="34"/>
      <c r="O397" s="35">
        <f t="shared" si="68"/>
        <v>0</v>
      </c>
      <c r="P397" s="54">
        <f t="shared" si="69"/>
        <v>0</v>
      </c>
      <c r="Q397" s="46"/>
      <c r="R397" s="34"/>
    </row>
    <row r="398" spans="1:18" x14ac:dyDescent="0.3">
      <c r="A398" s="3" t="str">
        <f>'Selbstbeurteilung Kunde'!A408</f>
        <v>7.1.3.c</v>
      </c>
      <c r="B398" s="6" t="str">
        <f>'Selbstbeurteilung Kunde'!C408</f>
        <v>Feuerwehr?</v>
      </c>
      <c r="C398" s="49">
        <f>IF(ISBLANK('Selbstbeurteilung Kunde'!D408),0,1)</f>
        <v>0</v>
      </c>
      <c r="D398" s="49" t="str">
        <f>IF(AND('Selbstbeurteilung Kunde'!D408="",'Selbstbeurteilung Kunde'!E408=""),"*","")</f>
        <v>*</v>
      </c>
      <c r="E398" s="50" t="str">
        <f>IF(ISBLANK('Selbstbeurteilung Kunde'!F408),"",'Selbstbeurteilung Kunde'!F408)</f>
        <v/>
      </c>
      <c r="F398" s="287"/>
      <c r="G398" s="287"/>
      <c r="H398" s="287"/>
      <c r="I398" s="287"/>
      <c r="J398" s="287"/>
      <c r="K398" s="287"/>
      <c r="L398" s="279"/>
      <c r="M398" s="47">
        <v>0</v>
      </c>
      <c r="N398" s="34"/>
      <c r="O398" s="35">
        <f t="shared" si="68"/>
        <v>0</v>
      </c>
      <c r="P398" s="54">
        <f t="shared" si="69"/>
        <v>0</v>
      </c>
      <c r="Q398" s="46"/>
      <c r="R398" s="34"/>
    </row>
    <row r="399" spans="1:18" x14ac:dyDescent="0.3">
      <c r="A399" s="3" t="str">
        <f>'Selbstbeurteilung Kunde'!A409</f>
        <v>7.1.3.d</v>
      </c>
      <c r="B399" s="6" t="str">
        <f>'Selbstbeurteilung Kunde'!C409</f>
        <v>Polizei?</v>
      </c>
      <c r="C399" s="49">
        <f>IF(ISBLANK('Selbstbeurteilung Kunde'!D409),0,1)</f>
        <v>0</v>
      </c>
      <c r="D399" s="49" t="str">
        <f>IF(AND('Selbstbeurteilung Kunde'!D409="",'Selbstbeurteilung Kunde'!E409=""),"*","")</f>
        <v>*</v>
      </c>
      <c r="E399" s="50" t="str">
        <f>IF(ISBLANK('Selbstbeurteilung Kunde'!F409),"",'Selbstbeurteilung Kunde'!F409)</f>
        <v/>
      </c>
      <c r="F399" s="287"/>
      <c r="G399" s="287"/>
      <c r="H399" s="287"/>
      <c r="I399" s="287"/>
      <c r="J399" s="287"/>
      <c r="K399" s="287"/>
      <c r="L399" s="279"/>
      <c r="M399" s="47">
        <v>0</v>
      </c>
      <c r="N399" s="34"/>
      <c r="O399" s="35">
        <f t="shared" si="68"/>
        <v>0</v>
      </c>
      <c r="P399" s="54">
        <f t="shared" si="69"/>
        <v>0</v>
      </c>
      <c r="Q399" s="46"/>
      <c r="R399" s="34"/>
    </row>
    <row r="400" spans="1:18" ht="26.4" x14ac:dyDescent="0.3">
      <c r="A400" s="3" t="str">
        <f>'Selbstbeurteilung Kunde'!A410</f>
        <v>7.1.4.</v>
      </c>
      <c r="B400" s="6" t="str">
        <f>'Selbstbeurteilung Kunde'!C410</f>
        <v>Besteht in Ihrem Unternehmen ein Melde- oder Alarmsystem für Notfälle?</v>
      </c>
      <c r="C400" s="49">
        <f>IF(ISBLANK('Selbstbeurteilung Kunde'!D410),0,1)</f>
        <v>0</v>
      </c>
      <c r="D400" s="49" t="str">
        <f>IF(AND('Selbstbeurteilung Kunde'!D410="",'Selbstbeurteilung Kunde'!E410=""),"*","")</f>
        <v>*</v>
      </c>
      <c r="E400" s="50" t="str">
        <f>IF(ISBLANK('Selbstbeurteilung Kunde'!F410),"",'Selbstbeurteilung Kunde'!F410)</f>
        <v/>
      </c>
      <c r="F400" s="290"/>
      <c r="G400" s="290"/>
      <c r="H400" s="290"/>
      <c r="I400" s="290"/>
      <c r="J400" s="290"/>
      <c r="K400" s="290"/>
      <c r="L400" s="279"/>
      <c r="M400" s="47">
        <v>3</v>
      </c>
      <c r="N400" s="34"/>
      <c r="O400" s="35">
        <f t="shared" si="68"/>
        <v>0</v>
      </c>
      <c r="P400" s="54">
        <f t="shared" si="69"/>
        <v>0</v>
      </c>
      <c r="Q400" s="46"/>
      <c r="R400" s="46"/>
    </row>
    <row r="401" spans="1:18" ht="26.4" x14ac:dyDescent="0.3">
      <c r="A401" s="3" t="str">
        <f>'Selbstbeurteilung Kunde'!A411</f>
        <v>7.1.5.</v>
      </c>
      <c r="B401" s="6" t="str">
        <f>'Selbstbeurteilung Kunde'!C411</f>
        <v>Sind die Notfallnummern bei allen Kommunikationsmittel leicht erkennbar angebracht?</v>
      </c>
      <c r="C401" s="49">
        <f>IF(ISBLANK('Selbstbeurteilung Kunde'!D411),0,1)</f>
        <v>0</v>
      </c>
      <c r="D401" s="49" t="str">
        <f>IF(AND('Selbstbeurteilung Kunde'!D411="",'Selbstbeurteilung Kunde'!E411=""),"*","")</f>
        <v>*</v>
      </c>
      <c r="E401" s="50" t="str">
        <f>IF(ISBLANK('Selbstbeurteilung Kunde'!F411),"",'Selbstbeurteilung Kunde'!F411)</f>
        <v/>
      </c>
      <c r="F401" s="287"/>
      <c r="G401" s="287"/>
      <c r="H401" s="287"/>
      <c r="I401" s="287"/>
      <c r="J401" s="287"/>
      <c r="K401" s="287"/>
      <c r="L401" s="279"/>
      <c r="M401" s="47">
        <v>2</v>
      </c>
      <c r="N401" s="34"/>
      <c r="O401" s="35">
        <f t="shared" si="68"/>
        <v>0</v>
      </c>
      <c r="P401" s="54">
        <f t="shared" si="69"/>
        <v>0</v>
      </c>
      <c r="Q401" s="46"/>
      <c r="R401" s="34"/>
    </row>
    <row r="402" spans="1:18" ht="26.4" x14ac:dyDescent="0.3">
      <c r="A402" s="3" t="str">
        <f>'Selbstbeurteilung Kunde'!A412</f>
        <v>7.1.6.</v>
      </c>
      <c r="B402" s="6" t="str">
        <f>'Selbstbeurteilung Kunde'!C412</f>
        <v>Ist der rasche und unbehinderte Zugang zum Notfallmaterial jederzeit gewährleistet?</v>
      </c>
      <c r="C402" s="49">
        <f>IF(ISBLANK('Selbstbeurteilung Kunde'!D412),0,1)</f>
        <v>0</v>
      </c>
      <c r="D402" s="49" t="str">
        <f>IF(AND('Selbstbeurteilung Kunde'!D412="",'Selbstbeurteilung Kunde'!E412=""),"*","")</f>
        <v>*</v>
      </c>
      <c r="E402" s="50" t="str">
        <f>IF(ISBLANK('Selbstbeurteilung Kunde'!F412),"",'Selbstbeurteilung Kunde'!F412)</f>
        <v/>
      </c>
      <c r="F402" s="287"/>
      <c r="G402" s="287"/>
      <c r="H402" s="287"/>
      <c r="I402" s="287"/>
      <c r="J402" s="287"/>
      <c r="K402" s="287"/>
      <c r="L402" s="279"/>
      <c r="M402" s="47">
        <v>3</v>
      </c>
      <c r="N402" s="34"/>
      <c r="O402" s="35">
        <f t="shared" si="68"/>
        <v>0</v>
      </c>
      <c r="P402" s="54">
        <f t="shared" si="69"/>
        <v>0</v>
      </c>
      <c r="Q402" s="46"/>
      <c r="R402" s="34"/>
    </row>
    <row r="403" spans="1:18" ht="26.4" x14ac:dyDescent="0.3">
      <c r="A403" s="3" t="str">
        <f>'Selbstbeurteilung Kunde'!A413</f>
        <v>7.1.7.a</v>
      </c>
      <c r="B403" s="6" t="str">
        <f>'Selbstbeurteilung Kunde'!C413</f>
        <v>Ist der Notfalldienst auch gewährleistet bei: 
Schichtarbeit?</v>
      </c>
      <c r="C403" s="49">
        <f>IF(ISBLANK('Selbstbeurteilung Kunde'!D413),0,1)</f>
        <v>0</v>
      </c>
      <c r="D403" s="49" t="str">
        <f>IF(AND('Selbstbeurteilung Kunde'!D413="",'Selbstbeurteilung Kunde'!E413=""),"*","")</f>
        <v>*</v>
      </c>
      <c r="E403" s="50" t="str">
        <f>IF(ISBLANK('Selbstbeurteilung Kunde'!F413),"",'Selbstbeurteilung Kunde'!F413)</f>
        <v/>
      </c>
      <c r="F403" s="287"/>
      <c r="G403" s="287"/>
      <c r="H403" s="287"/>
      <c r="I403" s="287"/>
      <c r="J403" s="287"/>
      <c r="K403" s="287"/>
      <c r="L403" s="279"/>
      <c r="M403" s="47">
        <v>1</v>
      </c>
      <c r="N403" s="34"/>
      <c r="O403" s="35">
        <f t="shared" si="68"/>
        <v>0</v>
      </c>
      <c r="P403" s="54">
        <f t="shared" si="69"/>
        <v>0</v>
      </c>
      <c r="Q403" s="46"/>
      <c r="R403" s="34"/>
    </row>
    <row r="404" spans="1:18" x14ac:dyDescent="0.3">
      <c r="A404" s="3" t="str">
        <f>'Selbstbeurteilung Kunde'!A414</f>
        <v>7.1.7.b</v>
      </c>
      <c r="B404" s="6" t="str">
        <f>'Selbstbeurteilung Kunde'!C414</f>
        <v>Wochenendarbeit?</v>
      </c>
      <c r="C404" s="49">
        <f>IF(ISBLANK('Selbstbeurteilung Kunde'!D414),0,1)</f>
        <v>0</v>
      </c>
      <c r="D404" s="49" t="str">
        <f>IF(AND('Selbstbeurteilung Kunde'!D414="",'Selbstbeurteilung Kunde'!E414=""),"*","")</f>
        <v>*</v>
      </c>
      <c r="E404" s="50" t="str">
        <f>IF(ISBLANK('Selbstbeurteilung Kunde'!F414),"",'Selbstbeurteilung Kunde'!F414)</f>
        <v/>
      </c>
      <c r="F404" s="287"/>
      <c r="G404" s="287"/>
      <c r="H404" s="287"/>
      <c r="I404" s="287"/>
      <c r="J404" s="287"/>
      <c r="K404" s="287"/>
      <c r="L404" s="279"/>
      <c r="M404" s="47">
        <v>1</v>
      </c>
      <c r="N404" s="34"/>
      <c r="O404" s="35">
        <f t="shared" si="68"/>
        <v>0</v>
      </c>
      <c r="P404" s="54">
        <f t="shared" si="69"/>
        <v>0</v>
      </c>
      <c r="Q404" s="46"/>
      <c r="R404" s="34"/>
    </row>
    <row r="405" spans="1:18" x14ac:dyDescent="0.3">
      <c r="A405" s="3" t="str">
        <f>'Selbstbeurteilung Kunde'!A415</f>
        <v>7.1.7.c</v>
      </c>
      <c r="B405" s="6" t="str">
        <f>'Selbstbeurteilung Kunde'!C415</f>
        <v>Überzeit?</v>
      </c>
      <c r="C405" s="49">
        <f>IF(ISBLANK('Selbstbeurteilung Kunde'!D415),0,1)</f>
        <v>0</v>
      </c>
      <c r="D405" s="49" t="str">
        <f>IF(AND('Selbstbeurteilung Kunde'!D415="",'Selbstbeurteilung Kunde'!E415=""),"*","")</f>
        <v>*</v>
      </c>
      <c r="E405" s="50" t="str">
        <f>IF(ISBLANK('Selbstbeurteilung Kunde'!F415),"",'Selbstbeurteilung Kunde'!F415)</f>
        <v/>
      </c>
      <c r="F405" s="287"/>
      <c r="G405" s="287"/>
      <c r="H405" s="287"/>
      <c r="I405" s="287"/>
      <c r="J405" s="287"/>
      <c r="K405" s="287"/>
      <c r="L405" s="279"/>
      <c r="M405" s="47">
        <v>0</v>
      </c>
      <c r="N405" s="34"/>
      <c r="O405" s="35">
        <f t="shared" si="68"/>
        <v>0</v>
      </c>
      <c r="P405" s="54">
        <f t="shared" si="69"/>
        <v>0</v>
      </c>
      <c r="Q405" s="46"/>
      <c r="R405" s="34"/>
    </row>
    <row r="406" spans="1:18" x14ac:dyDescent="0.3">
      <c r="A406" s="3" t="str">
        <f>'Selbstbeurteilung Kunde'!A416</f>
        <v>7.1.7.d</v>
      </c>
      <c r="B406" s="6" t="str">
        <f>'Selbstbeurteilung Kunde'!C416</f>
        <v>Speziellen Arbeitseinsätzen?</v>
      </c>
      <c r="C406" s="49">
        <f>IF(ISBLANK('Selbstbeurteilung Kunde'!D416),0,1)</f>
        <v>0</v>
      </c>
      <c r="D406" s="49" t="str">
        <f>IF(AND('Selbstbeurteilung Kunde'!D416="",'Selbstbeurteilung Kunde'!E416=""),"*","")</f>
        <v>*</v>
      </c>
      <c r="E406" s="50" t="str">
        <f>IF(ISBLANK('Selbstbeurteilung Kunde'!F416),"",'Selbstbeurteilung Kunde'!F416)</f>
        <v/>
      </c>
      <c r="F406" s="290"/>
      <c r="G406" s="290"/>
      <c r="H406" s="290"/>
      <c r="I406" s="290"/>
      <c r="J406" s="290"/>
      <c r="K406" s="290"/>
      <c r="L406" s="279"/>
      <c r="M406" s="47">
        <v>0</v>
      </c>
      <c r="N406" s="34"/>
      <c r="O406" s="35">
        <f t="shared" si="68"/>
        <v>0</v>
      </c>
      <c r="P406" s="54">
        <f t="shared" si="69"/>
        <v>0</v>
      </c>
      <c r="Q406" s="46"/>
      <c r="R406" s="34"/>
    </row>
    <row r="407" spans="1:18" x14ac:dyDescent="0.3">
      <c r="A407" s="3" t="str">
        <f>'Selbstbeurteilung Kunde'!A417</f>
        <v>7.1.7.e</v>
      </c>
      <c r="B407" s="6" t="str">
        <f>'Selbstbeurteilung Kunde'!C417</f>
        <v>Allein arbeitenden Personen?</v>
      </c>
      <c r="C407" s="49">
        <f>IF(ISBLANK('Selbstbeurteilung Kunde'!D417),0,1)</f>
        <v>0</v>
      </c>
      <c r="D407" s="49" t="str">
        <f>IF(AND('Selbstbeurteilung Kunde'!D417="",'Selbstbeurteilung Kunde'!E417=""),"*","")</f>
        <v>*</v>
      </c>
      <c r="E407" s="50" t="str">
        <f>IF(ISBLANK('Selbstbeurteilung Kunde'!F417),"",'Selbstbeurteilung Kunde'!F417)</f>
        <v/>
      </c>
      <c r="F407" s="290"/>
      <c r="G407" s="290"/>
      <c r="H407" s="290"/>
      <c r="I407" s="290"/>
      <c r="J407" s="290"/>
      <c r="K407" s="290"/>
      <c r="L407" s="279"/>
      <c r="M407" s="47">
        <v>3</v>
      </c>
      <c r="N407" s="34"/>
      <c r="O407" s="35">
        <f t="shared" si="68"/>
        <v>0</v>
      </c>
      <c r="P407" s="54">
        <f t="shared" si="69"/>
        <v>0</v>
      </c>
      <c r="Q407" s="46"/>
      <c r="R407" s="46"/>
    </row>
    <row r="408" spans="1:18" ht="26.4" x14ac:dyDescent="0.3">
      <c r="A408" s="3" t="str">
        <f>'Selbstbeurteilung Kunde'!A418</f>
        <v>7.1.8.</v>
      </c>
      <c r="B408" s="6" t="str">
        <f>'Selbstbeurteilung Kunde'!C418</f>
        <v>Werden Erste-Hilfe-Leistungen dokumentiert? Wenn ja, wie?</v>
      </c>
      <c r="C408" s="49">
        <f>IF(ISBLANK('Selbstbeurteilung Kunde'!D418),0,1)</f>
        <v>0</v>
      </c>
      <c r="D408" s="49" t="str">
        <f>IF(AND('Selbstbeurteilung Kunde'!D418="",'Selbstbeurteilung Kunde'!E418=""),"*","")</f>
        <v>*</v>
      </c>
      <c r="E408" s="50" t="str">
        <f>IF(ISBLANK('Selbstbeurteilung Kunde'!F418),"",'Selbstbeurteilung Kunde'!F418)</f>
        <v/>
      </c>
      <c r="F408" s="287"/>
      <c r="G408" s="287"/>
      <c r="H408" s="287"/>
      <c r="I408" s="287"/>
      <c r="J408" s="287"/>
      <c r="K408" s="287"/>
      <c r="L408" s="279"/>
      <c r="M408" s="47">
        <v>1</v>
      </c>
      <c r="N408" s="34"/>
      <c r="O408" s="35">
        <f t="shared" si="68"/>
        <v>0</v>
      </c>
      <c r="P408" s="54">
        <f t="shared" si="69"/>
        <v>0</v>
      </c>
      <c r="Q408" s="46"/>
      <c r="R408" s="34"/>
    </row>
    <row r="409" spans="1:18" ht="26.4" x14ac:dyDescent="0.3">
      <c r="A409" s="3" t="str">
        <f>'Selbstbeurteilung Kunde'!A419</f>
        <v>7.1.9.</v>
      </c>
      <c r="B409" s="6" t="str">
        <f>'Selbstbeurteilung Kunde'!C419</f>
        <v>Ist das richtige Verhalten bei Notfällen den Mitarbeitenden aller Stufen bekannt?</v>
      </c>
      <c r="C409" s="49">
        <f>IF(ISBLANK('Selbstbeurteilung Kunde'!D419),0,1)</f>
        <v>0</v>
      </c>
      <c r="D409" s="49" t="str">
        <f>IF(AND('Selbstbeurteilung Kunde'!D419="",'Selbstbeurteilung Kunde'!E419=""),"*","")</f>
        <v>*</v>
      </c>
      <c r="E409" s="50" t="str">
        <f>IF(ISBLANK('Selbstbeurteilung Kunde'!F419),"",'Selbstbeurteilung Kunde'!F419)</f>
        <v/>
      </c>
      <c r="F409" s="287"/>
      <c r="G409" s="287"/>
      <c r="H409" s="287"/>
      <c r="I409" s="287"/>
      <c r="J409" s="287"/>
      <c r="K409" s="287"/>
      <c r="L409" s="279"/>
      <c r="M409" s="47">
        <v>3</v>
      </c>
      <c r="N409" s="34"/>
      <c r="O409" s="35">
        <f t="shared" si="68"/>
        <v>0</v>
      </c>
      <c r="P409" s="54">
        <f t="shared" si="69"/>
        <v>0</v>
      </c>
      <c r="Q409" s="46"/>
      <c r="R409" s="34"/>
    </row>
    <row r="410" spans="1:18" x14ac:dyDescent="0.3">
      <c r="A410" s="27" t="str">
        <f>'Selbstbeurteilung Kunde'!A420</f>
        <v>7.2.</v>
      </c>
      <c r="B410" s="27" t="str">
        <f>'Selbstbeurteilung Kunde'!B420</f>
        <v>Personelle Bedingungen</v>
      </c>
      <c r="C410" s="28">
        <f>O410/N410</f>
        <v>0</v>
      </c>
      <c r="D410" s="350"/>
      <c r="E410" s="37" t="str">
        <f>IF(ISBLANK('Selbstbeurteilung Kunde'!F420),"",'Selbstbeurteilung Kunde'!F420)</f>
        <v/>
      </c>
      <c r="F410" s="282"/>
      <c r="G410" s="282"/>
      <c r="H410" s="282"/>
      <c r="I410" s="282"/>
      <c r="J410" s="282"/>
      <c r="K410" s="282"/>
      <c r="L410" s="63">
        <f>P410/N410</f>
        <v>0</v>
      </c>
      <c r="M410" s="29">
        <v>1</v>
      </c>
      <c r="N410" s="29">
        <f>SUM(M411:M422)</f>
        <v>9</v>
      </c>
      <c r="O410" s="31">
        <f>SUM(O411:O422)</f>
        <v>0</v>
      </c>
      <c r="P410" s="31">
        <f>SUM(P411:P422)</f>
        <v>0</v>
      </c>
      <c r="Q410" s="65">
        <f>O410/$N410*$M410</f>
        <v>0</v>
      </c>
      <c r="R410" s="65">
        <f>P410/$N410*$M410</f>
        <v>0</v>
      </c>
    </row>
    <row r="411" spans="1:18" ht="26.4" x14ac:dyDescent="0.3">
      <c r="A411" s="3" t="str">
        <f>'Selbstbeurteilung Kunde'!A421</f>
        <v>7.2.1.</v>
      </c>
      <c r="B411" s="6" t="str">
        <f>'Selbstbeurteilung Kunde'!C421</f>
        <v>Bestehen schriftliche Anweisungen an das Personal bezüglich des Verhaltens in Notsituationen?</v>
      </c>
      <c r="C411" s="49">
        <f>IF(ISBLANK('Selbstbeurteilung Kunde'!D421),0,1)</f>
        <v>0</v>
      </c>
      <c r="D411" s="49" t="str">
        <f>IF(AND('Selbstbeurteilung Kunde'!D421="",'Selbstbeurteilung Kunde'!E421=""),"*","")</f>
        <v>*</v>
      </c>
      <c r="E411" s="50" t="str">
        <f>IF(ISBLANK('Selbstbeurteilung Kunde'!F421),"",'Selbstbeurteilung Kunde'!F421)</f>
        <v/>
      </c>
      <c r="F411" s="287"/>
      <c r="G411" s="287"/>
      <c r="H411" s="287"/>
      <c r="I411" s="287"/>
      <c r="J411" s="287"/>
      <c r="K411" s="287"/>
      <c r="L411" s="279"/>
      <c r="M411" s="47">
        <v>1</v>
      </c>
      <c r="N411" s="34"/>
      <c r="O411" s="35">
        <f t="shared" ref="O411:O422" si="70">C411*M411</f>
        <v>0</v>
      </c>
      <c r="P411" s="54">
        <f t="shared" ref="P411:P422" si="71">L411*M411</f>
        <v>0</v>
      </c>
      <c r="Q411" s="46"/>
      <c r="R411" s="34"/>
    </row>
    <row r="412" spans="1:18" ht="26.4" x14ac:dyDescent="0.3">
      <c r="A412" s="3" t="str">
        <f>'Selbstbeurteilung Kunde'!A422</f>
        <v>7.2.2.</v>
      </c>
      <c r="B412" s="6" t="str">
        <f>'Selbstbeurteilung Kunde'!C422</f>
        <v>Tragen die Beschäftigten einen Notfallausweis mit den wichtigsten Angaben für Notfallmeldungen auf sich?</v>
      </c>
      <c r="C412" s="49">
        <f>IF(ISBLANK('Selbstbeurteilung Kunde'!D422),0,1)</f>
        <v>0</v>
      </c>
      <c r="D412" s="49" t="str">
        <f>IF(AND('Selbstbeurteilung Kunde'!D422="",'Selbstbeurteilung Kunde'!E422=""),"*","")</f>
        <v>*</v>
      </c>
      <c r="E412" s="50" t="str">
        <f>IF(ISBLANK('Selbstbeurteilung Kunde'!F422),"",'Selbstbeurteilung Kunde'!F422)</f>
        <v/>
      </c>
      <c r="F412" s="287"/>
      <c r="G412" s="287"/>
      <c r="H412" s="287"/>
      <c r="I412" s="287"/>
      <c r="J412" s="287"/>
      <c r="K412" s="287"/>
      <c r="L412" s="279"/>
      <c r="M412" s="47">
        <v>1</v>
      </c>
      <c r="N412" s="34"/>
      <c r="O412" s="35">
        <f t="shared" si="70"/>
        <v>0</v>
      </c>
      <c r="P412" s="54">
        <f t="shared" si="71"/>
        <v>0</v>
      </c>
      <c r="Q412" s="46"/>
      <c r="R412" s="34"/>
    </row>
    <row r="413" spans="1:18" ht="39.6" x14ac:dyDescent="0.3">
      <c r="A413" s="3" t="str">
        <f>'Selbstbeurteilung Kunde'!A423</f>
        <v>7.2.3.a</v>
      </c>
      <c r="B413" s="6" t="str">
        <f>'Selbstbeurteilung Kunde'!C423</f>
        <v>Wird das konkrete Verhalten der Beschäftigten in Notfallsituationen, wie Unfällen, Zwischenfällen usw:
instruiert?</v>
      </c>
      <c r="C413" s="49">
        <f>IF(ISBLANK('Selbstbeurteilung Kunde'!D423),0,1)</f>
        <v>0</v>
      </c>
      <c r="D413" s="49" t="str">
        <f>IF(AND('Selbstbeurteilung Kunde'!D423="",'Selbstbeurteilung Kunde'!E423=""),"*","")</f>
        <v>*</v>
      </c>
      <c r="E413" s="50" t="str">
        <f>IF(ISBLANK('Selbstbeurteilung Kunde'!F423),"",'Selbstbeurteilung Kunde'!F423)</f>
        <v/>
      </c>
      <c r="F413" s="290"/>
      <c r="G413" s="290"/>
      <c r="H413" s="290"/>
      <c r="I413" s="290"/>
      <c r="J413" s="290"/>
      <c r="K413" s="290"/>
      <c r="L413" s="279"/>
      <c r="M413" s="47">
        <v>1</v>
      </c>
      <c r="N413" s="34"/>
      <c r="O413" s="35">
        <f t="shared" si="70"/>
        <v>0</v>
      </c>
      <c r="P413" s="54">
        <f t="shared" si="71"/>
        <v>0</v>
      </c>
      <c r="Q413" s="46"/>
      <c r="R413" s="46"/>
    </row>
    <row r="414" spans="1:18" x14ac:dyDescent="0.3">
      <c r="A414" s="3" t="str">
        <f>'Selbstbeurteilung Kunde'!A424</f>
        <v>7.2.3.b</v>
      </c>
      <c r="B414" s="6" t="str">
        <f>'Selbstbeurteilung Kunde'!C424</f>
        <v>geübt?</v>
      </c>
      <c r="C414" s="49">
        <f>IF(ISBLANK('Selbstbeurteilung Kunde'!D424),0,1)</f>
        <v>0</v>
      </c>
      <c r="D414" s="49" t="str">
        <f>IF(AND('Selbstbeurteilung Kunde'!D424="",'Selbstbeurteilung Kunde'!E424=""),"*","")</f>
        <v>*</v>
      </c>
      <c r="E414" s="50" t="str">
        <f>IF(ISBLANK('Selbstbeurteilung Kunde'!F424),"",'Selbstbeurteilung Kunde'!F424)</f>
        <v/>
      </c>
      <c r="F414" s="287"/>
      <c r="G414" s="287"/>
      <c r="H414" s="287"/>
      <c r="I414" s="287"/>
      <c r="J414" s="287"/>
      <c r="K414" s="287"/>
      <c r="L414" s="279"/>
      <c r="M414" s="47">
        <v>1</v>
      </c>
      <c r="N414" s="34"/>
      <c r="O414" s="35">
        <f t="shared" si="70"/>
        <v>0</v>
      </c>
      <c r="P414" s="54">
        <f t="shared" si="71"/>
        <v>0</v>
      </c>
      <c r="Q414" s="46"/>
      <c r="R414" s="34"/>
    </row>
    <row r="415" spans="1:18" x14ac:dyDescent="0.3">
      <c r="A415" s="3" t="str">
        <f>'Selbstbeurteilung Kunde'!A425</f>
        <v>7.2.3.c</v>
      </c>
      <c r="B415" s="6" t="str">
        <f>'Selbstbeurteilung Kunde'!C425</f>
        <v>überprüft?</v>
      </c>
      <c r="C415" s="49">
        <f>IF(ISBLANK('Selbstbeurteilung Kunde'!D425),0,1)</f>
        <v>0</v>
      </c>
      <c r="D415" s="49" t="str">
        <f>IF(AND('Selbstbeurteilung Kunde'!D425="",'Selbstbeurteilung Kunde'!E425=""),"*","")</f>
        <v>*</v>
      </c>
      <c r="E415" s="50" t="str">
        <f>IF(ISBLANK('Selbstbeurteilung Kunde'!F425),"",'Selbstbeurteilung Kunde'!F425)</f>
        <v/>
      </c>
      <c r="F415" s="287"/>
      <c r="G415" s="287"/>
      <c r="H415" s="287"/>
      <c r="I415" s="287"/>
      <c r="J415" s="287"/>
      <c r="K415" s="287"/>
      <c r="L415" s="279"/>
      <c r="M415" s="47">
        <v>1</v>
      </c>
      <c r="N415" s="34"/>
      <c r="O415" s="35">
        <f t="shared" si="70"/>
        <v>0</v>
      </c>
      <c r="P415" s="54">
        <f t="shared" si="71"/>
        <v>0</v>
      </c>
      <c r="Q415" s="46"/>
      <c r="R415" s="34"/>
    </row>
    <row r="416" spans="1:18" x14ac:dyDescent="0.3">
      <c r="A416" s="3" t="str">
        <f>'Selbstbeurteilung Kunde'!A426</f>
        <v>7.2.4.</v>
      </c>
      <c r="B416" s="6" t="str">
        <f>'Selbstbeurteilung Kunde'!C426</f>
        <v>Verfügen Sie über einen betriebseigenen Sanitätsdienst?</v>
      </c>
      <c r="C416" s="49">
        <f>IF(ISBLANK('Selbstbeurteilung Kunde'!D426),0,1)</f>
        <v>0</v>
      </c>
      <c r="D416" s="49" t="str">
        <f>IF(AND('Selbstbeurteilung Kunde'!D426="",'Selbstbeurteilung Kunde'!E426=""),"*","")</f>
        <v>*</v>
      </c>
      <c r="E416" s="50" t="str">
        <f>IF(ISBLANK('Selbstbeurteilung Kunde'!F426),"",'Selbstbeurteilung Kunde'!F426)</f>
        <v/>
      </c>
      <c r="F416" s="287"/>
      <c r="G416" s="287"/>
      <c r="H416" s="287"/>
      <c r="I416" s="287"/>
      <c r="J416" s="287"/>
      <c r="K416" s="287"/>
      <c r="L416" s="279"/>
      <c r="M416" s="47">
        <v>0</v>
      </c>
      <c r="N416" s="34"/>
      <c r="O416" s="35">
        <f t="shared" si="70"/>
        <v>0</v>
      </c>
      <c r="P416" s="54">
        <f t="shared" si="71"/>
        <v>0</v>
      </c>
      <c r="Q416" s="46"/>
      <c r="R416" s="34"/>
    </row>
    <row r="417" spans="1:18" ht="26.4" x14ac:dyDescent="0.3">
      <c r="A417" s="3" t="str">
        <f>'Selbstbeurteilung Kunde'!A427</f>
        <v>7.2.5.</v>
      </c>
      <c r="B417" s="6" t="str">
        <f>'Selbstbeurteilung Kunde'!C427</f>
        <v>Stehen speziell geschulte Betriebssanitäter/-innen jederzeit zur Verfügung? Wenn ja, wieviele?</v>
      </c>
      <c r="C417" s="49">
        <f>IF(ISBLANK('Selbstbeurteilung Kunde'!D427),0,1)</f>
        <v>0</v>
      </c>
      <c r="D417" s="49" t="str">
        <f>IF(AND('Selbstbeurteilung Kunde'!D427="",'Selbstbeurteilung Kunde'!E427=""),"*","")</f>
        <v>*</v>
      </c>
      <c r="E417" s="50" t="str">
        <f>IF(ISBLANK('Selbstbeurteilung Kunde'!F427),"",'Selbstbeurteilung Kunde'!F427)</f>
        <v/>
      </c>
      <c r="F417" s="287"/>
      <c r="G417" s="287"/>
      <c r="H417" s="287"/>
      <c r="I417" s="287"/>
      <c r="J417" s="287"/>
      <c r="K417" s="287"/>
      <c r="L417" s="279"/>
      <c r="M417" s="47">
        <v>2</v>
      </c>
      <c r="N417" s="34"/>
      <c r="O417" s="35">
        <f t="shared" si="70"/>
        <v>0</v>
      </c>
      <c r="P417" s="54">
        <f t="shared" si="71"/>
        <v>0</v>
      </c>
      <c r="Q417" s="46"/>
      <c r="R417" s="34"/>
    </row>
    <row r="418" spans="1:18" ht="39.6" x14ac:dyDescent="0.3">
      <c r="A418" s="3" t="str">
        <f>'Selbstbeurteilung Kunde'!A428</f>
        <v>7.2.6.</v>
      </c>
      <c r="B418" s="6" t="str">
        <f>'Selbstbeurteilung Kunde'!C428</f>
        <v>Verfügen Sie über einen betriebseigenen Sanitätsraum mit Erste-Hilfe-Einrichtungen, die den auftretenden Risiken entsprechen?</v>
      </c>
      <c r="C418" s="49">
        <f>IF(ISBLANK('Selbstbeurteilung Kunde'!D428),0,1)</f>
        <v>0</v>
      </c>
      <c r="D418" s="49" t="str">
        <f>IF(AND('Selbstbeurteilung Kunde'!D428="",'Selbstbeurteilung Kunde'!E428=""),"*","")</f>
        <v>*</v>
      </c>
      <c r="E418" s="50" t="str">
        <f>IF(ISBLANK('Selbstbeurteilung Kunde'!F428),"",'Selbstbeurteilung Kunde'!F428)</f>
        <v/>
      </c>
      <c r="F418" s="287"/>
      <c r="G418" s="287"/>
      <c r="H418" s="287"/>
      <c r="I418" s="287"/>
      <c r="J418" s="287"/>
      <c r="K418" s="287"/>
      <c r="L418" s="279"/>
      <c r="M418" s="47">
        <v>1</v>
      </c>
      <c r="N418" s="34"/>
      <c r="O418" s="35">
        <f t="shared" si="70"/>
        <v>0</v>
      </c>
      <c r="P418" s="54">
        <f t="shared" si="71"/>
        <v>0</v>
      </c>
      <c r="Q418" s="46"/>
      <c r="R418" s="34"/>
    </row>
    <row r="419" spans="1:18" ht="39.6" x14ac:dyDescent="0.3">
      <c r="A419" s="3" t="str">
        <f>'Selbstbeurteilung Kunde'!A429</f>
        <v>7.2.7.a</v>
      </c>
      <c r="B419" s="6" t="str">
        <f>'Selbstbeurteilung Kunde'!C429</f>
        <v>Ist festgelegt, wer bei besonderen Ereignissen (Unfälle, Brände, usw.) die folgenden Personen/Stellen informiert?
Angehörige von Verletzten?</v>
      </c>
      <c r="C419" s="49">
        <f>IF(ISBLANK('Selbstbeurteilung Kunde'!D429),0,1)</f>
        <v>0</v>
      </c>
      <c r="D419" s="49" t="str">
        <f>IF(AND('Selbstbeurteilung Kunde'!D429="",'Selbstbeurteilung Kunde'!E429=""),"*","")</f>
        <v>*</v>
      </c>
      <c r="E419" s="50" t="str">
        <f>IF(ISBLANK('Selbstbeurteilung Kunde'!F429),"",'Selbstbeurteilung Kunde'!F429)</f>
        <v/>
      </c>
      <c r="F419" s="287"/>
      <c r="G419" s="287"/>
      <c r="H419" s="287"/>
      <c r="I419" s="287"/>
      <c r="J419" s="287"/>
      <c r="K419" s="287"/>
      <c r="L419" s="279"/>
      <c r="M419" s="47">
        <v>1</v>
      </c>
      <c r="N419" s="34"/>
      <c r="O419" s="35">
        <f t="shared" si="70"/>
        <v>0</v>
      </c>
      <c r="P419" s="54">
        <f t="shared" si="71"/>
        <v>0</v>
      </c>
      <c r="Q419" s="46"/>
      <c r="R419" s="34"/>
    </row>
    <row r="420" spans="1:18" x14ac:dyDescent="0.3">
      <c r="A420" s="3" t="str">
        <f>'Selbstbeurteilung Kunde'!A430</f>
        <v>7.2.7.b</v>
      </c>
      <c r="B420" s="6" t="str">
        <f>'Selbstbeurteilung Kunde'!C430</f>
        <v>Versicherungen?</v>
      </c>
      <c r="C420" s="49">
        <f>IF(ISBLANK('Selbstbeurteilung Kunde'!D430),0,1)</f>
        <v>0</v>
      </c>
      <c r="D420" s="49" t="str">
        <f>IF(AND('Selbstbeurteilung Kunde'!D430="",'Selbstbeurteilung Kunde'!E430=""),"*","")</f>
        <v>*</v>
      </c>
      <c r="E420" s="50" t="str">
        <f>IF(ISBLANK('Selbstbeurteilung Kunde'!F430),"",'Selbstbeurteilung Kunde'!F430)</f>
        <v/>
      </c>
      <c r="F420" s="287"/>
      <c r="G420" s="287"/>
      <c r="H420" s="287"/>
      <c r="I420" s="287"/>
      <c r="J420" s="287"/>
      <c r="K420" s="287"/>
      <c r="L420" s="279"/>
      <c r="M420" s="47">
        <v>0</v>
      </c>
      <c r="N420" s="34"/>
      <c r="O420" s="35">
        <f t="shared" si="70"/>
        <v>0</v>
      </c>
      <c r="P420" s="54">
        <f t="shared" si="71"/>
        <v>0</v>
      </c>
      <c r="Q420" s="46"/>
      <c r="R420" s="34"/>
    </row>
    <row r="421" spans="1:18" x14ac:dyDescent="0.3">
      <c r="A421" s="3" t="str">
        <f>'Selbstbeurteilung Kunde'!A431</f>
        <v>7.2.7.c</v>
      </c>
      <c r="B421" s="6" t="str">
        <f>'Selbstbeurteilung Kunde'!C431</f>
        <v>Amtsstellen?</v>
      </c>
      <c r="C421" s="49">
        <f>IF(ISBLANK('Selbstbeurteilung Kunde'!D431),0,1)</f>
        <v>0</v>
      </c>
      <c r="D421" s="49" t="str">
        <f>IF(AND('Selbstbeurteilung Kunde'!D431="",'Selbstbeurteilung Kunde'!E431=""),"*","")</f>
        <v>*</v>
      </c>
      <c r="E421" s="50" t="str">
        <f>IF(ISBLANK('Selbstbeurteilung Kunde'!F431),"",'Selbstbeurteilung Kunde'!F431)</f>
        <v/>
      </c>
      <c r="F421" s="290"/>
      <c r="G421" s="290"/>
      <c r="H421" s="290"/>
      <c r="I421" s="290"/>
      <c r="J421" s="290"/>
      <c r="K421" s="290"/>
      <c r="L421" s="279"/>
      <c r="M421" s="47">
        <v>0</v>
      </c>
      <c r="N421" s="34"/>
      <c r="O421" s="35">
        <f t="shared" si="70"/>
        <v>0</v>
      </c>
      <c r="P421" s="54">
        <f t="shared" si="71"/>
        <v>0</v>
      </c>
      <c r="Q421" s="46"/>
      <c r="R421" s="34"/>
    </row>
    <row r="422" spans="1:18" x14ac:dyDescent="0.3">
      <c r="A422" s="3" t="str">
        <f>'Selbstbeurteilung Kunde'!A432</f>
        <v>7.2.7.d</v>
      </c>
      <c r="B422" s="6" t="str">
        <f>'Selbstbeurteilung Kunde'!C432</f>
        <v>Die Medien?</v>
      </c>
      <c r="C422" s="49">
        <f>IF(ISBLANK('Selbstbeurteilung Kunde'!D432),0,1)</f>
        <v>0</v>
      </c>
      <c r="D422" s="49" t="str">
        <f>IF(AND('Selbstbeurteilung Kunde'!D432="",'Selbstbeurteilung Kunde'!E432=""),"*","")</f>
        <v>*</v>
      </c>
      <c r="E422" s="50" t="str">
        <f>IF(ISBLANK('Selbstbeurteilung Kunde'!F432),"",'Selbstbeurteilung Kunde'!F432)</f>
        <v/>
      </c>
      <c r="F422" s="290"/>
      <c r="G422" s="290"/>
      <c r="H422" s="290"/>
      <c r="I422" s="290"/>
      <c r="J422" s="290"/>
      <c r="K422" s="290"/>
      <c r="L422" s="279"/>
      <c r="M422" s="47">
        <v>0</v>
      </c>
      <c r="N422" s="34"/>
      <c r="O422" s="35">
        <f t="shared" si="70"/>
        <v>0</v>
      </c>
      <c r="P422" s="54">
        <f t="shared" si="71"/>
        <v>0</v>
      </c>
      <c r="Q422" s="46"/>
      <c r="R422" s="46"/>
    </row>
    <row r="423" spans="1:18" x14ac:dyDescent="0.3">
      <c r="A423" s="27" t="str">
        <f>'Selbstbeurteilung Kunde'!A433</f>
        <v>7.3.</v>
      </c>
      <c r="B423" s="27" t="str">
        <f>'Selbstbeurteilung Kunde'!B433</f>
        <v>Brandschutz</v>
      </c>
      <c r="C423" s="28">
        <f>O423/N423</f>
        <v>0</v>
      </c>
      <c r="D423" s="350"/>
      <c r="E423" s="37" t="str">
        <f>IF(ISBLANK('Selbstbeurteilung Kunde'!F433),"",'Selbstbeurteilung Kunde'!F433)</f>
        <v/>
      </c>
      <c r="F423" s="282"/>
      <c r="G423" s="282"/>
      <c r="H423" s="282"/>
      <c r="I423" s="282"/>
      <c r="J423" s="282"/>
      <c r="K423" s="282"/>
      <c r="L423" s="63">
        <f>P423/N423</f>
        <v>0</v>
      </c>
      <c r="M423" s="29">
        <v>1</v>
      </c>
      <c r="N423" s="29">
        <f>SUM(M424:M428)</f>
        <v>9</v>
      </c>
      <c r="O423" s="31">
        <f>SUM(O424:O428)</f>
        <v>0</v>
      </c>
      <c r="P423" s="31">
        <f>SUM(P424:P428)</f>
        <v>0</v>
      </c>
      <c r="Q423" s="65">
        <f>O423/$N423*$M423</f>
        <v>0</v>
      </c>
      <c r="R423" s="65">
        <f>P423/$N423*$M423</f>
        <v>0</v>
      </c>
    </row>
    <row r="424" spans="1:18" ht="26.4" x14ac:dyDescent="0.3">
      <c r="A424" s="3" t="str">
        <f>'Selbstbeurteilung Kunde'!A434</f>
        <v>7.3.1.</v>
      </c>
      <c r="B424" s="6" t="str">
        <f>'Selbstbeurteilung Kunde'!C434</f>
        <v>Verfügen Sie über eine betriebsinterne Brandschutzorganisation?</v>
      </c>
      <c r="C424" s="49">
        <f>IF(ISBLANK('Selbstbeurteilung Kunde'!D434),0,1)</f>
        <v>0</v>
      </c>
      <c r="D424" s="49" t="str">
        <f>IF(AND('Selbstbeurteilung Kunde'!D434="",'Selbstbeurteilung Kunde'!E434=""),"*","")</f>
        <v>*</v>
      </c>
      <c r="E424" s="50" t="str">
        <f>IF(ISBLANK('Selbstbeurteilung Kunde'!F434),"",'Selbstbeurteilung Kunde'!F434)</f>
        <v/>
      </c>
      <c r="F424" s="287"/>
      <c r="G424" s="287"/>
      <c r="H424" s="287"/>
      <c r="I424" s="287"/>
      <c r="J424" s="287"/>
      <c r="K424" s="287"/>
      <c r="L424" s="279"/>
      <c r="M424" s="47">
        <v>1</v>
      </c>
      <c r="N424" s="34"/>
      <c r="O424" s="35">
        <f>C424*M424</f>
        <v>0</v>
      </c>
      <c r="P424" s="54">
        <f t="shared" ref="P424:P428" si="72">L424*M424</f>
        <v>0</v>
      </c>
      <c r="Q424" s="46"/>
      <c r="R424" s="34"/>
    </row>
    <row r="425" spans="1:18" ht="39.6" x14ac:dyDescent="0.3">
      <c r="A425" s="3" t="str">
        <f>'Selbstbeurteilung Kunde'!A435</f>
        <v>7.3.2.</v>
      </c>
      <c r="B425" s="6" t="str">
        <f>'Selbstbeurteilung Kunde'!C435</f>
        <v>Bestehen eine zweckmässige Brandmeldeorganisation (Alarmorganisation) und entsprechende Brandmeldeeinrichtungen?</v>
      </c>
      <c r="C425" s="49">
        <f>IF(ISBLANK('Selbstbeurteilung Kunde'!D435),0,1)</f>
        <v>0</v>
      </c>
      <c r="D425" s="49" t="str">
        <f>IF(AND('Selbstbeurteilung Kunde'!D435="",'Selbstbeurteilung Kunde'!E435=""),"*","")</f>
        <v>*</v>
      </c>
      <c r="E425" s="50" t="str">
        <f>IF(ISBLANK('Selbstbeurteilung Kunde'!F435),"",'Selbstbeurteilung Kunde'!F435)</f>
        <v/>
      </c>
      <c r="F425" s="287"/>
      <c r="G425" s="287"/>
      <c r="H425" s="287"/>
      <c r="I425" s="287"/>
      <c r="J425" s="287"/>
      <c r="K425" s="287"/>
      <c r="L425" s="279"/>
      <c r="M425" s="47">
        <v>3</v>
      </c>
      <c r="N425" s="34"/>
      <c r="O425" s="35">
        <f>C425*M425</f>
        <v>0</v>
      </c>
      <c r="P425" s="54">
        <f t="shared" si="72"/>
        <v>0</v>
      </c>
      <c r="Q425" s="46"/>
      <c r="R425" s="34"/>
    </row>
    <row r="426" spans="1:18" ht="26.4" x14ac:dyDescent="0.3">
      <c r="A426" s="3" t="str">
        <f>'Selbstbeurteilung Kunde'!A436</f>
        <v>7.3.3.</v>
      </c>
      <c r="B426" s="6" t="str">
        <f>'Selbstbeurteilung Kunde'!C436</f>
        <v>Sind die Beschäftigten über das Verhalten bei einem Brand instruiert?</v>
      </c>
      <c r="C426" s="49">
        <f>IF(ISBLANK('Selbstbeurteilung Kunde'!D436),0,1)</f>
        <v>0</v>
      </c>
      <c r="D426" s="49" t="str">
        <f>IF(AND('Selbstbeurteilung Kunde'!D436="",'Selbstbeurteilung Kunde'!E436=""),"*","")</f>
        <v>*</v>
      </c>
      <c r="E426" s="50" t="str">
        <f>IF(ISBLANK('Selbstbeurteilung Kunde'!F436),"",'Selbstbeurteilung Kunde'!F436)</f>
        <v/>
      </c>
      <c r="F426" s="287"/>
      <c r="G426" s="287"/>
      <c r="H426" s="287"/>
      <c r="I426" s="287"/>
      <c r="J426" s="287"/>
      <c r="K426" s="287"/>
      <c r="L426" s="279"/>
      <c r="M426" s="47">
        <v>3</v>
      </c>
      <c r="N426" s="34"/>
      <c r="O426" s="35">
        <f>C426*M426</f>
        <v>0</v>
      </c>
      <c r="P426" s="54">
        <f t="shared" si="72"/>
        <v>0</v>
      </c>
      <c r="Q426" s="46"/>
      <c r="R426" s="34"/>
    </row>
    <row r="427" spans="1:18" ht="39.6" x14ac:dyDescent="0.3">
      <c r="A427" s="3" t="str">
        <f>'Selbstbeurteilung Kunde'!A437</f>
        <v>7.3.4.</v>
      </c>
      <c r="B427" s="6" t="str">
        <f>'Selbstbeurteilung Kunde'!C437</f>
        <v xml:space="preserve">Werden praktische Übungen bezüglich des Verhaltens bei einem Brand durchgeführt? Wenn ja, wann wurde die letzte Übung durchgeführt? </v>
      </c>
      <c r="C427" s="49">
        <f>IF(ISBLANK('Selbstbeurteilung Kunde'!D437),0,1)</f>
        <v>0</v>
      </c>
      <c r="D427" s="49" t="str">
        <f>IF(AND('Selbstbeurteilung Kunde'!D437="",'Selbstbeurteilung Kunde'!E437=""),"*","")</f>
        <v>*</v>
      </c>
      <c r="E427" s="50" t="str">
        <f>IF(ISBLANK('Selbstbeurteilung Kunde'!F437),"",'Selbstbeurteilung Kunde'!F437)</f>
        <v/>
      </c>
      <c r="F427" s="287"/>
      <c r="G427" s="287"/>
      <c r="H427" s="287"/>
      <c r="I427" s="287"/>
      <c r="J427" s="287"/>
      <c r="K427" s="287"/>
      <c r="L427" s="279"/>
      <c r="M427" s="47">
        <v>1</v>
      </c>
      <c r="N427" s="34"/>
      <c r="O427" s="35">
        <f>C427*M427</f>
        <v>0</v>
      </c>
      <c r="P427" s="54">
        <f t="shared" si="72"/>
        <v>0</v>
      </c>
      <c r="Q427" s="46"/>
      <c r="R427" s="34"/>
    </row>
    <row r="428" spans="1:18" ht="26.4" x14ac:dyDescent="0.3">
      <c r="A428" s="3" t="str">
        <f>'Selbstbeurteilung Kunde'!A438</f>
        <v>7.3.5.</v>
      </c>
      <c r="B428" s="6" t="str">
        <f>'Selbstbeurteilung Kunde'!C438</f>
        <v>Haben an der letzten Übung alle Betriebsangehörige teilgenommen?</v>
      </c>
      <c r="C428" s="49">
        <f>IF(ISBLANK('Selbstbeurteilung Kunde'!D438),0,1)</f>
        <v>0</v>
      </c>
      <c r="D428" s="49" t="str">
        <f>IF(AND('Selbstbeurteilung Kunde'!D438="",'Selbstbeurteilung Kunde'!E438=""),"*","")</f>
        <v>*</v>
      </c>
      <c r="E428" s="50" t="str">
        <f>IF(ISBLANK('Selbstbeurteilung Kunde'!F438),"",'Selbstbeurteilung Kunde'!F438)</f>
        <v/>
      </c>
      <c r="F428" s="287"/>
      <c r="G428" s="287"/>
      <c r="H428" s="287"/>
      <c r="I428" s="287"/>
      <c r="J428" s="287"/>
      <c r="K428" s="287"/>
      <c r="L428" s="279"/>
      <c r="M428" s="47">
        <v>1</v>
      </c>
      <c r="N428" s="34"/>
      <c r="O428" s="35">
        <f>C428*M428</f>
        <v>0</v>
      </c>
      <c r="P428" s="54">
        <f t="shared" si="72"/>
        <v>0</v>
      </c>
      <c r="Q428" s="46"/>
      <c r="R428" s="34"/>
    </row>
    <row r="429" spans="1:18" x14ac:dyDescent="0.3">
      <c r="A429" s="44" t="str">
        <f>'Selbstbeurteilung Kunde'!A440</f>
        <v>8.</v>
      </c>
      <c r="B429" s="7" t="str">
        <f>'Selbstbeurteilung Kunde'!B440</f>
        <v>Mitwirkung</v>
      </c>
      <c r="C429" s="40">
        <f>O429/N429</f>
        <v>0</v>
      </c>
      <c r="D429" s="40"/>
      <c r="E429" s="36"/>
      <c r="F429" s="25"/>
      <c r="G429" s="25"/>
      <c r="H429" s="25"/>
      <c r="I429" s="25"/>
      <c r="J429" s="25"/>
      <c r="K429" s="25"/>
      <c r="L429" s="281">
        <f>P429/N429</f>
        <v>0</v>
      </c>
      <c r="M429" s="5"/>
      <c r="N429" s="5">
        <f>SUM(M430,M437)</f>
        <v>6</v>
      </c>
      <c r="O429" s="61">
        <f>SUM(Q430:Q444)</f>
        <v>0</v>
      </c>
      <c r="P429" s="61">
        <f>SUM(R430:R444)</f>
        <v>0</v>
      </c>
      <c r="Q429" s="45"/>
      <c r="R429" s="45"/>
    </row>
    <row r="430" spans="1:18" x14ac:dyDescent="0.3">
      <c r="A430" s="27" t="str">
        <f>'Selbstbeurteilung Kunde'!A442</f>
        <v>8.1.</v>
      </c>
      <c r="B430" s="27" t="str">
        <f>'Selbstbeurteilung Kunde'!B442</f>
        <v>Mitwirkung der Mitarbeitenden</v>
      </c>
      <c r="C430" s="28">
        <f>O430/N430</f>
        <v>0</v>
      </c>
      <c r="D430" s="350"/>
      <c r="E430" s="37"/>
      <c r="F430" s="282"/>
      <c r="G430" s="282"/>
      <c r="H430" s="282"/>
      <c r="I430" s="282"/>
      <c r="J430" s="282"/>
      <c r="K430" s="282"/>
      <c r="L430" s="63">
        <f>P430/N430</f>
        <v>0</v>
      </c>
      <c r="M430" s="29">
        <v>3</v>
      </c>
      <c r="N430" s="29">
        <f>SUM(M431:M436)</f>
        <v>9</v>
      </c>
      <c r="O430" s="31">
        <f>SUM(O431:O436)</f>
        <v>0</v>
      </c>
      <c r="P430" s="31">
        <f>SUM(P431:P436)</f>
        <v>0</v>
      </c>
      <c r="Q430" s="65">
        <f>O430/$N430*$M430</f>
        <v>0</v>
      </c>
      <c r="R430" s="65">
        <f>P430/$N430*$M430</f>
        <v>0</v>
      </c>
    </row>
    <row r="431" spans="1:18" ht="66" x14ac:dyDescent="0.3">
      <c r="A431" s="3" t="str">
        <f>'Selbstbeurteilung Kunde'!A443</f>
        <v>8.1.1.</v>
      </c>
      <c r="B431" s="6" t="str">
        <f>'Selbstbeurteilung Kunde'!C443</f>
        <v>Ist die Information und Mitsprache der Mitarbeitenden gemäss Mitwirkungsgesetz* geregelt?
* Mitwirkungsgesetz: Bundesgesetz über die Information und Mitsprache der Arbeitnehmerinnen und Arbeitnehmer in den Betrieben</v>
      </c>
      <c r="C431" s="49">
        <f>IF(ISBLANK('Selbstbeurteilung Kunde'!D443),0,1)</f>
        <v>0</v>
      </c>
      <c r="D431" s="49" t="str">
        <f>IF(AND('Selbstbeurteilung Kunde'!D443="",'Selbstbeurteilung Kunde'!E443=""),"*","")</f>
        <v>*</v>
      </c>
      <c r="E431" s="50" t="str">
        <f>IF(ISBLANK('Selbstbeurteilung Kunde'!F443),"",'Selbstbeurteilung Kunde'!F443)</f>
        <v/>
      </c>
      <c r="F431" s="287"/>
      <c r="G431" s="287"/>
      <c r="H431" s="287"/>
      <c r="I431" s="287"/>
      <c r="J431" s="287"/>
      <c r="K431" s="287"/>
      <c r="L431" s="279"/>
      <c r="M431" s="47">
        <v>3</v>
      </c>
      <c r="N431" s="34"/>
      <c r="O431" s="35">
        <f t="shared" ref="O431:O436" si="73">C431*M431</f>
        <v>0</v>
      </c>
      <c r="P431" s="54">
        <f t="shared" ref="P431:P436" si="74">L431*M431</f>
        <v>0</v>
      </c>
      <c r="Q431" s="46"/>
      <c r="R431" s="34"/>
    </row>
    <row r="432" spans="1:18" ht="39.6" x14ac:dyDescent="0.3">
      <c r="A432" s="3" t="str">
        <f>'Selbstbeurteilung Kunde'!A444</f>
        <v>8.1.2.a</v>
      </c>
      <c r="B432" s="6" t="str">
        <f>'Selbstbeurteilung Kunde'!C444</f>
        <v>Welche Form der Arbeitnehmervertretung besteht in Ihrem Unternehmen:
Einzelne Mitarbeiterinnen und Mitarbeiter direkt?</v>
      </c>
      <c r="C432" s="49">
        <f>IF(ISBLANK('Selbstbeurteilung Kunde'!D444),0,1)</f>
        <v>0</v>
      </c>
      <c r="D432" s="49" t="str">
        <f>IF(AND('Selbstbeurteilung Kunde'!D444="",'Selbstbeurteilung Kunde'!E444=""),"*","")</f>
        <v>*</v>
      </c>
      <c r="E432" s="50" t="str">
        <f>IF(ISBLANK('Selbstbeurteilung Kunde'!F444),"",'Selbstbeurteilung Kunde'!F444)</f>
        <v/>
      </c>
      <c r="F432" s="287"/>
      <c r="G432" s="287"/>
      <c r="H432" s="287"/>
      <c r="I432" s="287"/>
      <c r="J432" s="287"/>
      <c r="K432" s="287"/>
      <c r="L432" s="279"/>
      <c r="M432" s="47">
        <v>0</v>
      </c>
      <c r="N432" s="34"/>
      <c r="O432" s="35">
        <f t="shared" si="73"/>
        <v>0</v>
      </c>
      <c r="P432" s="54">
        <f t="shared" si="74"/>
        <v>0</v>
      </c>
      <c r="Q432" s="46"/>
      <c r="R432" s="34"/>
    </row>
    <row r="433" spans="1:18" x14ac:dyDescent="0.3">
      <c r="A433" s="3" t="str">
        <f>'Selbstbeurteilung Kunde'!A445</f>
        <v>8.1.2.b</v>
      </c>
      <c r="B433" s="6" t="str">
        <f>'Selbstbeurteilung Kunde'!C445</f>
        <v>Von den Arbeitnehmenden gewählte Vertretung?</v>
      </c>
      <c r="C433" s="49">
        <f>IF(ISBLANK('Selbstbeurteilung Kunde'!D445),0,1)</f>
        <v>0</v>
      </c>
      <c r="D433" s="49" t="str">
        <f>IF(AND('Selbstbeurteilung Kunde'!D445="",'Selbstbeurteilung Kunde'!E445=""),"*","")</f>
        <v>*</v>
      </c>
      <c r="E433" s="50" t="str">
        <f>IF(ISBLANK('Selbstbeurteilung Kunde'!F445),"",'Selbstbeurteilung Kunde'!F445)</f>
        <v/>
      </c>
      <c r="F433" s="287"/>
      <c r="G433" s="287"/>
      <c r="H433" s="287"/>
      <c r="I433" s="287"/>
      <c r="J433" s="287"/>
      <c r="K433" s="287"/>
      <c r="L433" s="279"/>
      <c r="M433" s="47">
        <v>0</v>
      </c>
      <c r="N433" s="34"/>
      <c r="O433" s="35">
        <f t="shared" si="73"/>
        <v>0</v>
      </c>
      <c r="P433" s="54">
        <f t="shared" si="74"/>
        <v>0</v>
      </c>
      <c r="Q433" s="46"/>
      <c r="R433" s="34"/>
    </row>
    <row r="434" spans="1:18" ht="39.6" x14ac:dyDescent="0.3">
      <c r="A434" s="3" t="str">
        <f>'Selbstbeurteilung Kunde'!A446</f>
        <v>8.1.3.</v>
      </c>
      <c r="B434" s="6" t="str">
        <f>'Selbstbeurteilung Kunde'!C446</f>
        <v>Ist die rechtzeitige und umfassende Information der Mitarbeitenden bzw. der Arbeitnehmervertretung sichergestellt?</v>
      </c>
      <c r="C434" s="49">
        <f>IF(ISBLANK('Selbstbeurteilung Kunde'!D446),0,1)</f>
        <v>0</v>
      </c>
      <c r="D434" s="49" t="str">
        <f>IF(AND('Selbstbeurteilung Kunde'!D446="",'Selbstbeurteilung Kunde'!E446=""),"*","")</f>
        <v>*</v>
      </c>
      <c r="E434" s="50" t="str">
        <f>IF(ISBLANK('Selbstbeurteilung Kunde'!F446),"",'Selbstbeurteilung Kunde'!F446)</f>
        <v/>
      </c>
      <c r="F434" s="287"/>
      <c r="G434" s="287"/>
      <c r="H434" s="287"/>
      <c r="I434" s="287"/>
      <c r="J434" s="287"/>
      <c r="K434" s="287"/>
      <c r="L434" s="279"/>
      <c r="M434" s="47">
        <v>3</v>
      </c>
      <c r="N434" s="34"/>
      <c r="O434" s="35">
        <f t="shared" si="73"/>
        <v>0</v>
      </c>
      <c r="P434" s="54">
        <f t="shared" si="74"/>
        <v>0</v>
      </c>
      <c r="Q434" s="46"/>
      <c r="R434" s="34"/>
    </row>
    <row r="435" spans="1:18" ht="52.8" x14ac:dyDescent="0.3">
      <c r="A435" s="3" t="str">
        <f>'Selbstbeurteilung Kunde'!A447</f>
        <v>8.1.4.</v>
      </c>
      <c r="B435" s="6" t="str">
        <f>'Selbstbeurteilung Kunde'!C447</f>
        <v>Sind die besonderen Mitwirkungsrechte der Mitarbeitenden bzw. der Arbeitnehmervertretung in Belangen der Arbeitssicherheit und des Gesundheitsschutzes gewährleistet?</v>
      </c>
      <c r="C435" s="49">
        <f>IF(ISBLANK('Selbstbeurteilung Kunde'!D447),0,1)</f>
        <v>0</v>
      </c>
      <c r="D435" s="49" t="str">
        <f>IF(AND('Selbstbeurteilung Kunde'!D447="",'Selbstbeurteilung Kunde'!E447=""),"*","")</f>
        <v>*</v>
      </c>
      <c r="E435" s="50" t="str">
        <f>IF(ISBLANK('Selbstbeurteilung Kunde'!F447),"",'Selbstbeurteilung Kunde'!F447)</f>
        <v/>
      </c>
      <c r="F435" s="290"/>
      <c r="G435" s="290"/>
      <c r="H435" s="290"/>
      <c r="I435" s="290"/>
      <c r="J435" s="290"/>
      <c r="K435" s="290"/>
      <c r="L435" s="279"/>
      <c r="M435" s="47">
        <v>3</v>
      </c>
      <c r="N435" s="34"/>
      <c r="O435" s="35">
        <f t="shared" si="73"/>
        <v>0</v>
      </c>
      <c r="P435" s="54">
        <f t="shared" si="74"/>
        <v>0</v>
      </c>
      <c r="Q435" s="46"/>
      <c r="R435" s="46"/>
    </row>
    <row r="436" spans="1:18" ht="26.4" x14ac:dyDescent="0.3">
      <c r="A436" s="3" t="str">
        <f>'Selbstbeurteilung Kunde'!A448</f>
        <v>8.1.5.</v>
      </c>
      <c r="B436" s="6" t="str">
        <f>'Selbstbeurteilung Kunde'!C448</f>
        <v>Wird die Arbeitnehmervertretung von Arbeitgeberseite in ihrer Tätigkeit unterstützt?</v>
      </c>
      <c r="C436" s="49">
        <f>IF(ISBLANK('Selbstbeurteilung Kunde'!D448),0,1)</f>
        <v>0</v>
      </c>
      <c r="D436" s="49" t="str">
        <f>IF(AND('Selbstbeurteilung Kunde'!D448="",'Selbstbeurteilung Kunde'!E448=""),"*","")</f>
        <v>*</v>
      </c>
      <c r="E436" s="50" t="str">
        <f>IF(ISBLANK('Selbstbeurteilung Kunde'!F448),"",'Selbstbeurteilung Kunde'!F448)</f>
        <v/>
      </c>
      <c r="F436" s="287"/>
      <c r="G436" s="287"/>
      <c r="H436" s="287"/>
      <c r="I436" s="287"/>
      <c r="J436" s="287"/>
      <c r="K436" s="287"/>
      <c r="L436" s="279"/>
      <c r="M436" s="47">
        <v>0</v>
      </c>
      <c r="N436" s="34"/>
      <c r="O436" s="35">
        <f t="shared" si="73"/>
        <v>0</v>
      </c>
      <c r="P436" s="54">
        <f t="shared" si="74"/>
        <v>0</v>
      </c>
      <c r="Q436" s="46"/>
      <c r="R436" s="34"/>
    </row>
    <row r="437" spans="1:18" x14ac:dyDescent="0.3">
      <c r="A437" s="27" t="str">
        <f>'Selbstbeurteilung Kunde'!A449</f>
        <v>8.2.</v>
      </c>
      <c r="B437" s="27" t="str">
        <f>'Selbstbeurteilung Kunde'!B449</f>
        <v>Vorschlagwesen, Anreizsystem</v>
      </c>
      <c r="C437" s="28">
        <f>O437/N437</f>
        <v>0</v>
      </c>
      <c r="D437" s="350"/>
      <c r="E437" s="37" t="str">
        <f>IF(ISBLANK('Selbstbeurteilung Kunde'!F449),"",'Selbstbeurteilung Kunde'!F449)</f>
        <v/>
      </c>
      <c r="F437" s="282"/>
      <c r="G437" s="282"/>
      <c r="H437" s="282"/>
      <c r="I437" s="282"/>
      <c r="J437" s="282"/>
      <c r="K437" s="282"/>
      <c r="L437" s="63">
        <f>P437/N437</f>
        <v>0</v>
      </c>
      <c r="M437" s="29">
        <v>3</v>
      </c>
      <c r="N437" s="29">
        <f>SUM(M438:M444)</f>
        <v>11</v>
      </c>
      <c r="O437" s="31">
        <f>SUM(O438:O444)</f>
        <v>0</v>
      </c>
      <c r="P437" s="31">
        <f>SUM(P438:P444)</f>
        <v>0</v>
      </c>
      <c r="Q437" s="65">
        <f>O437/$N437*$M437</f>
        <v>0</v>
      </c>
      <c r="R437" s="65">
        <f>P437/$N437*$M437</f>
        <v>0</v>
      </c>
    </row>
    <row r="438" spans="1:18" ht="26.4" x14ac:dyDescent="0.3">
      <c r="A438" s="3" t="str">
        <f>'Selbstbeurteilung Kunde'!A450</f>
        <v>8.2.1.</v>
      </c>
      <c r="B438" s="6" t="str">
        <f>'Selbstbeurteilung Kunde'!C450</f>
        <v>Ist in Ihrem Unternehmen ein Vorschlagswesen institutionalisiert?</v>
      </c>
      <c r="C438" s="49">
        <f>IF(ISBLANK('Selbstbeurteilung Kunde'!D450),0,1)</f>
        <v>0</v>
      </c>
      <c r="D438" s="49" t="str">
        <f>IF(AND('Selbstbeurteilung Kunde'!D450="",'Selbstbeurteilung Kunde'!E450=""),"*","")</f>
        <v>*</v>
      </c>
      <c r="E438" s="50" t="str">
        <f>IF(ISBLANK('Selbstbeurteilung Kunde'!F450),"",'Selbstbeurteilung Kunde'!F450)</f>
        <v/>
      </c>
      <c r="F438" s="287"/>
      <c r="G438" s="287"/>
      <c r="H438" s="287"/>
      <c r="I438" s="287"/>
      <c r="J438" s="287"/>
      <c r="K438" s="287"/>
      <c r="L438" s="279"/>
      <c r="M438" s="47">
        <v>1</v>
      </c>
      <c r="N438" s="34"/>
      <c r="O438" s="35">
        <f t="shared" ref="O438:O444" si="75">C438*M438</f>
        <v>0</v>
      </c>
      <c r="P438" s="54">
        <f t="shared" ref="P438:P444" si="76">L438*M438</f>
        <v>0</v>
      </c>
      <c r="Q438" s="46"/>
      <c r="R438" s="34"/>
    </row>
    <row r="439" spans="1:18" ht="26.4" x14ac:dyDescent="0.3">
      <c r="A439" s="3" t="str">
        <f>'Selbstbeurteilung Kunde'!A451</f>
        <v>8.2.2.</v>
      </c>
      <c r="B439" s="6" t="str">
        <f>'Selbstbeurteilung Kunde'!C451</f>
        <v>Werden Vorschläge bezüglich Sicherheit und Gesundheitsschutz ausdrücklich gewünscht?</v>
      </c>
      <c r="C439" s="49">
        <f>IF(ISBLANK('Selbstbeurteilung Kunde'!D451),0,1)</f>
        <v>0</v>
      </c>
      <c r="D439" s="49" t="str">
        <f>IF(AND('Selbstbeurteilung Kunde'!D451="",'Selbstbeurteilung Kunde'!E451=""),"*","")</f>
        <v>*</v>
      </c>
      <c r="E439" s="50" t="str">
        <f>IF(ISBLANK('Selbstbeurteilung Kunde'!F451),"",'Selbstbeurteilung Kunde'!F451)</f>
        <v/>
      </c>
      <c r="F439" s="287"/>
      <c r="G439" s="287"/>
      <c r="H439" s="287"/>
      <c r="I439" s="287"/>
      <c r="J439" s="287"/>
      <c r="K439" s="287"/>
      <c r="L439" s="279"/>
      <c r="M439" s="47">
        <v>3</v>
      </c>
      <c r="N439" s="34"/>
      <c r="O439" s="35">
        <f t="shared" si="75"/>
        <v>0</v>
      </c>
      <c r="P439" s="54">
        <f t="shared" si="76"/>
        <v>0</v>
      </c>
      <c r="Q439" s="46"/>
      <c r="R439" s="34"/>
    </row>
    <row r="440" spans="1:18" ht="26.4" x14ac:dyDescent="0.3">
      <c r="A440" s="3" t="str">
        <f>'Selbstbeurteilung Kunde'!A452</f>
        <v>8.2.3.</v>
      </c>
      <c r="B440" s="6" t="str">
        <f>'Selbstbeurteilung Kunde'!C452</f>
        <v>Wurden in den letzten 12 Monaten Vorschläge gemacht? Wenn ja, wie viele?</v>
      </c>
      <c r="C440" s="49">
        <f>IF(ISBLANK('Selbstbeurteilung Kunde'!D452),0,1)</f>
        <v>0</v>
      </c>
      <c r="D440" s="49" t="str">
        <f>IF(AND('Selbstbeurteilung Kunde'!D452="",'Selbstbeurteilung Kunde'!E452=""),"*","")</f>
        <v>*</v>
      </c>
      <c r="E440" s="50" t="str">
        <f>IF(ISBLANK('Selbstbeurteilung Kunde'!F452),"",'Selbstbeurteilung Kunde'!F452)</f>
        <v/>
      </c>
      <c r="F440" s="287"/>
      <c r="G440" s="287"/>
      <c r="H440" s="287"/>
      <c r="I440" s="287"/>
      <c r="J440" s="287"/>
      <c r="K440" s="287"/>
      <c r="L440" s="279"/>
      <c r="M440" s="47">
        <v>0</v>
      </c>
      <c r="N440" s="34"/>
      <c r="O440" s="35">
        <f t="shared" si="75"/>
        <v>0</v>
      </c>
      <c r="P440" s="54">
        <f t="shared" si="76"/>
        <v>0</v>
      </c>
      <c r="Q440" s="46"/>
      <c r="R440" s="34"/>
    </row>
    <row r="441" spans="1:18" ht="39.6" x14ac:dyDescent="0.3">
      <c r="A441" s="3" t="str">
        <f>'Selbstbeurteilung Kunde'!A453</f>
        <v>8.2.4.</v>
      </c>
      <c r="B441" s="6" t="str">
        <f>'Selbstbeurteilung Kunde'!C453</f>
        <v>Wurden in den letzten 12 Monaten Vorschläge gemacht, welche im weitesten Sinne die Sicherheit und den Gesundheitsschutz betrafen? Wenn ja, wie viele?</v>
      </c>
      <c r="C441" s="49">
        <f>IF(ISBLANK('Selbstbeurteilung Kunde'!D453),0,1)</f>
        <v>0</v>
      </c>
      <c r="D441" s="49" t="str">
        <f>IF(AND('Selbstbeurteilung Kunde'!D453="",'Selbstbeurteilung Kunde'!E453=""),"*","")</f>
        <v>*</v>
      </c>
      <c r="E441" s="50" t="str">
        <f>IF(ISBLANK('Selbstbeurteilung Kunde'!F453),"",'Selbstbeurteilung Kunde'!F453)</f>
        <v/>
      </c>
      <c r="F441" s="287"/>
      <c r="G441" s="287"/>
      <c r="H441" s="287"/>
      <c r="I441" s="287"/>
      <c r="J441" s="287"/>
      <c r="K441" s="287"/>
      <c r="L441" s="279"/>
      <c r="M441" s="47">
        <v>2</v>
      </c>
      <c r="N441" s="34"/>
      <c r="O441" s="35">
        <f t="shared" si="75"/>
        <v>0</v>
      </c>
      <c r="P441" s="54">
        <f t="shared" si="76"/>
        <v>0</v>
      </c>
      <c r="Q441" s="46"/>
      <c r="R441" s="34"/>
    </row>
    <row r="442" spans="1:18" ht="26.4" x14ac:dyDescent="0.3">
      <c r="A442" s="3" t="str">
        <f>'Selbstbeurteilung Kunde'!A454</f>
        <v>8.2.5.</v>
      </c>
      <c r="B442" s="6" t="str">
        <f>'Selbstbeurteilung Kunde'!C454</f>
        <v>Werden Vorschläge bezüglich der Verbesserung der Sicherheit honoriert? Wenn ja, wie?</v>
      </c>
      <c r="C442" s="49">
        <f>IF(ISBLANK('Selbstbeurteilung Kunde'!D454),0,1)</f>
        <v>0</v>
      </c>
      <c r="D442" s="49" t="str">
        <f>IF(AND('Selbstbeurteilung Kunde'!D454="",'Selbstbeurteilung Kunde'!E454=""),"*","")</f>
        <v>*</v>
      </c>
      <c r="E442" s="50" t="str">
        <f>IF(ISBLANK('Selbstbeurteilung Kunde'!F454),"",'Selbstbeurteilung Kunde'!F454)</f>
        <v/>
      </c>
      <c r="F442" s="287"/>
      <c r="G442" s="287"/>
      <c r="H442" s="287"/>
      <c r="I442" s="287"/>
      <c r="J442" s="287"/>
      <c r="K442" s="287"/>
      <c r="L442" s="279"/>
      <c r="M442" s="47">
        <v>1</v>
      </c>
      <c r="N442" s="34"/>
      <c r="O442" s="35">
        <f t="shared" si="75"/>
        <v>0</v>
      </c>
      <c r="P442" s="54">
        <f t="shared" si="76"/>
        <v>0</v>
      </c>
      <c r="Q442" s="46"/>
      <c r="R442" s="34"/>
    </row>
    <row r="443" spans="1:18" ht="52.8" x14ac:dyDescent="0.3">
      <c r="A443" s="3" t="str">
        <f>'Selbstbeurteilung Kunde'!A455</f>
        <v>8.2.6.</v>
      </c>
      <c r="B443" s="6" t="str">
        <f>'Selbstbeurteilung Kunde'!C455</f>
        <v>Kommt in Ihrem Unternehmen ein bestimmtes Anreizsystem zur Förderung der Sicherheit und Gesundheit zur Anwendung? Wenn ja, worin besteht dieses Anreizsystem?</v>
      </c>
      <c r="C443" s="49">
        <f>IF(ISBLANK('Selbstbeurteilung Kunde'!D455),0,1)</f>
        <v>0</v>
      </c>
      <c r="D443" s="49" t="str">
        <f>IF(AND('Selbstbeurteilung Kunde'!D455="",'Selbstbeurteilung Kunde'!E455=""),"*","")</f>
        <v>*</v>
      </c>
      <c r="E443" s="50" t="str">
        <f>IF(ISBLANK('Selbstbeurteilung Kunde'!F455),"",'Selbstbeurteilung Kunde'!F455)</f>
        <v/>
      </c>
      <c r="F443" s="287"/>
      <c r="G443" s="287"/>
      <c r="H443" s="287"/>
      <c r="I443" s="287"/>
      <c r="J443" s="287"/>
      <c r="K443" s="287"/>
      <c r="L443" s="279"/>
      <c r="M443" s="47">
        <v>1</v>
      </c>
      <c r="N443" s="34"/>
      <c r="O443" s="35">
        <f t="shared" si="75"/>
        <v>0</v>
      </c>
      <c r="P443" s="54">
        <f t="shared" si="76"/>
        <v>0</v>
      </c>
      <c r="Q443" s="46"/>
      <c r="R443" s="34"/>
    </row>
    <row r="444" spans="1:18" ht="66" x14ac:dyDescent="0.3">
      <c r="A444" s="3" t="str">
        <f>'Selbstbeurteilung Kunde'!A456</f>
        <v>8.2.7.</v>
      </c>
      <c r="B444" s="6" t="str">
        <f>'Selbstbeurteilung Kunde'!C456</f>
        <v>Bestehen in Ihrem Unternehmen Qualitätszirkel* oder andere Mittel und Formen zur Nutzung des Kreativpotenzials der Mitarbeitenden? Wenn ja, welche?
*Qualitätszirkel: Arbeitsgruppe für die kontinuierliche Qualitätsverbesserung.</v>
      </c>
      <c r="C444" s="49">
        <f>IF(ISBLANK('Selbstbeurteilung Kunde'!D456),0,1)</f>
        <v>0</v>
      </c>
      <c r="D444" s="49" t="str">
        <f>IF(AND('Selbstbeurteilung Kunde'!D456="",'Selbstbeurteilung Kunde'!E456=""),"*","")</f>
        <v>*</v>
      </c>
      <c r="E444" s="50" t="str">
        <f>IF(ISBLANK('Selbstbeurteilung Kunde'!F456),"",'Selbstbeurteilung Kunde'!F456)</f>
        <v/>
      </c>
      <c r="F444" s="287"/>
      <c r="G444" s="287"/>
      <c r="H444" s="287"/>
      <c r="I444" s="287"/>
      <c r="J444" s="287"/>
      <c r="K444" s="287"/>
      <c r="L444" s="279"/>
      <c r="M444" s="47">
        <v>3</v>
      </c>
      <c r="N444" s="34"/>
      <c r="O444" s="35">
        <f t="shared" si="75"/>
        <v>0</v>
      </c>
      <c r="P444" s="54">
        <f t="shared" si="76"/>
        <v>0</v>
      </c>
      <c r="Q444" s="46"/>
      <c r="R444" s="34"/>
    </row>
    <row r="445" spans="1:18" x14ac:dyDescent="0.3">
      <c r="A445" s="44" t="str">
        <f>'Selbstbeurteilung Kunde'!A458</f>
        <v>9.</v>
      </c>
      <c r="B445" s="7" t="str">
        <f>'Selbstbeurteilung Kunde'!B458</f>
        <v>Gesundheitsschutz</v>
      </c>
      <c r="C445" s="40">
        <f>O445/N445</f>
        <v>0.15227272727272725</v>
      </c>
      <c r="D445" s="40"/>
      <c r="E445" s="36"/>
      <c r="F445" s="25"/>
      <c r="G445" s="25"/>
      <c r="H445" s="25"/>
      <c r="I445" s="25"/>
      <c r="J445" s="25"/>
      <c r="K445" s="25"/>
      <c r="L445" s="281">
        <f>P445/N445</f>
        <v>0.15227272727272725</v>
      </c>
      <c r="M445" s="5"/>
      <c r="N445" s="5">
        <f>SUM(M446,M454,M464,M491,M507,M517,M526,M532,M540,M550)</f>
        <v>11</v>
      </c>
      <c r="O445" s="61">
        <f>SUM(Q446:Q555)</f>
        <v>1.6749999999999998</v>
      </c>
      <c r="P445" s="61">
        <f>SUM(R446:R555)</f>
        <v>1.6749999999999998</v>
      </c>
      <c r="Q445" s="45"/>
      <c r="R445" s="45"/>
    </row>
    <row r="446" spans="1:18" x14ac:dyDescent="0.3">
      <c r="A446" s="27" t="str">
        <f>'Selbstbeurteilung Kunde'!A460</f>
        <v>9.1.</v>
      </c>
      <c r="B446" s="27" t="str">
        <f>'Selbstbeurteilung Kunde'!B460</f>
        <v>Arbeitsgestaltung</v>
      </c>
      <c r="C446" s="28">
        <f>O446/N446</f>
        <v>0.26666666666666666</v>
      </c>
      <c r="D446" s="350"/>
      <c r="E446" s="37"/>
      <c r="F446" s="282"/>
      <c r="G446" s="282"/>
      <c r="H446" s="282"/>
      <c r="I446" s="282"/>
      <c r="J446" s="282"/>
      <c r="K446" s="282"/>
      <c r="L446" s="63">
        <f>P446/N446</f>
        <v>0.26666666666666666</v>
      </c>
      <c r="M446" s="29">
        <v>2</v>
      </c>
      <c r="N446" s="29">
        <f>SUM(M447:M453)</f>
        <v>15</v>
      </c>
      <c r="O446" s="31">
        <f>SUM(O447:O453)</f>
        <v>4</v>
      </c>
      <c r="P446" s="31">
        <f>SUM(P447:P453)</f>
        <v>4</v>
      </c>
      <c r="Q446" s="65">
        <f>O446/$N446*$M446</f>
        <v>0.53333333333333333</v>
      </c>
      <c r="R446" s="65">
        <f>P446/$N446*$M446</f>
        <v>0.53333333333333333</v>
      </c>
    </row>
    <row r="447" spans="1:18" ht="28.5" customHeight="1" x14ac:dyDescent="0.3">
      <c r="A447" s="3" t="str">
        <f>'Selbstbeurteilung Kunde'!A461</f>
        <v>9.1.1.</v>
      </c>
      <c r="B447" s="6" t="str">
        <f>'Selbstbeurteilung Kunde'!C461</f>
        <v>Können die Mitarbeitenden Ihre Arbeit selbständig einteilen?</v>
      </c>
      <c r="C447" s="49">
        <f>IF(ISBLANK('Selbstbeurteilung Kunde'!D461),0,1)</f>
        <v>0</v>
      </c>
      <c r="D447" s="49" t="str">
        <f>IF(AND('Selbstbeurteilung Kunde'!D461="",'Selbstbeurteilung Kunde'!E461=""),"*","")</f>
        <v>*</v>
      </c>
      <c r="E447" s="50" t="str">
        <f>IF(ISBLANK('Selbstbeurteilung Kunde'!F461),"",'Selbstbeurteilung Kunde'!F461)</f>
        <v/>
      </c>
      <c r="F447" s="287"/>
      <c r="G447" s="287"/>
      <c r="H447" s="287"/>
      <c r="I447" s="287"/>
      <c r="J447" s="287"/>
      <c r="K447" s="287"/>
      <c r="L447" s="279"/>
      <c r="M447" s="47">
        <v>3</v>
      </c>
      <c r="N447" s="34"/>
      <c r="O447" s="35">
        <f>C447*M447</f>
        <v>0</v>
      </c>
      <c r="P447" s="54">
        <f t="shared" ref="P447:P449" si="77">L447*M447</f>
        <v>0</v>
      </c>
      <c r="Q447" s="46"/>
      <c r="R447" s="34"/>
    </row>
    <row r="448" spans="1:18" ht="26.4" x14ac:dyDescent="0.3">
      <c r="A448" s="3" t="str">
        <f>'Selbstbeurteilung Kunde'!A462</f>
        <v>9.1.2.</v>
      </c>
      <c r="B448" s="6" t="str">
        <f>'Selbstbeurteilung Kunde'!C462</f>
        <v>Können die Mitarbeitenden den Arbeitsfluss notfalls ohne nachteilige Folgen unterbrechen?</v>
      </c>
      <c r="C448" s="49">
        <f>IF(ISBLANK('Selbstbeurteilung Kunde'!D462),0,1)</f>
        <v>0</v>
      </c>
      <c r="D448" s="49" t="str">
        <f>IF(AND('Selbstbeurteilung Kunde'!D462="",'Selbstbeurteilung Kunde'!E462=""),"*","")</f>
        <v>*</v>
      </c>
      <c r="E448" s="50" t="str">
        <f>IF(ISBLANK('Selbstbeurteilung Kunde'!F462),"",'Selbstbeurteilung Kunde'!F462)</f>
        <v/>
      </c>
      <c r="F448" s="287"/>
      <c r="G448" s="287"/>
      <c r="H448" s="287"/>
      <c r="I448" s="287"/>
      <c r="J448" s="287"/>
      <c r="K448" s="287"/>
      <c r="L448" s="279"/>
      <c r="M448" s="47">
        <v>3</v>
      </c>
      <c r="N448" s="34"/>
      <c r="O448" s="35">
        <f>C448*M448</f>
        <v>0</v>
      </c>
      <c r="P448" s="54">
        <f t="shared" si="77"/>
        <v>0</v>
      </c>
      <c r="Q448" s="46"/>
      <c r="R448" s="34"/>
    </row>
    <row r="449" spans="1:18" ht="26.4" x14ac:dyDescent="0.3">
      <c r="A449" s="3" t="str">
        <f>'Selbstbeurteilung Kunde'!A463</f>
        <v>9.1.3.</v>
      </c>
      <c r="B449" s="6" t="str">
        <f>'Selbstbeurteilung Kunde'!C463</f>
        <v>Können sich Mitarbeitende so oft wie nötig miteinander verständigen?</v>
      </c>
      <c r="C449" s="49">
        <f>IF(ISBLANK('Selbstbeurteilung Kunde'!D463),0,1)</f>
        <v>0</v>
      </c>
      <c r="D449" s="49" t="str">
        <f>IF(AND('Selbstbeurteilung Kunde'!D463="",'Selbstbeurteilung Kunde'!E463=""),"*","")</f>
        <v>*</v>
      </c>
      <c r="E449" s="50" t="str">
        <f>IF(ISBLANK('Selbstbeurteilung Kunde'!F463),"",'Selbstbeurteilung Kunde'!F463)</f>
        <v/>
      </c>
      <c r="F449" s="287"/>
      <c r="G449" s="287"/>
      <c r="H449" s="287"/>
      <c r="I449" s="287"/>
      <c r="J449" s="287"/>
      <c r="K449" s="287"/>
      <c r="L449" s="279"/>
      <c r="M449" s="47">
        <v>3</v>
      </c>
      <c r="N449" s="34"/>
      <c r="O449" s="35">
        <f>C449*M449</f>
        <v>0</v>
      </c>
      <c r="P449" s="54">
        <f t="shared" si="77"/>
        <v>0</v>
      </c>
      <c r="Q449" s="46"/>
      <c r="R449" s="34"/>
    </row>
    <row r="450" spans="1:18" ht="26.4" x14ac:dyDescent="0.3">
      <c r="A450" s="3" t="str">
        <f>'Selbstbeurteilung Kunde'!A464</f>
        <v>9.1.4.</v>
      </c>
      <c r="B450" s="6" t="str">
        <f>'Selbstbeurteilung Kunde'!C464</f>
        <v>Tauchen öfter Unklarheiten bezüglich Zuständigkeiten auf, obwohl sie der Meinung waren, alles sei klar geregelt?</v>
      </c>
      <c r="C450" s="49">
        <f>IF(ISBLANK('Selbstbeurteilung Kunde'!D464),0,1)</f>
        <v>0</v>
      </c>
      <c r="D450" s="49" t="str">
        <f>IF(AND('Selbstbeurteilung Kunde'!D464="",'Selbstbeurteilung Kunde'!E464=""),"*","")</f>
        <v>*</v>
      </c>
      <c r="E450" s="50" t="str">
        <f>IF(ISBLANK('Selbstbeurteilung Kunde'!F464),"",'Selbstbeurteilung Kunde'!F464)</f>
        <v/>
      </c>
      <c r="F450" s="287"/>
      <c r="G450" s="287"/>
      <c r="H450" s="287"/>
      <c r="I450" s="287"/>
      <c r="J450" s="287"/>
      <c r="K450" s="287"/>
      <c r="L450" s="279"/>
      <c r="M450" s="47">
        <v>1</v>
      </c>
      <c r="N450" s="34"/>
      <c r="O450" s="59">
        <f>(1-C450)*M450</f>
        <v>1</v>
      </c>
      <c r="P450" s="62">
        <f>(1-L450)*M450</f>
        <v>1</v>
      </c>
      <c r="Q450" s="46"/>
      <c r="R450" s="34"/>
    </row>
    <row r="451" spans="1:18" ht="39.6" x14ac:dyDescent="0.3">
      <c r="A451" s="3" t="str">
        <f>'Selbstbeurteilung Kunde'!A465</f>
        <v>9.1.5.</v>
      </c>
      <c r="B451" s="6" t="str">
        <f>'Selbstbeurteilung Kunde'!C465</f>
        <v>Gibt es Bereiche mit häufigen Störungen im Arbeitsablauf (Verwechslungen, Vergessen, Übersehen, Vergreifen)?
Wenn ja, welche?</v>
      </c>
      <c r="C451" s="49">
        <f>IF(ISBLANK('Selbstbeurteilung Kunde'!D465),0,1)</f>
        <v>0</v>
      </c>
      <c r="D451" s="49" t="str">
        <f>IF(AND('Selbstbeurteilung Kunde'!D465="",'Selbstbeurteilung Kunde'!E465=""),"*","")</f>
        <v>*</v>
      </c>
      <c r="E451" s="50" t="str">
        <f>IF(ISBLANK('Selbstbeurteilung Kunde'!F465),"",'Selbstbeurteilung Kunde'!F465)</f>
        <v/>
      </c>
      <c r="F451" s="287"/>
      <c r="G451" s="287"/>
      <c r="H451" s="287"/>
      <c r="I451" s="287"/>
      <c r="J451" s="287"/>
      <c r="K451" s="287"/>
      <c r="L451" s="279"/>
      <c r="M451" s="47">
        <v>1</v>
      </c>
      <c r="N451" s="34"/>
      <c r="O451" s="59">
        <f>(1-C451)*M451</f>
        <v>1</v>
      </c>
      <c r="P451" s="62">
        <f t="shared" ref="P451:P452" si="78">(1-L451)*M451</f>
        <v>1</v>
      </c>
      <c r="Q451" s="46"/>
      <c r="R451" s="34"/>
    </row>
    <row r="452" spans="1:18" ht="26.4" x14ac:dyDescent="0.3">
      <c r="A452" s="3" t="str">
        <f>'Selbstbeurteilung Kunde'!A466</f>
        <v>9.1.6.</v>
      </c>
      <c r="B452" s="6" t="str">
        <f>'Selbstbeurteilung Kunde'!C466</f>
        <v>Gibt es bei Ihnen monotone, reizarme Tätigkeiten mit geringen Anforderungen?</v>
      </c>
      <c r="C452" s="49">
        <f>IF(ISBLANK('Selbstbeurteilung Kunde'!D466),0,1)</f>
        <v>0</v>
      </c>
      <c r="D452" s="49" t="str">
        <f>IF(AND('Selbstbeurteilung Kunde'!D466="",'Selbstbeurteilung Kunde'!E466=""),"*","")</f>
        <v>*</v>
      </c>
      <c r="E452" s="50" t="str">
        <f>IF(ISBLANK('Selbstbeurteilung Kunde'!F466),"",'Selbstbeurteilung Kunde'!F466)</f>
        <v/>
      </c>
      <c r="F452" s="287"/>
      <c r="G452" s="287"/>
      <c r="H452" s="287"/>
      <c r="I452" s="287"/>
      <c r="J452" s="287"/>
      <c r="K452" s="287"/>
      <c r="L452" s="279"/>
      <c r="M452" s="47">
        <v>2</v>
      </c>
      <c r="N452" s="34"/>
      <c r="O452" s="59">
        <f>(1-C452)*M452</f>
        <v>2</v>
      </c>
      <c r="P452" s="62">
        <f t="shared" si="78"/>
        <v>2</v>
      </c>
      <c r="Q452" s="46"/>
      <c r="R452" s="34"/>
    </row>
    <row r="453" spans="1:18" ht="56.25" customHeight="1" x14ac:dyDescent="0.3">
      <c r="A453" s="3" t="str">
        <f>'Selbstbeurteilung Kunde'!A467</f>
        <v>9.1.7.</v>
      </c>
      <c r="B453" s="6" t="str">
        <f>'Selbstbeurteilung Kunde'!C467</f>
        <v>Falls Sie 9.1.6. mit "Ja" beantwortet haben:  Wäre es Ihrer Meinung nach möglich, einige dieser Tätigkeiten durch Aufgabenerweiterung oder Aufgabenwechsel zu bereichern?</v>
      </c>
      <c r="C453" s="49">
        <f>IF(ISBLANK('Selbstbeurteilung Kunde'!D467),0,1)</f>
        <v>0</v>
      </c>
      <c r="D453" s="49" t="str">
        <f>IF(AND('Selbstbeurteilung Kunde'!D467="",'Selbstbeurteilung Kunde'!E467=""),"*","")</f>
        <v>*</v>
      </c>
      <c r="E453" s="50" t="str">
        <f>IF(ISBLANK('Selbstbeurteilung Kunde'!F467),"",'Selbstbeurteilung Kunde'!F467)</f>
        <v/>
      </c>
      <c r="F453" s="287"/>
      <c r="G453" s="287"/>
      <c r="H453" s="287"/>
      <c r="I453" s="287"/>
      <c r="J453" s="287"/>
      <c r="K453" s="287"/>
      <c r="L453" s="279"/>
      <c r="M453" s="47">
        <v>2</v>
      </c>
      <c r="N453" s="34"/>
      <c r="O453" s="35">
        <f>C453*M453</f>
        <v>0</v>
      </c>
      <c r="P453" s="54">
        <f>L453*M453</f>
        <v>0</v>
      </c>
      <c r="Q453" s="46"/>
      <c r="R453" s="34"/>
    </row>
    <row r="454" spans="1:18" x14ac:dyDescent="0.3">
      <c r="A454" s="27" t="str">
        <f>'Selbstbeurteilung Kunde'!A468</f>
        <v>9.2.</v>
      </c>
      <c r="B454" s="27" t="str">
        <f>'Selbstbeurteilung Kunde'!B468</f>
        <v>Arbeitsbelastung, Arbeitszufriedenheit</v>
      </c>
      <c r="C454" s="28">
        <f>O454/N454</f>
        <v>0.875</v>
      </c>
      <c r="D454" s="350"/>
      <c r="E454" s="37" t="str">
        <f>IF(ISBLANK('Selbstbeurteilung Kunde'!F468),"",'Selbstbeurteilung Kunde'!F468)</f>
        <v/>
      </c>
      <c r="F454" s="282"/>
      <c r="G454" s="282"/>
      <c r="H454" s="282"/>
      <c r="I454" s="282"/>
      <c r="J454" s="282"/>
      <c r="K454" s="282"/>
      <c r="L454" s="63">
        <f>P454/N454</f>
        <v>0.875</v>
      </c>
      <c r="M454" s="29">
        <v>1</v>
      </c>
      <c r="N454" s="53">
        <f>SUM(M455:M458,MIN(M459:M462),M463)</f>
        <v>8</v>
      </c>
      <c r="O454" s="53">
        <f>SUM(O455:O458,MIN(O459:O462),O463)</f>
        <v>7</v>
      </c>
      <c r="P454" s="53">
        <f>SUM(P455:P458,MIN(P459:P462),P463)</f>
        <v>7</v>
      </c>
      <c r="Q454" s="65">
        <f>O454/N454*M454</f>
        <v>0.875</v>
      </c>
      <c r="R454" s="65">
        <f>P454/N454*$M454</f>
        <v>0.875</v>
      </c>
    </row>
    <row r="455" spans="1:18" ht="39.6" x14ac:dyDescent="0.3">
      <c r="A455" s="3" t="str">
        <f>'Selbstbeurteilung Kunde'!A469</f>
        <v>9.2.1.</v>
      </c>
      <c r="B455" s="6" t="str">
        <f>'Selbstbeurteilung Kunde'!C469</f>
        <v>Gibt es Bereiche in denen häufig über Müdigkeit, Kopfweh, Schlafstörungen oder Magenbeschwerden geklagt wird? Wenn ja, in welchen Bereichen?</v>
      </c>
      <c r="C455" s="49">
        <f>IF(ISBLANK('Selbstbeurteilung Kunde'!D469),0,1)</f>
        <v>0</v>
      </c>
      <c r="D455" s="49" t="str">
        <f>IF(AND('Selbstbeurteilung Kunde'!D469="",'Selbstbeurteilung Kunde'!E469=""),"*","")</f>
        <v>*</v>
      </c>
      <c r="E455" s="50" t="str">
        <f>IF(ISBLANK('Selbstbeurteilung Kunde'!F469),"",'Selbstbeurteilung Kunde'!F469)</f>
        <v/>
      </c>
      <c r="F455" s="287"/>
      <c r="G455" s="287"/>
      <c r="H455" s="287"/>
      <c r="I455" s="287"/>
      <c r="J455" s="287"/>
      <c r="K455" s="287"/>
      <c r="L455" s="279"/>
      <c r="M455" s="47">
        <v>3</v>
      </c>
      <c r="N455" s="34"/>
      <c r="O455" s="59">
        <f t="shared" ref="O455:O462" si="79">(1-C455)*M455</f>
        <v>3</v>
      </c>
      <c r="P455" s="62">
        <f>(1-L455)*M455</f>
        <v>3</v>
      </c>
      <c r="Q455" s="46"/>
      <c r="R455" s="34"/>
    </row>
    <row r="456" spans="1:18" ht="39.6" x14ac:dyDescent="0.3">
      <c r="A456" s="3" t="str">
        <f>'Selbstbeurteilung Kunde'!A470</f>
        <v>9.2.2.</v>
      </c>
      <c r="B456" s="6" t="str">
        <f>'Selbstbeurteilung Kunde'!C470</f>
        <v>Gibt es Klagen über monotone Arbeiten oder einseitige Belastungen?
Wenn ja, in welchen Bereichen?</v>
      </c>
      <c r="C456" s="49">
        <f>IF(ISBLANK('Selbstbeurteilung Kunde'!D470),0,1)</f>
        <v>0</v>
      </c>
      <c r="D456" s="49" t="str">
        <f>IF(AND('Selbstbeurteilung Kunde'!D470="",'Selbstbeurteilung Kunde'!E470=""),"*","")</f>
        <v>*</v>
      </c>
      <c r="E456" s="50" t="str">
        <f>IF(ISBLANK('Selbstbeurteilung Kunde'!F470),"",'Selbstbeurteilung Kunde'!F470)</f>
        <v/>
      </c>
      <c r="F456" s="287"/>
      <c r="G456" s="287"/>
      <c r="H456" s="287"/>
      <c r="I456" s="287"/>
      <c r="J456" s="287"/>
      <c r="K456" s="287"/>
      <c r="L456" s="279"/>
      <c r="M456" s="47">
        <v>1</v>
      </c>
      <c r="N456" s="34"/>
      <c r="O456" s="59">
        <f t="shared" si="79"/>
        <v>1</v>
      </c>
      <c r="P456" s="62">
        <f t="shared" ref="P456:P462" si="80">(1-L456)*M456</f>
        <v>1</v>
      </c>
      <c r="Q456" s="46"/>
      <c r="R456" s="34"/>
    </row>
    <row r="457" spans="1:18" ht="26.4" x14ac:dyDescent="0.3">
      <c r="A457" s="3" t="str">
        <f>'Selbstbeurteilung Kunde'!A471</f>
        <v>9.2.3.</v>
      </c>
      <c r="B457" s="6" t="str">
        <f>'Selbstbeurteilung Kunde'!C471</f>
        <v>Gibt es Klagen über Termindruck, Hektik oder Überforderung?</v>
      </c>
      <c r="C457" s="49">
        <f>IF(ISBLANK('Selbstbeurteilung Kunde'!D471),0,1)</f>
        <v>0</v>
      </c>
      <c r="D457" s="49" t="str">
        <f>IF(AND('Selbstbeurteilung Kunde'!D471="",'Selbstbeurteilung Kunde'!E471=""),"*","")</f>
        <v>*</v>
      </c>
      <c r="E457" s="50" t="str">
        <f>IF(ISBLANK('Selbstbeurteilung Kunde'!F471),"",'Selbstbeurteilung Kunde'!F471)</f>
        <v/>
      </c>
      <c r="F457" s="290"/>
      <c r="G457" s="290"/>
      <c r="H457" s="290"/>
      <c r="I457" s="290"/>
      <c r="J457" s="290"/>
      <c r="K457" s="290"/>
      <c r="L457" s="279"/>
      <c r="M457" s="47">
        <v>1</v>
      </c>
      <c r="N457" s="34"/>
      <c r="O457" s="59">
        <f t="shared" si="79"/>
        <v>1</v>
      </c>
      <c r="P457" s="62">
        <f t="shared" si="80"/>
        <v>1</v>
      </c>
      <c r="Q457" s="46"/>
      <c r="R457" s="46"/>
    </row>
    <row r="458" spans="1:18" ht="39.6" x14ac:dyDescent="0.3">
      <c r="A458" s="3" t="str">
        <f>'Selbstbeurteilung Kunde'!A472</f>
        <v>9.2.4.</v>
      </c>
      <c r="B458" s="6" t="str">
        <f>'Selbstbeurteilung Kunde'!C472</f>
        <v>Kommt es vor, dass Sie eine diffuse Unzufriedenheit wahrnehmen, ohne einen einsichtigen Grund für dieses Unbehagen finden zu können (ständiges Nörgeln)?</v>
      </c>
      <c r="C458" s="49">
        <f>IF(ISBLANK('Selbstbeurteilung Kunde'!D472),0,1)</f>
        <v>0</v>
      </c>
      <c r="D458" s="49" t="str">
        <f>IF(AND('Selbstbeurteilung Kunde'!D472="",'Selbstbeurteilung Kunde'!E472=""),"*","")</f>
        <v>*</v>
      </c>
      <c r="E458" s="50" t="str">
        <f>IF(ISBLANK('Selbstbeurteilung Kunde'!F472),"",'Selbstbeurteilung Kunde'!F472)</f>
        <v/>
      </c>
      <c r="F458" s="287"/>
      <c r="G458" s="287"/>
      <c r="H458" s="287"/>
      <c r="I458" s="287"/>
      <c r="J458" s="287"/>
      <c r="K458" s="287"/>
      <c r="L458" s="279"/>
      <c r="M458" s="47">
        <v>1</v>
      </c>
      <c r="N458" s="34"/>
      <c r="O458" s="59">
        <f t="shared" si="79"/>
        <v>1</v>
      </c>
      <c r="P458" s="62">
        <f t="shared" si="80"/>
        <v>1</v>
      </c>
      <c r="Q458" s="46"/>
      <c r="R458" s="34"/>
    </row>
    <row r="459" spans="1:18" ht="26.4" x14ac:dyDescent="0.3">
      <c r="A459" s="3" t="str">
        <f>'Selbstbeurteilung Kunde'!A473</f>
        <v>9.2.5.a</v>
      </c>
      <c r="B459" s="6" t="str">
        <f>'Selbstbeurteilung Kunde'!C473</f>
        <v>Gibt es menschliche Konflikte zwischen:
Mitarbeitenden?</v>
      </c>
      <c r="C459" s="49">
        <f>IF(ISBLANK('Selbstbeurteilung Kunde'!D473),0,1)</f>
        <v>0</v>
      </c>
      <c r="D459" s="49" t="str">
        <f>IF(AND('Selbstbeurteilung Kunde'!D473="",'Selbstbeurteilung Kunde'!E473=""),"*","")</f>
        <v>*</v>
      </c>
      <c r="E459" s="50" t="str">
        <f>IF(ISBLANK('Selbstbeurteilung Kunde'!F473),"",'Selbstbeurteilung Kunde'!F473)</f>
        <v/>
      </c>
      <c r="F459" s="287"/>
      <c r="G459" s="287"/>
      <c r="H459" s="287"/>
      <c r="I459" s="287"/>
      <c r="J459" s="287"/>
      <c r="K459" s="287"/>
      <c r="L459" s="279"/>
      <c r="M459" s="47">
        <v>1</v>
      </c>
      <c r="N459" s="34"/>
      <c r="O459" s="59">
        <f t="shared" si="79"/>
        <v>1</v>
      </c>
      <c r="P459" s="62">
        <f t="shared" si="80"/>
        <v>1</v>
      </c>
      <c r="Q459" s="46"/>
      <c r="R459" s="34"/>
    </row>
    <row r="460" spans="1:18" x14ac:dyDescent="0.3">
      <c r="A460" s="3" t="str">
        <f>'Selbstbeurteilung Kunde'!A474</f>
        <v>9.2.5.b</v>
      </c>
      <c r="B460" s="6" t="str">
        <f>'Selbstbeurteilung Kunde'!C474</f>
        <v>Abteilungen?</v>
      </c>
      <c r="C460" s="49">
        <f>IF(ISBLANK('Selbstbeurteilung Kunde'!D474),0,1)</f>
        <v>0</v>
      </c>
      <c r="D460" s="49" t="str">
        <f>IF(AND('Selbstbeurteilung Kunde'!D474="",'Selbstbeurteilung Kunde'!E474=""),"*","")</f>
        <v>*</v>
      </c>
      <c r="E460" s="50" t="str">
        <f>IF(ISBLANK('Selbstbeurteilung Kunde'!F474),"",'Selbstbeurteilung Kunde'!F474)</f>
        <v/>
      </c>
      <c r="F460" s="287"/>
      <c r="G460" s="287"/>
      <c r="H460" s="287"/>
      <c r="I460" s="287"/>
      <c r="J460" s="287"/>
      <c r="K460" s="287"/>
      <c r="L460" s="279"/>
      <c r="M460" s="47">
        <v>1</v>
      </c>
      <c r="N460" s="34"/>
      <c r="O460" s="59">
        <f t="shared" si="79"/>
        <v>1</v>
      </c>
      <c r="P460" s="62">
        <f t="shared" si="80"/>
        <v>1</v>
      </c>
      <c r="Q460" s="46"/>
      <c r="R460" s="34"/>
    </row>
    <row r="461" spans="1:18" x14ac:dyDescent="0.3">
      <c r="A461" s="3" t="str">
        <f>'Selbstbeurteilung Kunde'!A475</f>
        <v>9.2.5.c</v>
      </c>
      <c r="B461" s="6" t="str">
        <f>'Selbstbeurteilung Kunde'!C475</f>
        <v>Vorgesetzten und Untergebenen?</v>
      </c>
      <c r="C461" s="49">
        <f>IF(ISBLANK('Selbstbeurteilung Kunde'!D475),0,1)</f>
        <v>0</v>
      </c>
      <c r="D461" s="49" t="str">
        <f>IF(AND('Selbstbeurteilung Kunde'!D475="",'Selbstbeurteilung Kunde'!E475=""),"*","")</f>
        <v>*</v>
      </c>
      <c r="E461" s="50" t="str">
        <f>IF(ISBLANK('Selbstbeurteilung Kunde'!F475),"",'Selbstbeurteilung Kunde'!F475)</f>
        <v/>
      </c>
      <c r="F461" s="287"/>
      <c r="G461" s="287"/>
      <c r="H461" s="287"/>
      <c r="I461" s="287"/>
      <c r="J461" s="287"/>
      <c r="K461" s="287"/>
      <c r="L461" s="279"/>
      <c r="M461" s="47">
        <v>1</v>
      </c>
      <c r="N461" s="34"/>
      <c r="O461" s="59">
        <f t="shared" si="79"/>
        <v>1</v>
      </c>
      <c r="P461" s="62">
        <f t="shared" si="80"/>
        <v>1</v>
      </c>
      <c r="Q461" s="46"/>
      <c r="R461" s="34"/>
    </row>
    <row r="462" spans="1:18" x14ac:dyDescent="0.3">
      <c r="A462" s="3" t="str">
        <f>'Selbstbeurteilung Kunde'!A476</f>
        <v>9.2.5.d</v>
      </c>
      <c r="B462" s="6" t="str">
        <f>'Selbstbeurteilung Kunde'!C476</f>
        <v>Vorgesetzten?</v>
      </c>
      <c r="C462" s="49">
        <f>IF(ISBLANK('Selbstbeurteilung Kunde'!D476),0,1)</f>
        <v>0</v>
      </c>
      <c r="D462" s="49" t="str">
        <f>IF(AND('Selbstbeurteilung Kunde'!D476="",'Selbstbeurteilung Kunde'!E476=""),"*","")</f>
        <v>*</v>
      </c>
      <c r="E462" s="50" t="str">
        <f>IF(ISBLANK('Selbstbeurteilung Kunde'!F476),"",'Selbstbeurteilung Kunde'!F476)</f>
        <v/>
      </c>
      <c r="F462" s="287"/>
      <c r="G462" s="287"/>
      <c r="H462" s="287"/>
      <c r="I462" s="287"/>
      <c r="J462" s="287"/>
      <c r="K462" s="287"/>
      <c r="L462" s="279"/>
      <c r="M462" s="47">
        <v>1</v>
      </c>
      <c r="N462" s="34"/>
      <c r="O462" s="59">
        <f t="shared" si="79"/>
        <v>1</v>
      </c>
      <c r="P462" s="62">
        <f t="shared" si="80"/>
        <v>1</v>
      </c>
      <c r="Q462" s="46"/>
      <c r="R462" s="34"/>
    </row>
    <row r="463" spans="1:18" ht="26.4" x14ac:dyDescent="0.3">
      <c r="A463" s="3" t="str">
        <f>'Selbstbeurteilung Kunde'!A477</f>
        <v>9.2.6.</v>
      </c>
      <c r="B463" s="6" t="str">
        <f>'Selbstbeurteilung Kunde'!C477</f>
        <v>Wird ein dokumentiertes Konfliktlösungsverfahren angewendet?</v>
      </c>
      <c r="C463" s="49">
        <f>IF(ISBLANK('Selbstbeurteilung Kunde'!D477),0,1)</f>
        <v>0</v>
      </c>
      <c r="D463" s="49" t="str">
        <f>IF(AND('Selbstbeurteilung Kunde'!D477="",'Selbstbeurteilung Kunde'!E477=""),"*","")</f>
        <v>*</v>
      </c>
      <c r="E463" s="50" t="str">
        <f>IF(ISBLANK('Selbstbeurteilung Kunde'!F477),"",'Selbstbeurteilung Kunde'!F477)</f>
        <v/>
      </c>
      <c r="F463" s="287"/>
      <c r="G463" s="287"/>
      <c r="H463" s="287"/>
      <c r="I463" s="287"/>
      <c r="J463" s="287"/>
      <c r="K463" s="287"/>
      <c r="L463" s="279"/>
      <c r="M463" s="47">
        <v>1</v>
      </c>
      <c r="N463" s="34"/>
      <c r="O463" s="35">
        <f>C463*M463</f>
        <v>0</v>
      </c>
      <c r="P463" s="54">
        <f>L463*M463</f>
        <v>0</v>
      </c>
      <c r="Q463" s="46"/>
      <c r="R463" s="34"/>
    </row>
    <row r="464" spans="1:18" x14ac:dyDescent="0.3">
      <c r="A464" s="27" t="str">
        <f>'Selbstbeurteilung Kunde'!A478</f>
        <v>9.3.</v>
      </c>
      <c r="B464" s="27" t="str">
        <f>'Selbstbeurteilung Kunde'!B478</f>
        <v>Physische Arbeitsbelastung</v>
      </c>
      <c r="C464" s="28">
        <f>O464/N464</f>
        <v>1</v>
      </c>
      <c r="D464" s="350"/>
      <c r="E464" s="37" t="str">
        <f>IF(ISBLANK('Selbstbeurteilung Kunde'!F478),"",'Selbstbeurteilung Kunde'!F478)</f>
        <v/>
      </c>
      <c r="F464" s="282"/>
      <c r="G464" s="282"/>
      <c r="H464" s="282"/>
      <c r="I464" s="282"/>
      <c r="J464" s="282"/>
      <c r="K464" s="282"/>
      <c r="L464" s="63">
        <f>P464/N464</f>
        <v>1</v>
      </c>
      <c r="M464" s="29">
        <v>0</v>
      </c>
      <c r="N464" s="29">
        <f>SUM(M465:M490)</f>
        <v>26</v>
      </c>
      <c r="O464" s="31">
        <f>SUM(O465:O490)</f>
        <v>26</v>
      </c>
      <c r="P464" s="31">
        <f>SUM(P465:P490)</f>
        <v>26</v>
      </c>
      <c r="Q464" s="65">
        <f>O464/$N464*$M464</f>
        <v>0</v>
      </c>
      <c r="R464" s="65">
        <f>P464/$N464*$M464</f>
        <v>0</v>
      </c>
    </row>
    <row r="465" spans="1:18" ht="66" x14ac:dyDescent="0.3">
      <c r="A465" s="3" t="str">
        <f>'Selbstbeurteilung Kunde'!A479</f>
        <v>9.3.1.a</v>
      </c>
      <c r="B465" s="6" t="str">
        <f>'Selbstbeurteilung Kunde'!C479</f>
        <v>Treten an den Arbeitsplätzen Ihres Unternehmens die folgenden sicherheits-und gesundheitsrelevante Belastungen physischer Art auf:
Hohe Herz-Kreislaufbelastungen, körperliche Schwerarbeit?</v>
      </c>
      <c r="C465" s="49">
        <f>IF(ISBLANK('Selbstbeurteilung Kunde'!D479),0,1)</f>
        <v>0</v>
      </c>
      <c r="D465" s="49" t="str">
        <f>IF(AND('Selbstbeurteilung Kunde'!D479="",'Selbstbeurteilung Kunde'!E479=""),"*","")</f>
        <v>*</v>
      </c>
      <c r="E465" s="50" t="str">
        <f>IF(ISBLANK('Selbstbeurteilung Kunde'!F479),"",'Selbstbeurteilung Kunde'!F479)</f>
        <v/>
      </c>
      <c r="F465" s="287"/>
      <c r="G465" s="287"/>
      <c r="H465" s="287"/>
      <c r="I465" s="287"/>
      <c r="J465" s="287"/>
      <c r="K465" s="287"/>
      <c r="L465" s="279"/>
      <c r="M465" s="47">
        <v>1</v>
      </c>
      <c r="N465" s="34"/>
      <c r="O465" s="59">
        <f t="shared" ref="O465:O490" si="81">(1-C465)*M465</f>
        <v>1</v>
      </c>
      <c r="P465" s="62">
        <f t="shared" ref="P465:P490" si="82">(1-L465)*M465</f>
        <v>1</v>
      </c>
      <c r="Q465" s="46"/>
      <c r="R465" s="34"/>
    </row>
    <row r="466" spans="1:18" x14ac:dyDescent="0.3">
      <c r="A466" s="3" t="str">
        <f>'Selbstbeurteilung Kunde'!A480</f>
        <v>9.3.1.b</v>
      </c>
      <c r="B466" s="6" t="str">
        <f>'Selbstbeurteilung Kunde'!C480</f>
        <v>Hohe Belastungen des Knochen- und Muskelapparats?</v>
      </c>
      <c r="C466" s="49">
        <f>IF(ISBLANK('Selbstbeurteilung Kunde'!D480),0,1)</f>
        <v>0</v>
      </c>
      <c r="D466" s="49" t="str">
        <f>IF(AND('Selbstbeurteilung Kunde'!D480="",'Selbstbeurteilung Kunde'!E480=""),"*","")</f>
        <v>*</v>
      </c>
      <c r="E466" s="50" t="str">
        <f>IF(ISBLANK('Selbstbeurteilung Kunde'!F480),"",'Selbstbeurteilung Kunde'!F480)</f>
        <v/>
      </c>
      <c r="F466" s="287"/>
      <c r="G466" s="287"/>
      <c r="H466" s="287"/>
      <c r="I466" s="287"/>
      <c r="J466" s="287"/>
      <c r="K466" s="287"/>
      <c r="L466" s="279"/>
      <c r="M466" s="47">
        <v>1</v>
      </c>
      <c r="N466" s="34"/>
      <c r="O466" s="59">
        <f t="shared" si="81"/>
        <v>1</v>
      </c>
      <c r="P466" s="62">
        <f t="shared" si="82"/>
        <v>1</v>
      </c>
      <c r="Q466" s="46"/>
      <c r="R466" s="34"/>
    </row>
    <row r="467" spans="1:18" x14ac:dyDescent="0.3">
      <c r="A467" s="3" t="str">
        <f>'Selbstbeurteilung Kunde'!A481</f>
        <v>9.3.1.c</v>
      </c>
      <c r="B467" s="6" t="str">
        <f>'Selbstbeurteilung Kunde'!C481</f>
        <v>Hohe einseitige, lokale Körperbelastungen?</v>
      </c>
      <c r="C467" s="49">
        <f>IF(ISBLANK('Selbstbeurteilung Kunde'!D481),0,1)</f>
        <v>0</v>
      </c>
      <c r="D467" s="49" t="str">
        <f>IF(AND('Selbstbeurteilung Kunde'!D481="",'Selbstbeurteilung Kunde'!E481=""),"*","")</f>
        <v>*</v>
      </c>
      <c r="E467" s="50" t="str">
        <f>IF(ISBLANK('Selbstbeurteilung Kunde'!F481),"",'Selbstbeurteilung Kunde'!F481)</f>
        <v/>
      </c>
      <c r="F467" s="287"/>
      <c r="G467" s="287"/>
      <c r="H467" s="287"/>
      <c r="I467" s="287"/>
      <c r="J467" s="287"/>
      <c r="K467" s="287"/>
      <c r="L467" s="279"/>
      <c r="M467" s="47">
        <v>1</v>
      </c>
      <c r="N467" s="34"/>
      <c r="O467" s="59">
        <f t="shared" si="81"/>
        <v>1</v>
      </c>
      <c r="P467" s="62">
        <f t="shared" si="82"/>
        <v>1</v>
      </c>
      <c r="Q467" s="46"/>
      <c r="R467" s="34"/>
    </row>
    <row r="468" spans="1:18" x14ac:dyDescent="0.3">
      <c r="A468" s="3" t="str">
        <f>'Selbstbeurteilung Kunde'!A482</f>
        <v>9.3.1.d</v>
      </c>
      <c r="B468" s="6" t="str">
        <f>'Selbstbeurteilung Kunde'!C482</f>
        <v>Hohe Belastungen der Atemorgane?</v>
      </c>
      <c r="C468" s="49">
        <f>IF(ISBLANK('Selbstbeurteilung Kunde'!D482),0,1)</f>
        <v>0</v>
      </c>
      <c r="D468" s="49" t="str">
        <f>IF(AND('Selbstbeurteilung Kunde'!D482="",'Selbstbeurteilung Kunde'!E482=""),"*","")</f>
        <v>*</v>
      </c>
      <c r="E468" s="50" t="str">
        <f>IF(ISBLANK('Selbstbeurteilung Kunde'!F482),"",'Selbstbeurteilung Kunde'!F482)</f>
        <v/>
      </c>
      <c r="F468" s="287"/>
      <c r="G468" s="287"/>
      <c r="H468" s="287"/>
      <c r="I468" s="287"/>
      <c r="J468" s="287"/>
      <c r="K468" s="287"/>
      <c r="L468" s="279"/>
      <c r="M468" s="47">
        <v>1</v>
      </c>
      <c r="N468" s="34"/>
      <c r="O468" s="59">
        <f t="shared" si="81"/>
        <v>1</v>
      </c>
      <c r="P468" s="62">
        <f t="shared" si="82"/>
        <v>1</v>
      </c>
      <c r="Q468" s="46"/>
      <c r="R468" s="34"/>
    </row>
    <row r="469" spans="1:18" ht="26.4" x14ac:dyDescent="0.3">
      <c r="A469" s="3" t="str">
        <f>'Selbstbeurteilung Kunde'!A483</f>
        <v>9.3.1.e</v>
      </c>
      <c r="B469" s="6" t="str">
        <f>'Selbstbeurteilung Kunde'!C483</f>
        <v>Hohe Anteile an statischen Arbeitshaltungen/ Muskelarbeit auf?</v>
      </c>
      <c r="C469" s="49">
        <f>IF(ISBLANK('Selbstbeurteilung Kunde'!D483),0,1)</f>
        <v>0</v>
      </c>
      <c r="D469" s="49" t="str">
        <f>IF(AND('Selbstbeurteilung Kunde'!D483="",'Selbstbeurteilung Kunde'!E483=""),"*","")</f>
        <v>*</v>
      </c>
      <c r="E469" s="50" t="str">
        <f>IF(ISBLANK('Selbstbeurteilung Kunde'!F483),"",'Selbstbeurteilung Kunde'!F483)</f>
        <v/>
      </c>
      <c r="F469" s="287"/>
      <c r="G469" s="287"/>
      <c r="H469" s="287"/>
      <c r="I469" s="287"/>
      <c r="J469" s="287"/>
      <c r="K469" s="287"/>
      <c r="L469" s="279"/>
      <c r="M469" s="47">
        <v>1</v>
      </c>
      <c r="N469" s="34"/>
      <c r="O469" s="59">
        <f t="shared" si="81"/>
        <v>1</v>
      </c>
      <c r="P469" s="62">
        <f t="shared" si="82"/>
        <v>1</v>
      </c>
      <c r="Q469" s="46"/>
      <c r="R469" s="34"/>
    </row>
    <row r="470" spans="1:18" x14ac:dyDescent="0.3">
      <c r="A470" s="3" t="str">
        <f>'Selbstbeurteilung Kunde'!A484</f>
        <v>9.3.1.f</v>
      </c>
      <c r="B470" s="6" t="str">
        <f>'Selbstbeurteilung Kunde'!C484</f>
        <v>Ungünstige Körperhaltungen und Zwangshaltungen auf?</v>
      </c>
      <c r="C470" s="49">
        <f>IF(ISBLANK('Selbstbeurteilung Kunde'!D484),0,1)</f>
        <v>0</v>
      </c>
      <c r="D470" s="49" t="str">
        <f>IF(AND('Selbstbeurteilung Kunde'!D484="",'Selbstbeurteilung Kunde'!E484=""),"*","")</f>
        <v>*</v>
      </c>
      <c r="E470" s="50" t="str">
        <f>IF(ISBLANK('Selbstbeurteilung Kunde'!F484),"",'Selbstbeurteilung Kunde'!F484)</f>
        <v/>
      </c>
      <c r="F470" s="287"/>
      <c r="G470" s="287"/>
      <c r="H470" s="287"/>
      <c r="I470" s="287"/>
      <c r="J470" s="287"/>
      <c r="K470" s="287"/>
      <c r="L470" s="279"/>
      <c r="M470" s="47">
        <v>1</v>
      </c>
      <c r="N470" s="34"/>
      <c r="O470" s="59">
        <f t="shared" si="81"/>
        <v>1</v>
      </c>
      <c r="P470" s="62">
        <f t="shared" si="82"/>
        <v>1</v>
      </c>
      <c r="Q470" s="46"/>
      <c r="R470" s="34"/>
    </row>
    <row r="471" spans="1:18" ht="26.4" x14ac:dyDescent="0.3">
      <c r="A471" s="3" t="str">
        <f>'Selbstbeurteilung Kunde'!A485</f>
        <v>9.3.1.g</v>
      </c>
      <c r="B471" s="6" t="str">
        <f>'Selbstbeurteilung Kunde'!C485</f>
        <v>Belastungen aufgrund des Hebens, Haltens, Tragens und Bewegens schwerer Lasten auf?</v>
      </c>
      <c r="C471" s="49">
        <f>IF(ISBLANK('Selbstbeurteilung Kunde'!D485),0,1)</f>
        <v>0</v>
      </c>
      <c r="D471" s="49" t="str">
        <f>IF(AND('Selbstbeurteilung Kunde'!D485="",'Selbstbeurteilung Kunde'!E485=""),"*","")</f>
        <v>*</v>
      </c>
      <c r="E471" s="50" t="str">
        <f>IF(ISBLANK('Selbstbeurteilung Kunde'!F485),"",'Selbstbeurteilung Kunde'!F485)</f>
        <v/>
      </c>
      <c r="F471" s="287"/>
      <c r="G471" s="287"/>
      <c r="H471" s="287"/>
      <c r="I471" s="287"/>
      <c r="J471" s="287"/>
      <c r="K471" s="287"/>
      <c r="L471" s="279"/>
      <c r="M471" s="47">
        <v>1</v>
      </c>
      <c r="N471" s="34"/>
      <c r="O471" s="59">
        <f t="shared" si="81"/>
        <v>1</v>
      </c>
      <c r="P471" s="62">
        <f t="shared" si="82"/>
        <v>1</v>
      </c>
      <c r="Q471" s="46"/>
      <c r="R471" s="34"/>
    </row>
    <row r="472" spans="1:18" x14ac:dyDescent="0.3">
      <c r="A472" s="3" t="str">
        <f>'Selbstbeurteilung Kunde'!A486</f>
        <v>9.3.1.h</v>
      </c>
      <c r="B472" s="6" t="str">
        <f>'Selbstbeurteilung Kunde'!C486</f>
        <v>Lärm?</v>
      </c>
      <c r="C472" s="49">
        <f>IF(ISBLANK('Selbstbeurteilung Kunde'!D486),0,1)</f>
        <v>0</v>
      </c>
      <c r="D472" s="49" t="str">
        <f>IF(AND('Selbstbeurteilung Kunde'!D486="",'Selbstbeurteilung Kunde'!E486=""),"*","")</f>
        <v>*</v>
      </c>
      <c r="E472" s="50" t="str">
        <f>IF(ISBLANK('Selbstbeurteilung Kunde'!F486),"",'Selbstbeurteilung Kunde'!F486)</f>
        <v/>
      </c>
      <c r="F472" s="287"/>
      <c r="G472" s="287"/>
      <c r="H472" s="287"/>
      <c r="I472" s="287"/>
      <c r="J472" s="287"/>
      <c r="K472" s="287"/>
      <c r="L472" s="279"/>
      <c r="M472" s="47">
        <v>1</v>
      </c>
      <c r="N472" s="34"/>
      <c r="O472" s="59">
        <f t="shared" si="81"/>
        <v>1</v>
      </c>
      <c r="P472" s="62">
        <f t="shared" si="82"/>
        <v>1</v>
      </c>
      <c r="Q472" s="46"/>
      <c r="R472" s="34"/>
    </row>
    <row r="473" spans="1:18" x14ac:dyDescent="0.3">
      <c r="A473" s="3" t="str">
        <f>'Selbstbeurteilung Kunde'!A487</f>
        <v>9.3.1.i</v>
      </c>
      <c r="B473" s="6" t="str">
        <f>'Selbstbeurteilung Kunde'!C487</f>
        <v>Vibration?</v>
      </c>
      <c r="C473" s="49">
        <f>IF(ISBLANK('Selbstbeurteilung Kunde'!D487),0,1)</f>
        <v>0</v>
      </c>
      <c r="D473" s="49" t="str">
        <f>IF(AND('Selbstbeurteilung Kunde'!D487="",'Selbstbeurteilung Kunde'!E487=""),"*","")</f>
        <v>*</v>
      </c>
      <c r="E473" s="50" t="str">
        <f>IF(ISBLANK('Selbstbeurteilung Kunde'!F487),"",'Selbstbeurteilung Kunde'!F487)</f>
        <v/>
      </c>
      <c r="F473" s="287"/>
      <c r="G473" s="287"/>
      <c r="H473" s="287"/>
      <c r="I473" s="287"/>
      <c r="J473" s="287"/>
      <c r="K473" s="287"/>
      <c r="L473" s="279"/>
      <c r="M473" s="47">
        <v>1</v>
      </c>
      <c r="N473" s="34"/>
      <c r="O473" s="59">
        <f t="shared" si="81"/>
        <v>1</v>
      </c>
      <c r="P473" s="62">
        <f t="shared" si="82"/>
        <v>1</v>
      </c>
      <c r="Q473" s="46"/>
      <c r="R473" s="34"/>
    </row>
    <row r="474" spans="1:18" x14ac:dyDescent="0.3">
      <c r="A474" s="3" t="str">
        <f>'Selbstbeurteilung Kunde'!A488</f>
        <v>9.3.1.j</v>
      </c>
      <c r="B474" s="6" t="str">
        <f>'Selbstbeurteilung Kunde'!C488</f>
        <v>Abgase?</v>
      </c>
      <c r="C474" s="49">
        <f>IF(ISBLANK('Selbstbeurteilung Kunde'!D488),0,1)</f>
        <v>0</v>
      </c>
      <c r="D474" s="49" t="str">
        <f>IF(AND('Selbstbeurteilung Kunde'!D488="",'Selbstbeurteilung Kunde'!E488=""),"*","")</f>
        <v>*</v>
      </c>
      <c r="E474" s="50" t="str">
        <f>IF(ISBLANK('Selbstbeurteilung Kunde'!F488),"",'Selbstbeurteilung Kunde'!F488)</f>
        <v/>
      </c>
      <c r="F474" s="290"/>
      <c r="G474" s="290"/>
      <c r="H474" s="290"/>
      <c r="I474" s="290"/>
      <c r="J474" s="290"/>
      <c r="K474" s="290"/>
      <c r="L474" s="279"/>
      <c r="M474" s="47">
        <v>1</v>
      </c>
      <c r="N474" s="34"/>
      <c r="O474" s="59">
        <f t="shared" si="81"/>
        <v>1</v>
      </c>
      <c r="P474" s="62">
        <f t="shared" si="82"/>
        <v>1</v>
      </c>
      <c r="Q474" s="46"/>
      <c r="R474" s="46"/>
    </row>
    <row r="475" spans="1:18" x14ac:dyDescent="0.3">
      <c r="A475" s="3" t="str">
        <f>'Selbstbeurteilung Kunde'!A489</f>
        <v>9.3.1.k</v>
      </c>
      <c r="B475" s="6" t="str">
        <f>'Selbstbeurteilung Kunde'!C489</f>
        <v>Hitze?</v>
      </c>
      <c r="C475" s="49">
        <f>IF(ISBLANK('Selbstbeurteilung Kunde'!D489),0,1)</f>
        <v>0</v>
      </c>
      <c r="D475" s="49" t="str">
        <f>IF(AND('Selbstbeurteilung Kunde'!D489="",'Selbstbeurteilung Kunde'!E489=""),"*","")</f>
        <v>*</v>
      </c>
      <c r="E475" s="50" t="str">
        <f>IF(ISBLANK('Selbstbeurteilung Kunde'!F489),"",'Selbstbeurteilung Kunde'!F489)</f>
        <v/>
      </c>
      <c r="F475" s="287"/>
      <c r="G475" s="287"/>
      <c r="H475" s="287"/>
      <c r="I475" s="287"/>
      <c r="J475" s="287"/>
      <c r="K475" s="287"/>
      <c r="L475" s="279"/>
      <c r="M475" s="47">
        <v>1</v>
      </c>
      <c r="N475" s="34"/>
      <c r="O475" s="59">
        <f t="shared" si="81"/>
        <v>1</v>
      </c>
      <c r="P475" s="62">
        <f t="shared" si="82"/>
        <v>1</v>
      </c>
      <c r="Q475" s="46"/>
      <c r="R475" s="34"/>
    </row>
    <row r="476" spans="1:18" x14ac:dyDescent="0.3">
      <c r="A476" s="3" t="str">
        <f>'Selbstbeurteilung Kunde'!A490</f>
        <v>9.3.1.l</v>
      </c>
      <c r="B476" s="6" t="str">
        <f>'Selbstbeurteilung Kunde'!C490</f>
        <v>Kälte?</v>
      </c>
      <c r="C476" s="49">
        <f>IF(ISBLANK('Selbstbeurteilung Kunde'!D490),0,1)</f>
        <v>0</v>
      </c>
      <c r="D476" s="49" t="str">
        <f>IF(AND('Selbstbeurteilung Kunde'!D490="",'Selbstbeurteilung Kunde'!E490=""),"*","")</f>
        <v>*</v>
      </c>
      <c r="E476" s="50" t="str">
        <f>IF(ISBLANK('Selbstbeurteilung Kunde'!F490),"",'Selbstbeurteilung Kunde'!F490)</f>
        <v/>
      </c>
      <c r="F476" s="287"/>
      <c r="G476" s="287"/>
      <c r="H476" s="287"/>
      <c r="I476" s="287"/>
      <c r="J476" s="287"/>
      <c r="K476" s="287"/>
      <c r="L476" s="279"/>
      <c r="M476" s="47">
        <v>1</v>
      </c>
      <c r="N476" s="34"/>
      <c r="O476" s="59">
        <f t="shared" si="81"/>
        <v>1</v>
      </c>
      <c r="P476" s="62">
        <f t="shared" si="82"/>
        <v>1</v>
      </c>
      <c r="Q476" s="46"/>
      <c r="R476" s="34"/>
    </row>
    <row r="477" spans="1:18" x14ac:dyDescent="0.3">
      <c r="A477" s="3" t="str">
        <f>'Selbstbeurteilung Kunde'!A491</f>
        <v>9.3.1.m</v>
      </c>
      <c r="B477" s="6" t="str">
        <f>'Selbstbeurteilung Kunde'!C491</f>
        <v>Feuchtigkeit?</v>
      </c>
      <c r="C477" s="49">
        <f>IF(ISBLANK('Selbstbeurteilung Kunde'!D491),0,1)</f>
        <v>0</v>
      </c>
      <c r="D477" s="49" t="str">
        <f>IF(AND('Selbstbeurteilung Kunde'!D491="",'Selbstbeurteilung Kunde'!E491=""),"*","")</f>
        <v>*</v>
      </c>
      <c r="E477" s="50" t="str">
        <f>IF(ISBLANK('Selbstbeurteilung Kunde'!F491),"",'Selbstbeurteilung Kunde'!F491)</f>
        <v/>
      </c>
      <c r="F477" s="290"/>
      <c r="G477" s="290"/>
      <c r="H477" s="290"/>
      <c r="I477" s="290"/>
      <c r="J477" s="290"/>
      <c r="K477" s="290"/>
      <c r="L477" s="279"/>
      <c r="M477" s="47">
        <v>1</v>
      </c>
      <c r="N477" s="34"/>
      <c r="O477" s="59">
        <f t="shared" si="81"/>
        <v>1</v>
      </c>
      <c r="P477" s="62">
        <f t="shared" si="82"/>
        <v>1</v>
      </c>
      <c r="Q477" s="46"/>
      <c r="R477" s="34"/>
    </row>
    <row r="478" spans="1:18" x14ac:dyDescent="0.3">
      <c r="A478" s="3" t="str">
        <f>'Selbstbeurteilung Kunde'!A492</f>
        <v>9.3.1.n</v>
      </c>
      <c r="B478" s="6" t="str">
        <f>'Selbstbeurteilung Kunde'!C492</f>
        <v>Nässe?</v>
      </c>
      <c r="C478" s="49">
        <f>IF(ISBLANK('Selbstbeurteilung Kunde'!D492),0,1)</f>
        <v>0</v>
      </c>
      <c r="D478" s="49" t="str">
        <f>IF(AND('Selbstbeurteilung Kunde'!D492="",'Selbstbeurteilung Kunde'!E492=""),"*","")</f>
        <v>*</v>
      </c>
      <c r="E478" s="50" t="str">
        <f>IF(ISBLANK('Selbstbeurteilung Kunde'!F492),"",'Selbstbeurteilung Kunde'!F492)</f>
        <v/>
      </c>
      <c r="F478" s="287"/>
      <c r="G478" s="287"/>
      <c r="H478" s="287"/>
      <c r="I478" s="287"/>
      <c r="J478" s="287"/>
      <c r="K478" s="287"/>
      <c r="L478" s="279"/>
      <c r="M478" s="47">
        <v>1</v>
      </c>
      <c r="N478" s="34"/>
      <c r="O478" s="59">
        <f t="shared" si="81"/>
        <v>1</v>
      </c>
      <c r="P478" s="62">
        <f t="shared" si="82"/>
        <v>1</v>
      </c>
      <c r="Q478" s="46"/>
      <c r="R478" s="34"/>
    </row>
    <row r="479" spans="1:18" x14ac:dyDescent="0.3">
      <c r="A479" s="3" t="str">
        <f>'Selbstbeurteilung Kunde'!A493</f>
        <v>9.3.1.o</v>
      </c>
      <c r="B479" s="6" t="str">
        <f>'Selbstbeurteilung Kunde'!C493</f>
        <v>Zugluft?</v>
      </c>
      <c r="C479" s="49">
        <f>IF(ISBLANK('Selbstbeurteilung Kunde'!D493),0,1)</f>
        <v>0</v>
      </c>
      <c r="D479" s="49" t="str">
        <f>IF(AND('Selbstbeurteilung Kunde'!D493="",'Selbstbeurteilung Kunde'!E493=""),"*","")</f>
        <v>*</v>
      </c>
      <c r="E479" s="50" t="str">
        <f>IF(ISBLANK('Selbstbeurteilung Kunde'!F493),"",'Selbstbeurteilung Kunde'!F493)</f>
        <v/>
      </c>
      <c r="F479" s="287"/>
      <c r="G479" s="287"/>
      <c r="H479" s="287"/>
      <c r="I479" s="287"/>
      <c r="J479" s="287"/>
      <c r="K479" s="287"/>
      <c r="L479" s="279"/>
      <c r="M479" s="47">
        <v>1</v>
      </c>
      <c r="N479" s="34"/>
      <c r="O479" s="59">
        <f t="shared" si="81"/>
        <v>1</v>
      </c>
      <c r="P479" s="62">
        <f t="shared" si="82"/>
        <v>1</v>
      </c>
      <c r="Q479" s="46"/>
      <c r="R479" s="34"/>
    </row>
    <row r="480" spans="1:18" x14ac:dyDescent="0.3">
      <c r="A480" s="3" t="str">
        <f>'Selbstbeurteilung Kunde'!A494</f>
        <v>9.3.1.p</v>
      </c>
      <c r="B480" s="6" t="str">
        <f>'Selbstbeurteilung Kunde'!C494</f>
        <v>Dämpfe?</v>
      </c>
      <c r="C480" s="49">
        <f>IF(ISBLANK('Selbstbeurteilung Kunde'!D494),0,1)</f>
        <v>0</v>
      </c>
      <c r="D480" s="49" t="str">
        <f>IF(AND('Selbstbeurteilung Kunde'!D494="",'Selbstbeurteilung Kunde'!E494=""),"*","")</f>
        <v>*</v>
      </c>
      <c r="E480" s="50" t="str">
        <f>IF(ISBLANK('Selbstbeurteilung Kunde'!F494),"",'Selbstbeurteilung Kunde'!F494)</f>
        <v/>
      </c>
      <c r="F480" s="287"/>
      <c r="G480" s="287"/>
      <c r="H480" s="287"/>
      <c r="I480" s="287"/>
      <c r="J480" s="287"/>
      <c r="K480" s="287"/>
      <c r="L480" s="279"/>
      <c r="M480" s="47">
        <v>1</v>
      </c>
      <c r="N480" s="34"/>
      <c r="O480" s="59">
        <f t="shared" si="81"/>
        <v>1</v>
      </c>
      <c r="P480" s="62">
        <f t="shared" si="82"/>
        <v>1</v>
      </c>
      <c r="Q480" s="46"/>
      <c r="R480" s="34"/>
    </row>
    <row r="481" spans="1:18" x14ac:dyDescent="0.3">
      <c r="A481" s="3" t="str">
        <f>'Selbstbeurteilung Kunde'!A495</f>
        <v>9.3.1.q</v>
      </c>
      <c r="B481" s="6" t="str">
        <f>'Selbstbeurteilung Kunde'!C495</f>
        <v>Stäube?</v>
      </c>
      <c r="C481" s="49">
        <f>IF(ISBLANK('Selbstbeurteilung Kunde'!D495),0,1)</f>
        <v>0</v>
      </c>
      <c r="D481" s="49" t="str">
        <f>IF(AND('Selbstbeurteilung Kunde'!D495="",'Selbstbeurteilung Kunde'!E495=""),"*","")</f>
        <v>*</v>
      </c>
      <c r="E481" s="50" t="str">
        <f>IF(ISBLANK('Selbstbeurteilung Kunde'!F495),"",'Selbstbeurteilung Kunde'!F495)</f>
        <v/>
      </c>
      <c r="F481" s="290"/>
      <c r="G481" s="290"/>
      <c r="H481" s="290"/>
      <c r="I481" s="290"/>
      <c r="J481" s="290"/>
      <c r="K481" s="290"/>
      <c r="L481" s="279"/>
      <c r="M481" s="47">
        <v>1</v>
      </c>
      <c r="N481" s="34"/>
      <c r="O481" s="59">
        <f t="shared" si="81"/>
        <v>1</v>
      </c>
      <c r="P481" s="62">
        <f t="shared" si="82"/>
        <v>1</v>
      </c>
      <c r="Q481" s="46"/>
      <c r="R481" s="46"/>
    </row>
    <row r="482" spans="1:18" x14ac:dyDescent="0.3">
      <c r="A482" s="3" t="str">
        <f>'Selbstbeurteilung Kunde'!A496</f>
        <v>9.3.1.r</v>
      </c>
      <c r="B482" s="6" t="str">
        <f>'Selbstbeurteilung Kunde'!C496</f>
        <v>Nebel?</v>
      </c>
      <c r="C482" s="49">
        <f>IF(ISBLANK('Selbstbeurteilung Kunde'!D496),0,1)</f>
        <v>0</v>
      </c>
      <c r="D482" s="49" t="str">
        <f>IF(AND('Selbstbeurteilung Kunde'!D496="",'Selbstbeurteilung Kunde'!E496=""),"*","")</f>
        <v>*</v>
      </c>
      <c r="E482" s="50" t="str">
        <f>IF(ISBLANK('Selbstbeurteilung Kunde'!F496),"",'Selbstbeurteilung Kunde'!F496)</f>
        <v/>
      </c>
      <c r="F482" s="287"/>
      <c r="G482" s="287"/>
      <c r="H482" s="287"/>
      <c r="I482" s="287"/>
      <c r="J482" s="287"/>
      <c r="K482" s="287"/>
      <c r="L482" s="279"/>
      <c r="M482" s="47">
        <v>1</v>
      </c>
      <c r="N482" s="34"/>
      <c r="O482" s="59">
        <f t="shared" si="81"/>
        <v>1</v>
      </c>
      <c r="P482" s="62">
        <f t="shared" si="82"/>
        <v>1</v>
      </c>
      <c r="Q482" s="46"/>
      <c r="R482" s="34"/>
    </row>
    <row r="483" spans="1:18" x14ac:dyDescent="0.3">
      <c r="A483" s="3" t="str">
        <f>'Selbstbeurteilung Kunde'!A497</f>
        <v>9.3.1.s</v>
      </c>
      <c r="B483" s="6" t="str">
        <f>'Selbstbeurteilung Kunde'!C497</f>
        <v>Rauch?</v>
      </c>
      <c r="C483" s="49">
        <f>IF(ISBLANK('Selbstbeurteilung Kunde'!D497),0,1)</f>
        <v>0</v>
      </c>
      <c r="D483" s="49" t="str">
        <f>IF(AND('Selbstbeurteilung Kunde'!D497="",'Selbstbeurteilung Kunde'!E497=""),"*","")</f>
        <v>*</v>
      </c>
      <c r="E483" s="50" t="str">
        <f>IF(ISBLANK('Selbstbeurteilung Kunde'!F497),"",'Selbstbeurteilung Kunde'!F497)</f>
        <v/>
      </c>
      <c r="F483" s="287"/>
      <c r="G483" s="287"/>
      <c r="H483" s="287"/>
      <c r="I483" s="287"/>
      <c r="J483" s="287"/>
      <c r="K483" s="287"/>
      <c r="L483" s="279"/>
      <c r="M483" s="47">
        <v>1</v>
      </c>
      <c r="N483" s="34"/>
      <c r="O483" s="59">
        <f t="shared" si="81"/>
        <v>1</v>
      </c>
      <c r="P483" s="62">
        <f t="shared" si="82"/>
        <v>1</v>
      </c>
      <c r="Q483" s="46"/>
      <c r="R483" s="34"/>
    </row>
    <row r="484" spans="1:18" x14ac:dyDescent="0.3">
      <c r="A484" s="3" t="str">
        <f>'Selbstbeurteilung Kunde'!A498</f>
        <v>9.3.1.t</v>
      </c>
      <c r="B484" s="6" t="str">
        <f>'Selbstbeurteilung Kunde'!C498</f>
        <v>Gase?</v>
      </c>
      <c r="C484" s="49">
        <f>IF(ISBLANK('Selbstbeurteilung Kunde'!D498),0,1)</f>
        <v>0</v>
      </c>
      <c r="D484" s="49" t="str">
        <f>IF(AND('Selbstbeurteilung Kunde'!D498="",'Selbstbeurteilung Kunde'!E498=""),"*","")</f>
        <v>*</v>
      </c>
      <c r="E484" s="50" t="str">
        <f>IF(ISBLANK('Selbstbeurteilung Kunde'!F498),"",'Selbstbeurteilung Kunde'!F498)</f>
        <v/>
      </c>
      <c r="F484" s="287"/>
      <c r="G484" s="287"/>
      <c r="H484" s="287"/>
      <c r="I484" s="287"/>
      <c r="J484" s="287"/>
      <c r="K484" s="287"/>
      <c r="L484" s="279"/>
      <c r="M484" s="47">
        <v>1</v>
      </c>
      <c r="N484" s="34"/>
      <c r="O484" s="59">
        <f t="shared" si="81"/>
        <v>1</v>
      </c>
      <c r="P484" s="62">
        <f t="shared" si="82"/>
        <v>1</v>
      </c>
      <c r="Q484" s="46"/>
      <c r="R484" s="34"/>
    </row>
    <row r="485" spans="1:18" x14ac:dyDescent="0.3">
      <c r="A485" s="3" t="str">
        <f>'Selbstbeurteilung Kunde'!A499</f>
        <v>9.3.1.u</v>
      </c>
      <c r="B485" s="6" t="str">
        <f>'Selbstbeurteilung Kunde'!C499</f>
        <v>Stoffe?</v>
      </c>
      <c r="C485" s="49">
        <f>IF(ISBLANK('Selbstbeurteilung Kunde'!D499),0,1)</f>
        <v>0</v>
      </c>
      <c r="D485" s="49" t="str">
        <f>IF(AND('Selbstbeurteilung Kunde'!D499="",'Selbstbeurteilung Kunde'!E499=""),"*","")</f>
        <v>*</v>
      </c>
      <c r="E485" s="50" t="str">
        <f>IF(ISBLANK('Selbstbeurteilung Kunde'!F499),"",'Selbstbeurteilung Kunde'!F499)</f>
        <v/>
      </c>
      <c r="F485" s="287"/>
      <c r="G485" s="287"/>
      <c r="H485" s="287"/>
      <c r="I485" s="287"/>
      <c r="J485" s="287"/>
      <c r="K485" s="287"/>
      <c r="L485" s="279"/>
      <c r="M485" s="47">
        <v>1</v>
      </c>
      <c r="N485" s="34"/>
      <c r="O485" s="59">
        <f t="shared" si="81"/>
        <v>1</v>
      </c>
      <c r="P485" s="62">
        <f t="shared" si="82"/>
        <v>1</v>
      </c>
      <c r="Q485" s="46"/>
      <c r="R485" s="34"/>
    </row>
    <row r="486" spans="1:18" x14ac:dyDescent="0.3">
      <c r="A486" s="3" t="str">
        <f>'Selbstbeurteilung Kunde'!A500</f>
        <v>9.3.1.v</v>
      </c>
      <c r="B486" s="6" t="str">
        <f>'Selbstbeurteilung Kunde'!C500</f>
        <v>Strahlen/Strahlungsfelder?</v>
      </c>
      <c r="C486" s="49">
        <f>IF(ISBLANK('Selbstbeurteilung Kunde'!D500),0,1)</f>
        <v>0</v>
      </c>
      <c r="D486" s="49" t="str">
        <f>IF(AND('Selbstbeurteilung Kunde'!D500="",'Selbstbeurteilung Kunde'!E500=""),"*","")</f>
        <v>*</v>
      </c>
      <c r="E486" s="50" t="str">
        <f>IF(ISBLANK('Selbstbeurteilung Kunde'!F500),"",'Selbstbeurteilung Kunde'!F500)</f>
        <v/>
      </c>
      <c r="F486" s="290"/>
      <c r="G486" s="290"/>
      <c r="H486" s="290"/>
      <c r="I486" s="290"/>
      <c r="J486" s="290"/>
      <c r="K486" s="290"/>
      <c r="L486" s="279"/>
      <c r="M486" s="47">
        <v>1</v>
      </c>
      <c r="N486" s="34"/>
      <c r="O486" s="59">
        <f t="shared" si="81"/>
        <v>1</v>
      </c>
      <c r="P486" s="62">
        <f t="shared" si="82"/>
        <v>1</v>
      </c>
      <c r="Q486" s="46"/>
      <c r="R486" s="46"/>
    </row>
    <row r="487" spans="1:18" x14ac:dyDescent="0.3">
      <c r="A487" s="3" t="str">
        <f>'Selbstbeurteilung Kunde'!A501</f>
        <v>9.3.1.w</v>
      </c>
      <c r="B487" s="6" t="str">
        <f>'Selbstbeurteilung Kunde'!C501</f>
        <v>Geruchsbelästigungen?</v>
      </c>
      <c r="C487" s="49">
        <f>IF(ISBLANK('Selbstbeurteilung Kunde'!D501),0,1)</f>
        <v>0</v>
      </c>
      <c r="D487" s="49" t="str">
        <f>IF(AND('Selbstbeurteilung Kunde'!D501="",'Selbstbeurteilung Kunde'!E501=""),"*","")</f>
        <v>*</v>
      </c>
      <c r="E487" s="50" t="str">
        <f>IF(ISBLANK('Selbstbeurteilung Kunde'!F501),"",'Selbstbeurteilung Kunde'!F501)</f>
        <v/>
      </c>
      <c r="F487" s="290"/>
      <c r="G487" s="290"/>
      <c r="H487" s="290"/>
      <c r="I487" s="290"/>
      <c r="J487" s="290"/>
      <c r="K487" s="290"/>
      <c r="L487" s="279"/>
      <c r="M487" s="47">
        <v>1</v>
      </c>
      <c r="N487" s="34"/>
      <c r="O487" s="59">
        <f t="shared" si="81"/>
        <v>1</v>
      </c>
      <c r="P487" s="62">
        <f t="shared" si="82"/>
        <v>1</v>
      </c>
      <c r="Q487" s="46"/>
      <c r="R487" s="34"/>
    </row>
    <row r="488" spans="1:18" x14ac:dyDescent="0.3">
      <c r="A488" s="3" t="str">
        <f>'Selbstbeurteilung Kunde'!A502</f>
        <v>9.3.1.x</v>
      </c>
      <c r="B488" s="6" t="str">
        <f>'Selbstbeurteilung Kunde'!C502</f>
        <v>Lichtverhältnisse, Beleuchtung?</v>
      </c>
      <c r="C488" s="49">
        <f>IF(ISBLANK('Selbstbeurteilung Kunde'!D502),0,1)</f>
        <v>0</v>
      </c>
      <c r="D488" s="49" t="str">
        <f>IF(AND('Selbstbeurteilung Kunde'!D502="",'Selbstbeurteilung Kunde'!E502=""),"*","")</f>
        <v>*</v>
      </c>
      <c r="E488" s="50" t="str">
        <f>IF(ISBLANK('Selbstbeurteilung Kunde'!F502),"",'Selbstbeurteilung Kunde'!F502)</f>
        <v/>
      </c>
      <c r="F488" s="287"/>
      <c r="G488" s="287"/>
      <c r="H488" s="287"/>
      <c r="I488" s="287"/>
      <c r="J488" s="287"/>
      <c r="K488" s="287"/>
      <c r="L488" s="279"/>
      <c r="M488" s="47">
        <v>1</v>
      </c>
      <c r="N488" s="34"/>
      <c r="O488" s="59">
        <f t="shared" si="81"/>
        <v>1</v>
      </c>
      <c r="P488" s="62">
        <f t="shared" si="82"/>
        <v>1</v>
      </c>
      <c r="Q488" s="46"/>
      <c r="R488" s="34"/>
    </row>
    <row r="489" spans="1:18" x14ac:dyDescent="0.3">
      <c r="A489" s="3" t="str">
        <f>'Selbstbeurteilung Kunde'!A503</f>
        <v>9.3.1.y</v>
      </c>
      <c r="B489" s="6" t="str">
        <f>'Selbstbeurteilung Kunde'!C503</f>
        <v>Sichtverhältnisse?</v>
      </c>
      <c r="C489" s="49">
        <f>IF(ISBLANK('Selbstbeurteilung Kunde'!D503),0,1)</f>
        <v>0</v>
      </c>
      <c r="D489" s="49" t="str">
        <f>IF(AND('Selbstbeurteilung Kunde'!D503="",'Selbstbeurteilung Kunde'!E503=""),"*","")</f>
        <v>*</v>
      </c>
      <c r="E489" s="50" t="str">
        <f>IF(ISBLANK('Selbstbeurteilung Kunde'!F503),"",'Selbstbeurteilung Kunde'!F503)</f>
        <v/>
      </c>
      <c r="F489" s="287"/>
      <c r="G489" s="287"/>
      <c r="H489" s="287"/>
      <c r="I489" s="287"/>
      <c r="J489" s="287"/>
      <c r="K489" s="287"/>
      <c r="L489" s="279"/>
      <c r="M489" s="47">
        <v>1</v>
      </c>
      <c r="N489" s="34"/>
      <c r="O489" s="59">
        <f t="shared" si="81"/>
        <v>1</v>
      </c>
      <c r="P489" s="62">
        <f t="shared" si="82"/>
        <v>1</v>
      </c>
      <c r="Q489" s="46"/>
      <c r="R489" s="34"/>
    </row>
    <row r="490" spans="1:18" x14ac:dyDescent="0.3">
      <c r="A490" s="3" t="str">
        <f>'Selbstbeurteilung Kunde'!A504</f>
        <v>9.3.1.z</v>
      </c>
      <c r="B490" s="6" t="str">
        <f>'Selbstbeurteilung Kunde'!C504</f>
        <v xml:space="preserve">Andere physische Belastungen? Wenn ja, welche? </v>
      </c>
      <c r="C490" s="49">
        <f>IF(ISBLANK('Selbstbeurteilung Kunde'!D504),0,1)</f>
        <v>0</v>
      </c>
      <c r="D490" s="49" t="str">
        <f>IF(AND('Selbstbeurteilung Kunde'!D504="",'Selbstbeurteilung Kunde'!E504=""),"*","")</f>
        <v>*</v>
      </c>
      <c r="E490" s="50" t="str">
        <f>IF(ISBLANK('Selbstbeurteilung Kunde'!F504),"",'Selbstbeurteilung Kunde'!F504)</f>
        <v/>
      </c>
      <c r="F490" s="287"/>
      <c r="G490" s="287"/>
      <c r="H490" s="287"/>
      <c r="I490" s="287"/>
      <c r="J490" s="287"/>
      <c r="K490" s="287"/>
      <c r="L490" s="279"/>
      <c r="M490" s="47">
        <v>1</v>
      </c>
      <c r="N490" s="34"/>
      <c r="O490" s="59">
        <f t="shared" si="81"/>
        <v>1</v>
      </c>
      <c r="P490" s="62">
        <f t="shared" si="82"/>
        <v>1</v>
      </c>
      <c r="Q490" s="46"/>
      <c r="R490" s="34"/>
    </row>
    <row r="491" spans="1:18" x14ac:dyDescent="0.3">
      <c r="A491" s="27" t="str">
        <f>'Selbstbeurteilung Kunde'!A505</f>
        <v>9.4.</v>
      </c>
      <c r="B491" s="27" t="str">
        <f>'Selbstbeurteilung Kunde'!B505</f>
        <v>Psychische Arbeitsbelastung</v>
      </c>
      <c r="C491" s="28">
        <f>O491/N491</f>
        <v>1</v>
      </c>
      <c r="D491" s="350"/>
      <c r="E491" s="37" t="str">
        <f>IF(ISBLANK('Selbstbeurteilung Kunde'!F505),"",'Selbstbeurteilung Kunde'!F505)</f>
        <v/>
      </c>
      <c r="F491" s="282"/>
      <c r="G491" s="282"/>
      <c r="H491" s="282"/>
      <c r="I491" s="282"/>
      <c r="J491" s="282"/>
      <c r="K491" s="282"/>
      <c r="L491" s="63">
        <f>P491/N491</f>
        <v>1</v>
      </c>
      <c r="M491" s="29">
        <v>0</v>
      </c>
      <c r="N491" s="29">
        <f>SUM(M492:M506)</f>
        <v>15</v>
      </c>
      <c r="O491" s="31">
        <f>SUM(O492:O506)</f>
        <v>15</v>
      </c>
      <c r="P491" s="31">
        <f>SUM(P492:P506)</f>
        <v>15</v>
      </c>
      <c r="Q491" s="65">
        <f>O491/$N491*$M491</f>
        <v>0</v>
      </c>
      <c r="R491" s="65">
        <f>P491/$N491*$M491</f>
        <v>0</v>
      </c>
    </row>
    <row r="492" spans="1:18" ht="52.8" x14ac:dyDescent="0.3">
      <c r="A492" s="3" t="str">
        <f>'Selbstbeurteilung Kunde'!A506</f>
        <v>9.4.1.a</v>
      </c>
      <c r="B492" s="6" t="str">
        <f>'Selbstbeurteilung Kunde'!C506</f>
        <v>Treten an den Arbeitsplätzen Ihres Unternehmens die folgenden sicherheits-und gesundheitsrelevante Belastungen psychischer Art auf:
Unklare Zuständigkeiten?</v>
      </c>
      <c r="C492" s="49">
        <f>IF(ISBLANK('Selbstbeurteilung Kunde'!D506),0,1)</f>
        <v>0</v>
      </c>
      <c r="D492" s="49" t="str">
        <f>IF(AND('Selbstbeurteilung Kunde'!D506="",'Selbstbeurteilung Kunde'!E506=""),"*","")</f>
        <v>*</v>
      </c>
      <c r="E492" s="50" t="str">
        <f>IF(ISBLANK('Selbstbeurteilung Kunde'!F506),"",'Selbstbeurteilung Kunde'!F506)</f>
        <v/>
      </c>
      <c r="F492" s="287"/>
      <c r="G492" s="287"/>
      <c r="H492" s="287"/>
      <c r="I492" s="287"/>
      <c r="J492" s="287"/>
      <c r="K492" s="287"/>
      <c r="L492" s="279"/>
      <c r="M492" s="47">
        <v>1</v>
      </c>
      <c r="N492" s="34"/>
      <c r="O492" s="59">
        <f t="shared" ref="O492:O506" si="83">(1-C492)*M492</f>
        <v>1</v>
      </c>
      <c r="P492" s="62">
        <f t="shared" ref="P492:P506" si="84">(1-L492)*M492</f>
        <v>1</v>
      </c>
      <c r="Q492" s="46"/>
      <c r="R492" s="34"/>
    </row>
    <row r="493" spans="1:18" ht="26.4" x14ac:dyDescent="0.3">
      <c r="A493" s="3" t="str">
        <f>'Selbstbeurteilung Kunde'!A507</f>
        <v>9.4.1.b</v>
      </c>
      <c r="B493" s="6" t="str">
        <f>'Selbstbeurteilung Kunde'!C507</f>
        <v>Unverhältnismässigkeit von Aufgaben, Kompetenzen und Verantwortlichkeit?</v>
      </c>
      <c r="C493" s="49">
        <f>IF(ISBLANK('Selbstbeurteilung Kunde'!D507),0,1)</f>
        <v>0</v>
      </c>
      <c r="D493" s="49" t="str">
        <f>IF(AND('Selbstbeurteilung Kunde'!D507="",'Selbstbeurteilung Kunde'!E507=""),"*","")</f>
        <v>*</v>
      </c>
      <c r="E493" s="50" t="str">
        <f>IF(ISBLANK('Selbstbeurteilung Kunde'!F507),"",'Selbstbeurteilung Kunde'!F507)</f>
        <v/>
      </c>
      <c r="F493" s="290"/>
      <c r="G493" s="290"/>
      <c r="H493" s="290"/>
      <c r="I493" s="290"/>
      <c r="J493" s="290"/>
      <c r="K493" s="290"/>
      <c r="L493" s="279"/>
      <c r="M493" s="47">
        <v>1</v>
      </c>
      <c r="N493" s="34"/>
      <c r="O493" s="59">
        <f t="shared" si="83"/>
        <v>1</v>
      </c>
      <c r="P493" s="62">
        <f t="shared" si="84"/>
        <v>1</v>
      </c>
      <c r="Q493" s="46"/>
      <c r="R493" s="46"/>
    </row>
    <row r="494" spans="1:18" x14ac:dyDescent="0.3">
      <c r="A494" s="3" t="str">
        <f>'Selbstbeurteilung Kunde'!A508</f>
        <v>9.4.1.c</v>
      </c>
      <c r="B494" s="6" t="str">
        <f>'Selbstbeurteilung Kunde'!C508</f>
        <v>Widersprüchliche Informationen und Arbeitsanweisungen?</v>
      </c>
      <c r="C494" s="49">
        <f>IF(ISBLANK('Selbstbeurteilung Kunde'!D508),0,1)</f>
        <v>0</v>
      </c>
      <c r="D494" s="49" t="str">
        <f>IF(AND('Selbstbeurteilung Kunde'!D508="",'Selbstbeurteilung Kunde'!E508=""),"*","")</f>
        <v>*</v>
      </c>
      <c r="E494" s="50" t="str">
        <f>IF(ISBLANK('Selbstbeurteilung Kunde'!F508),"",'Selbstbeurteilung Kunde'!F508)</f>
        <v/>
      </c>
      <c r="F494" s="287"/>
      <c r="G494" s="287"/>
      <c r="H494" s="287"/>
      <c r="I494" s="287"/>
      <c r="J494" s="287"/>
      <c r="K494" s="287"/>
      <c r="L494" s="279"/>
      <c r="M494" s="47">
        <v>1</v>
      </c>
      <c r="N494" s="48"/>
      <c r="O494" s="59">
        <f t="shared" si="83"/>
        <v>1</v>
      </c>
      <c r="P494" s="62">
        <f t="shared" si="84"/>
        <v>1</v>
      </c>
      <c r="Q494" s="46"/>
      <c r="R494" s="48"/>
    </row>
    <row r="495" spans="1:18" x14ac:dyDescent="0.3">
      <c r="A495" s="3" t="str">
        <f>'Selbstbeurteilung Kunde'!A509</f>
        <v>9.4.1.d</v>
      </c>
      <c r="B495" s="6" t="str">
        <f>'Selbstbeurteilung Kunde'!C509</f>
        <v>Informations- und Kommunikationsmängel?</v>
      </c>
      <c r="C495" s="49">
        <f>IF(ISBLANK('Selbstbeurteilung Kunde'!D509),0,1)</f>
        <v>0</v>
      </c>
      <c r="D495" s="49" t="str">
        <f>IF(AND('Selbstbeurteilung Kunde'!D509="",'Selbstbeurteilung Kunde'!E509=""),"*","")</f>
        <v>*</v>
      </c>
      <c r="E495" s="50" t="str">
        <f>IF(ISBLANK('Selbstbeurteilung Kunde'!F509),"",'Selbstbeurteilung Kunde'!F509)</f>
        <v/>
      </c>
      <c r="F495" s="287"/>
      <c r="G495" s="287"/>
      <c r="H495" s="287"/>
      <c r="I495" s="287"/>
      <c r="J495" s="287"/>
      <c r="K495" s="287"/>
      <c r="L495" s="279"/>
      <c r="M495" s="47">
        <v>1</v>
      </c>
      <c r="N495" s="48"/>
      <c r="O495" s="59">
        <f t="shared" si="83"/>
        <v>1</v>
      </c>
      <c r="P495" s="62">
        <f t="shared" si="84"/>
        <v>1</v>
      </c>
      <c r="Q495" s="46"/>
      <c r="R495" s="48"/>
    </row>
    <row r="496" spans="1:18" x14ac:dyDescent="0.3">
      <c r="A496" s="3" t="str">
        <f>'Selbstbeurteilung Kunde'!A510</f>
        <v>9.4.1.e</v>
      </c>
      <c r="B496" s="6" t="str">
        <f>'Selbstbeurteilung Kunde'!C510</f>
        <v>Führungsmängel?</v>
      </c>
      <c r="C496" s="49">
        <f>IF(ISBLANK('Selbstbeurteilung Kunde'!D510),0,1)</f>
        <v>0</v>
      </c>
      <c r="D496" s="49" t="str">
        <f>IF(AND('Selbstbeurteilung Kunde'!D510="",'Selbstbeurteilung Kunde'!E510=""),"*","")</f>
        <v>*</v>
      </c>
      <c r="E496" s="50" t="str">
        <f>IF(ISBLANK('Selbstbeurteilung Kunde'!F510),"",'Selbstbeurteilung Kunde'!F510)</f>
        <v/>
      </c>
      <c r="F496" s="287"/>
      <c r="G496" s="287"/>
      <c r="H496" s="287"/>
      <c r="I496" s="287"/>
      <c r="J496" s="287"/>
      <c r="K496" s="287"/>
      <c r="L496" s="279"/>
      <c r="M496" s="47">
        <v>1</v>
      </c>
      <c r="N496" s="48"/>
      <c r="O496" s="59">
        <f t="shared" si="83"/>
        <v>1</v>
      </c>
      <c r="P496" s="62">
        <f t="shared" si="84"/>
        <v>1</v>
      </c>
      <c r="Q496" s="46"/>
      <c r="R496" s="48"/>
    </row>
    <row r="497" spans="1:18" x14ac:dyDescent="0.3">
      <c r="A497" s="3" t="str">
        <f>'Selbstbeurteilung Kunde'!A511</f>
        <v>9.4.1.f</v>
      </c>
      <c r="B497" s="6" t="str">
        <f>'Selbstbeurteilung Kunde'!C511</f>
        <v>Soziale Spannungen im Betrieb?</v>
      </c>
      <c r="C497" s="49">
        <f>IF(ISBLANK('Selbstbeurteilung Kunde'!D511),0,1)</f>
        <v>0</v>
      </c>
      <c r="D497" s="49" t="str">
        <f>IF(AND('Selbstbeurteilung Kunde'!D511="",'Selbstbeurteilung Kunde'!E511=""),"*","")</f>
        <v>*</v>
      </c>
      <c r="E497" s="50" t="str">
        <f>IF(ISBLANK('Selbstbeurteilung Kunde'!F511),"",'Selbstbeurteilung Kunde'!F511)</f>
        <v/>
      </c>
      <c r="F497" s="287"/>
      <c r="G497" s="287"/>
      <c r="H497" s="287"/>
      <c r="I497" s="287"/>
      <c r="J497" s="287"/>
      <c r="K497" s="287"/>
      <c r="L497" s="279"/>
      <c r="M497" s="47">
        <v>1</v>
      </c>
      <c r="N497" s="48"/>
      <c r="O497" s="59">
        <f t="shared" si="83"/>
        <v>1</v>
      </c>
      <c r="P497" s="62">
        <f t="shared" si="84"/>
        <v>1</v>
      </c>
      <c r="Q497" s="46"/>
      <c r="R497" s="48"/>
    </row>
    <row r="498" spans="1:18" x14ac:dyDescent="0.3">
      <c r="A498" s="3" t="str">
        <f>'Selbstbeurteilung Kunde'!A512</f>
        <v>9.4.1.g</v>
      </c>
      <c r="B498" s="6" t="str">
        <f>'Selbstbeurteilung Kunde'!C512</f>
        <v>Soziale Spannungen in Gruppen?</v>
      </c>
      <c r="C498" s="49">
        <f>IF(ISBLANK('Selbstbeurteilung Kunde'!D512),0,1)</f>
        <v>0</v>
      </c>
      <c r="D498" s="49" t="str">
        <f>IF(AND('Selbstbeurteilung Kunde'!D512="",'Selbstbeurteilung Kunde'!E512=""),"*","")</f>
        <v>*</v>
      </c>
      <c r="E498" s="50" t="str">
        <f>IF(ISBLANK('Selbstbeurteilung Kunde'!F512),"",'Selbstbeurteilung Kunde'!F512)</f>
        <v/>
      </c>
      <c r="F498" s="287"/>
      <c r="G498" s="287"/>
      <c r="H498" s="287"/>
      <c r="I498" s="287"/>
      <c r="J498" s="287"/>
      <c r="K498" s="287"/>
      <c r="L498" s="279"/>
      <c r="M498" s="47">
        <v>1</v>
      </c>
      <c r="N498" s="48"/>
      <c r="O498" s="59">
        <f t="shared" si="83"/>
        <v>1</v>
      </c>
      <c r="P498" s="62">
        <f t="shared" si="84"/>
        <v>1</v>
      </c>
      <c r="Q498" s="46"/>
      <c r="R498" s="48"/>
    </row>
    <row r="499" spans="1:18" ht="26.4" x14ac:dyDescent="0.3">
      <c r="A499" s="3" t="str">
        <f>'Selbstbeurteilung Kunde'!A513</f>
        <v>9.4.1.h</v>
      </c>
      <c r="B499" s="6" t="str">
        <f>'Selbstbeurteilung Kunde'!C513</f>
        <v>Mangelhafte Zusammenarbeit zwischen einzelnen Organisationseinheiten?</v>
      </c>
      <c r="C499" s="49">
        <f>IF(ISBLANK('Selbstbeurteilung Kunde'!D513),0,1)</f>
        <v>0</v>
      </c>
      <c r="D499" s="49" t="str">
        <f>IF(AND('Selbstbeurteilung Kunde'!D513="",'Selbstbeurteilung Kunde'!E513=""),"*","")</f>
        <v>*</v>
      </c>
      <c r="E499" s="50" t="str">
        <f>IF(ISBLANK('Selbstbeurteilung Kunde'!F513),"",'Selbstbeurteilung Kunde'!F513)</f>
        <v/>
      </c>
      <c r="F499" s="287"/>
      <c r="G499" s="287"/>
      <c r="H499" s="287"/>
      <c r="I499" s="287"/>
      <c r="J499" s="287"/>
      <c r="K499" s="287"/>
      <c r="L499" s="279"/>
      <c r="M499" s="47">
        <v>1</v>
      </c>
      <c r="N499" s="48"/>
      <c r="O499" s="59">
        <f t="shared" si="83"/>
        <v>1</v>
      </c>
      <c r="P499" s="62">
        <f t="shared" si="84"/>
        <v>1</v>
      </c>
      <c r="Q499" s="46"/>
      <c r="R499" s="48"/>
    </row>
    <row r="500" spans="1:18" x14ac:dyDescent="0.3">
      <c r="A500" s="3" t="str">
        <f>'Selbstbeurteilung Kunde'!A514</f>
        <v>9.4.1.i</v>
      </c>
      <c r="B500" s="6" t="str">
        <f>'Selbstbeurteilung Kunde'!C514</f>
        <v>Unbefriedigenden Arbeitsinhalte?</v>
      </c>
      <c r="C500" s="49">
        <f>IF(ISBLANK('Selbstbeurteilung Kunde'!D514),0,1)</f>
        <v>0</v>
      </c>
      <c r="D500" s="49" t="str">
        <f>IF(AND('Selbstbeurteilung Kunde'!D514="",'Selbstbeurteilung Kunde'!E514=""),"*","")</f>
        <v>*</v>
      </c>
      <c r="E500" s="50" t="str">
        <f>IF(ISBLANK('Selbstbeurteilung Kunde'!F514),"",'Selbstbeurteilung Kunde'!F514)</f>
        <v/>
      </c>
      <c r="F500" s="287"/>
      <c r="G500" s="287"/>
      <c r="H500" s="287"/>
      <c r="I500" s="287"/>
      <c r="J500" s="287"/>
      <c r="K500" s="287"/>
      <c r="L500" s="279"/>
      <c r="M500" s="47">
        <v>1</v>
      </c>
      <c r="N500" s="48"/>
      <c r="O500" s="59">
        <f t="shared" si="83"/>
        <v>1</v>
      </c>
      <c r="P500" s="62">
        <f t="shared" si="84"/>
        <v>1</v>
      </c>
      <c r="Q500" s="46"/>
      <c r="R500" s="48"/>
    </row>
    <row r="501" spans="1:18" ht="26.4" x14ac:dyDescent="0.3">
      <c r="A501" s="3" t="str">
        <f>'Selbstbeurteilung Kunde'!A515</f>
        <v>9.4.1.j</v>
      </c>
      <c r="B501" s="6" t="str">
        <f>'Selbstbeurteilung Kunde'!C515</f>
        <v>Hohen Arbeitstempo, welches von technischen Einrichtungen und Geräten bestimmt wird?</v>
      </c>
      <c r="C501" s="49">
        <f>IF(ISBLANK('Selbstbeurteilung Kunde'!D515),0,1)</f>
        <v>0</v>
      </c>
      <c r="D501" s="49" t="str">
        <f>IF(AND('Selbstbeurteilung Kunde'!D515="",'Selbstbeurteilung Kunde'!E515=""),"*","")</f>
        <v>*</v>
      </c>
      <c r="E501" s="50" t="str">
        <f>IF(ISBLANK('Selbstbeurteilung Kunde'!F515),"",'Selbstbeurteilung Kunde'!F515)</f>
        <v/>
      </c>
      <c r="F501" s="290"/>
      <c r="G501" s="290"/>
      <c r="H501" s="290"/>
      <c r="I501" s="290"/>
      <c r="J501" s="290"/>
      <c r="K501" s="290"/>
      <c r="L501" s="279"/>
      <c r="M501" s="47">
        <v>1</v>
      </c>
      <c r="N501" s="34"/>
      <c r="O501" s="59">
        <f t="shared" si="83"/>
        <v>1</v>
      </c>
      <c r="P501" s="62">
        <f t="shared" si="84"/>
        <v>1</v>
      </c>
      <c r="Q501" s="46"/>
      <c r="R501" s="46"/>
    </row>
    <row r="502" spans="1:18" x14ac:dyDescent="0.3">
      <c r="A502" s="3" t="str">
        <f>'Selbstbeurteilung Kunde'!A516</f>
        <v>9.4.1.k</v>
      </c>
      <c r="B502" s="6" t="str">
        <f>'Selbstbeurteilung Kunde'!C516</f>
        <v>Häufig auftretende Belastungsspitzen?</v>
      </c>
      <c r="C502" s="49">
        <f>IF(ISBLANK('Selbstbeurteilung Kunde'!D516),0,1)</f>
        <v>0</v>
      </c>
      <c r="D502" s="49" t="str">
        <f>IF(AND('Selbstbeurteilung Kunde'!D516="",'Selbstbeurteilung Kunde'!E516=""),"*","")</f>
        <v>*</v>
      </c>
      <c r="E502" s="50" t="str">
        <f>IF(ISBLANK('Selbstbeurteilung Kunde'!F516),"",'Selbstbeurteilung Kunde'!F516)</f>
        <v/>
      </c>
      <c r="F502" s="287"/>
      <c r="G502" s="287"/>
      <c r="H502" s="287"/>
      <c r="I502" s="287"/>
      <c r="J502" s="287"/>
      <c r="K502" s="287"/>
      <c r="L502" s="279"/>
      <c r="M502" s="47">
        <v>1</v>
      </c>
      <c r="N502" s="34"/>
      <c r="O502" s="59">
        <f t="shared" si="83"/>
        <v>1</v>
      </c>
      <c r="P502" s="62">
        <f t="shared" si="84"/>
        <v>1</v>
      </c>
      <c r="Q502" s="46"/>
      <c r="R502" s="34"/>
    </row>
    <row r="503" spans="1:18" x14ac:dyDescent="0.3">
      <c r="A503" s="3" t="str">
        <f>'Selbstbeurteilung Kunde'!A517</f>
        <v>9.4.1.l</v>
      </c>
      <c r="B503" s="6" t="str">
        <f>'Selbstbeurteilung Kunde'!C517</f>
        <v>Häufige Überzeit?</v>
      </c>
      <c r="C503" s="49">
        <f>IF(ISBLANK('Selbstbeurteilung Kunde'!D517),0,1)</f>
        <v>0</v>
      </c>
      <c r="D503" s="49" t="str">
        <f>IF(AND('Selbstbeurteilung Kunde'!D517="",'Selbstbeurteilung Kunde'!E517=""),"*","")</f>
        <v>*</v>
      </c>
      <c r="E503" s="50" t="str">
        <f>IF(ISBLANK('Selbstbeurteilung Kunde'!F517),"",'Selbstbeurteilung Kunde'!F517)</f>
        <v/>
      </c>
      <c r="F503" s="287"/>
      <c r="G503" s="287"/>
      <c r="H503" s="287"/>
      <c r="I503" s="287"/>
      <c r="J503" s="287"/>
      <c r="K503" s="287"/>
      <c r="L503" s="279"/>
      <c r="M503" s="47">
        <v>1</v>
      </c>
      <c r="N503" s="34"/>
      <c r="O503" s="59">
        <f t="shared" si="83"/>
        <v>1</v>
      </c>
      <c r="P503" s="62">
        <f t="shared" si="84"/>
        <v>1</v>
      </c>
      <c r="Q503" s="46"/>
      <c r="R503" s="34"/>
    </row>
    <row r="504" spans="1:18" ht="26.4" x14ac:dyDescent="0.3">
      <c r="A504" s="3" t="str">
        <f>'Selbstbeurteilung Kunde'!A518</f>
        <v>9.4.1.m</v>
      </c>
      <c r="B504" s="6" t="str">
        <f>'Selbstbeurteilung Kunde'!C518</f>
        <v>Hohe Arbeitsbelastung durch unverhältnismässige Arbeitsvolumen?</v>
      </c>
      <c r="C504" s="49">
        <f>IF(ISBLANK('Selbstbeurteilung Kunde'!D518),0,1)</f>
        <v>0</v>
      </c>
      <c r="D504" s="49" t="str">
        <f>IF(AND('Selbstbeurteilung Kunde'!D518="",'Selbstbeurteilung Kunde'!E518=""),"*","")</f>
        <v>*</v>
      </c>
      <c r="E504" s="50" t="str">
        <f>IF(ISBLANK('Selbstbeurteilung Kunde'!F518),"",'Selbstbeurteilung Kunde'!F518)</f>
        <v/>
      </c>
      <c r="F504" s="287"/>
      <c r="G504" s="287"/>
      <c r="H504" s="287"/>
      <c r="I504" s="287"/>
      <c r="J504" s="287"/>
      <c r="K504" s="287"/>
      <c r="L504" s="279"/>
      <c r="M504" s="47">
        <v>1</v>
      </c>
      <c r="N504" s="34"/>
      <c r="O504" s="59">
        <f t="shared" si="83"/>
        <v>1</v>
      </c>
      <c r="P504" s="62">
        <f t="shared" si="84"/>
        <v>1</v>
      </c>
      <c r="Q504" s="46"/>
      <c r="R504" s="34"/>
    </row>
    <row r="505" spans="1:18" x14ac:dyDescent="0.3">
      <c r="A505" s="3" t="str">
        <f>'Selbstbeurteilung Kunde'!A519</f>
        <v>9.4.1.n</v>
      </c>
      <c r="B505" s="6" t="str">
        <f>'Selbstbeurteilung Kunde'!C519</f>
        <v>Häufige Stresssituationen?</v>
      </c>
      <c r="C505" s="49">
        <f>IF(ISBLANK('Selbstbeurteilung Kunde'!D519),0,1)</f>
        <v>0</v>
      </c>
      <c r="D505" s="49" t="str">
        <f>IF(AND('Selbstbeurteilung Kunde'!D519="",'Selbstbeurteilung Kunde'!E519=""),"*","")</f>
        <v>*</v>
      </c>
      <c r="E505" s="50" t="str">
        <f>IF(ISBLANK('Selbstbeurteilung Kunde'!F519),"",'Selbstbeurteilung Kunde'!F519)</f>
        <v/>
      </c>
      <c r="F505" s="287"/>
      <c r="G505" s="287"/>
      <c r="H505" s="287"/>
      <c r="I505" s="287"/>
      <c r="J505" s="287"/>
      <c r="K505" s="287"/>
      <c r="L505" s="279"/>
      <c r="M505" s="47">
        <v>1</v>
      </c>
      <c r="N505" s="34"/>
      <c r="O505" s="59">
        <f t="shared" si="83"/>
        <v>1</v>
      </c>
      <c r="P505" s="62">
        <f t="shared" si="84"/>
        <v>1</v>
      </c>
      <c r="Q505" s="46"/>
      <c r="R505" s="34"/>
    </row>
    <row r="506" spans="1:18" x14ac:dyDescent="0.3">
      <c r="A506" s="3" t="str">
        <f>'Selbstbeurteilung Kunde'!A520</f>
        <v>9.4.1.o</v>
      </c>
      <c r="B506" s="6" t="str">
        <f>'Selbstbeurteilung Kunde'!C520</f>
        <v>Hoher Grad an Fremdbestimmung?</v>
      </c>
      <c r="C506" s="49">
        <f>IF(ISBLANK('Selbstbeurteilung Kunde'!D520),0,1)</f>
        <v>0</v>
      </c>
      <c r="D506" s="49" t="str">
        <f>IF(AND('Selbstbeurteilung Kunde'!D520="",'Selbstbeurteilung Kunde'!E520=""),"*","")</f>
        <v>*</v>
      </c>
      <c r="E506" s="50" t="str">
        <f>IF(ISBLANK('Selbstbeurteilung Kunde'!F520),"",'Selbstbeurteilung Kunde'!F520)</f>
        <v/>
      </c>
      <c r="F506" s="287"/>
      <c r="G506" s="287"/>
      <c r="H506" s="287"/>
      <c r="I506" s="287"/>
      <c r="J506" s="287"/>
      <c r="K506" s="287"/>
      <c r="L506" s="279"/>
      <c r="M506" s="47">
        <v>1</v>
      </c>
      <c r="N506" s="34"/>
      <c r="O506" s="59">
        <f t="shared" si="83"/>
        <v>1</v>
      </c>
      <c r="P506" s="62">
        <f t="shared" si="84"/>
        <v>1</v>
      </c>
      <c r="Q506" s="46"/>
      <c r="R506" s="34"/>
    </row>
    <row r="507" spans="1:18" x14ac:dyDescent="0.3">
      <c r="A507" s="27" t="str">
        <f>'Selbstbeurteilung Kunde'!A521</f>
        <v>9.5.</v>
      </c>
      <c r="B507" s="27" t="str">
        <f>'Selbstbeurteilung Kunde'!B521</f>
        <v>Arbeitszeitregelung</v>
      </c>
      <c r="C507" s="28">
        <f>O507/N507</f>
        <v>1</v>
      </c>
      <c r="D507" s="350"/>
      <c r="E507" s="37" t="str">
        <f>IF(ISBLANK('Selbstbeurteilung Kunde'!F521),"",'Selbstbeurteilung Kunde'!F521)</f>
        <v/>
      </c>
      <c r="F507" s="282"/>
      <c r="G507" s="282"/>
      <c r="H507" s="282"/>
      <c r="I507" s="282"/>
      <c r="J507" s="282"/>
      <c r="K507" s="282"/>
      <c r="L507" s="63">
        <f>P507/N507</f>
        <v>1</v>
      </c>
      <c r="M507" s="29">
        <v>0</v>
      </c>
      <c r="N507" s="29">
        <f>SUM(M508:M516)</f>
        <v>2</v>
      </c>
      <c r="O507" s="31">
        <f>SUM(O508:O516)</f>
        <v>2</v>
      </c>
      <c r="P507" s="31">
        <f>SUM(P508:P516)</f>
        <v>2</v>
      </c>
      <c r="Q507" s="65">
        <f>O507/$N507*$M507</f>
        <v>0</v>
      </c>
      <c r="R507" s="65">
        <f>P507/$N507*$M507</f>
        <v>0</v>
      </c>
    </row>
    <row r="508" spans="1:18" ht="39.6" x14ac:dyDescent="0.3">
      <c r="A508" s="3" t="str">
        <f>'Selbstbeurteilung Kunde'!A522</f>
        <v>9.5.1.a</v>
      </c>
      <c r="B508" s="6" t="str">
        <f>'Selbstbeurteilung Kunde'!C522</f>
        <v>Wie sind die Arbeitszeiten in Ihrem Unternehmen geregelt?
Tagesarbeitszeit?
Wenn ja, wieviele Stunden beträgt die Tagesarbeitszeit?</v>
      </c>
      <c r="C508" s="49">
        <f>IF(ISBLANK('Selbstbeurteilung Kunde'!D522),0,1)</f>
        <v>0</v>
      </c>
      <c r="D508" s="49" t="str">
        <f>IF(AND('Selbstbeurteilung Kunde'!D522="",'Selbstbeurteilung Kunde'!E522=""),"*","")</f>
        <v>*</v>
      </c>
      <c r="E508" s="50" t="str">
        <f>IF(ISBLANK('Selbstbeurteilung Kunde'!F522),"",'Selbstbeurteilung Kunde'!F522)</f>
        <v/>
      </c>
      <c r="F508" s="287"/>
      <c r="G508" s="287"/>
      <c r="H508" s="287"/>
      <c r="I508" s="287"/>
      <c r="J508" s="287"/>
      <c r="K508" s="287"/>
      <c r="L508" s="279"/>
      <c r="M508" s="47">
        <v>0</v>
      </c>
      <c r="N508" s="34"/>
      <c r="O508" s="35">
        <f>M508*C508</f>
        <v>0</v>
      </c>
      <c r="P508" s="54">
        <f>L508*M508</f>
        <v>0</v>
      </c>
      <c r="Q508" s="46"/>
      <c r="R508" s="34"/>
    </row>
    <row r="509" spans="1:18" ht="26.4" x14ac:dyDescent="0.3">
      <c r="A509" s="3" t="str">
        <f>'Selbstbeurteilung Kunde'!A523</f>
        <v>9.5.1.b</v>
      </c>
      <c r="B509" s="6" t="str">
        <f>'Selbstbeurteilung Kunde'!C523</f>
        <v>Wochenarbeitszeit?
Wenn ja, wieviele Stunden beträgt die Wochenarbeitszeit?</v>
      </c>
      <c r="C509" s="49">
        <f>IF(ISBLANK('Selbstbeurteilung Kunde'!D523),0,1)</f>
        <v>0</v>
      </c>
      <c r="D509" s="49" t="str">
        <f>IF(AND('Selbstbeurteilung Kunde'!D523="",'Selbstbeurteilung Kunde'!E523=""),"*","")</f>
        <v>*</v>
      </c>
      <c r="E509" s="50" t="str">
        <f>IF(ISBLANK('Selbstbeurteilung Kunde'!F523),"",'Selbstbeurteilung Kunde'!F523)</f>
        <v/>
      </c>
      <c r="F509" s="290"/>
      <c r="G509" s="290"/>
      <c r="H509" s="290"/>
      <c r="I509" s="290"/>
      <c r="J509" s="290"/>
      <c r="K509" s="290"/>
      <c r="L509" s="279"/>
      <c r="M509" s="47">
        <v>0</v>
      </c>
      <c r="N509" s="34"/>
      <c r="O509" s="35">
        <f>M509*C509</f>
        <v>0</v>
      </c>
      <c r="P509" s="54">
        <f t="shared" ref="P509:P512" si="85">L509*M509</f>
        <v>0</v>
      </c>
      <c r="Q509" s="46"/>
      <c r="R509" s="46"/>
    </row>
    <row r="510" spans="1:18" ht="26.4" x14ac:dyDescent="0.3">
      <c r="A510" s="3" t="str">
        <f>'Selbstbeurteilung Kunde'!A524</f>
        <v>9.5.1.c</v>
      </c>
      <c r="B510" s="6" t="str">
        <f>'Selbstbeurteilung Kunde'!C524</f>
        <v>Jahresarbeitszeit (Sollarbeitszeit)? Wenn ja, wieviele Stunden beträgt die Jahresarbeitszeit?</v>
      </c>
      <c r="C510" s="49">
        <f>IF(ISBLANK('Selbstbeurteilung Kunde'!D524),0,1)</f>
        <v>0</v>
      </c>
      <c r="D510" s="49" t="str">
        <f>IF(AND('Selbstbeurteilung Kunde'!D524="",'Selbstbeurteilung Kunde'!E524=""),"*","")</f>
        <v>*</v>
      </c>
      <c r="E510" s="50" t="str">
        <f>IF(ISBLANK('Selbstbeurteilung Kunde'!F524),"",'Selbstbeurteilung Kunde'!F524)</f>
        <v/>
      </c>
      <c r="F510" s="287"/>
      <c r="G510" s="287"/>
      <c r="H510" s="287"/>
      <c r="I510" s="287"/>
      <c r="J510" s="287"/>
      <c r="K510" s="287"/>
      <c r="L510" s="279"/>
      <c r="M510" s="47">
        <v>0</v>
      </c>
      <c r="N510" s="34"/>
      <c r="O510" s="35">
        <f>M510*C510</f>
        <v>0</v>
      </c>
      <c r="P510" s="54">
        <f t="shared" si="85"/>
        <v>0</v>
      </c>
      <c r="Q510" s="46"/>
      <c r="R510" s="34"/>
    </row>
    <row r="511" spans="1:18" ht="26.4" x14ac:dyDescent="0.3">
      <c r="A511" s="3" t="str">
        <f>'Selbstbeurteilung Kunde'!A525</f>
        <v>9.5.2.</v>
      </c>
      <c r="B511" s="6" t="str">
        <f>'Selbstbeurteilung Kunde'!C525</f>
        <v>Haben Sie gleitende Arbeitszeiten? Wenn ja, wie sind die Blockzeiten geregelt?</v>
      </c>
      <c r="C511" s="49">
        <f>IF(ISBLANK('Selbstbeurteilung Kunde'!D525),0,1)</f>
        <v>0</v>
      </c>
      <c r="D511" s="49" t="str">
        <f>IF(AND('Selbstbeurteilung Kunde'!D525="",'Selbstbeurteilung Kunde'!E525=""),"*","")</f>
        <v>*</v>
      </c>
      <c r="E511" s="50" t="str">
        <f>IF(ISBLANK('Selbstbeurteilung Kunde'!F525),"",'Selbstbeurteilung Kunde'!F525)</f>
        <v/>
      </c>
      <c r="F511" s="287"/>
      <c r="G511" s="287"/>
      <c r="H511" s="287"/>
      <c r="I511" s="287"/>
      <c r="J511" s="287"/>
      <c r="K511" s="287"/>
      <c r="L511" s="279"/>
      <c r="M511" s="47">
        <v>0</v>
      </c>
      <c r="N511" s="34"/>
      <c r="O511" s="35">
        <f>M511*C511</f>
        <v>0</v>
      </c>
      <c r="P511" s="54">
        <f t="shared" si="85"/>
        <v>0</v>
      </c>
      <c r="Q511" s="46"/>
      <c r="R511" s="34"/>
    </row>
    <row r="512" spans="1:18" x14ac:dyDescent="0.3">
      <c r="A512" s="3" t="str">
        <f>'Selbstbeurteilung Kunde'!A526</f>
        <v>9.5.3.</v>
      </c>
      <c r="B512" s="6" t="str">
        <f>'Selbstbeurteilung Kunde'!C526</f>
        <v>Haben Sie andere Arbeitszeitmodelle? Wenn ja, welche?</v>
      </c>
      <c r="C512" s="49">
        <f>IF(ISBLANK('Selbstbeurteilung Kunde'!D526),0,1)</f>
        <v>0</v>
      </c>
      <c r="D512" s="49" t="str">
        <f>IF(AND('Selbstbeurteilung Kunde'!D526="",'Selbstbeurteilung Kunde'!E526=""),"*","")</f>
        <v>*</v>
      </c>
      <c r="E512" s="50" t="str">
        <f>IF(ISBLANK('Selbstbeurteilung Kunde'!F526),"",'Selbstbeurteilung Kunde'!F526)</f>
        <v/>
      </c>
      <c r="F512" s="287"/>
      <c r="G512" s="287"/>
      <c r="H512" s="287"/>
      <c r="I512" s="287"/>
      <c r="J512" s="287"/>
      <c r="K512" s="287"/>
      <c r="L512" s="279"/>
      <c r="M512" s="47">
        <v>0</v>
      </c>
      <c r="N512" s="34"/>
      <c r="O512" s="35">
        <f>C512*M512</f>
        <v>0</v>
      </c>
      <c r="P512" s="54">
        <f t="shared" si="85"/>
        <v>0</v>
      </c>
      <c r="Q512" s="46"/>
      <c r="R512" s="34"/>
    </row>
    <row r="513" spans="1:18" x14ac:dyDescent="0.3">
      <c r="A513" s="3" t="str">
        <f>'Selbstbeurteilung Kunde'!A527</f>
        <v>9.5.4.</v>
      </c>
      <c r="B513" s="6" t="str">
        <f>'Selbstbeurteilung Kunde'!C527</f>
        <v>Wird in Ihrem Unternehmen an Samstagen gearbeitet?</v>
      </c>
      <c r="C513" s="49">
        <f>IF(ISBLANK('Selbstbeurteilung Kunde'!D527),0,1)</f>
        <v>0</v>
      </c>
      <c r="D513" s="49" t="str">
        <f>IF(AND('Selbstbeurteilung Kunde'!D527="",'Selbstbeurteilung Kunde'!E527=""),"*","")</f>
        <v>*</v>
      </c>
      <c r="E513" s="50" t="str">
        <f>IF(ISBLANK('Selbstbeurteilung Kunde'!F527),"",'Selbstbeurteilung Kunde'!F527)</f>
        <v/>
      </c>
      <c r="F513" s="287"/>
      <c r="G513" s="287"/>
      <c r="H513" s="287"/>
      <c r="I513" s="287"/>
      <c r="J513" s="287"/>
      <c r="K513" s="287"/>
      <c r="L513" s="279"/>
      <c r="M513" s="47">
        <v>1</v>
      </c>
      <c r="N513" s="34"/>
      <c r="O513" s="59">
        <f>(1-C513)*M513</f>
        <v>1</v>
      </c>
      <c r="P513" s="62">
        <f t="shared" ref="P513:P516" si="86">(1-L513)*M513</f>
        <v>1</v>
      </c>
      <c r="Q513" s="46"/>
      <c r="R513" s="34"/>
    </row>
    <row r="514" spans="1:18" ht="26.4" x14ac:dyDescent="0.3">
      <c r="A514" s="3" t="str">
        <f>'Selbstbeurteilung Kunde'!A528</f>
        <v>9.5.5.</v>
      </c>
      <c r="B514" s="6" t="str">
        <f>'Selbstbeurteilung Kunde'!C528</f>
        <v>Wird in Ihrem Unternehmen an Sonn- und Feiertagen gearbeitet?</v>
      </c>
      <c r="C514" s="49">
        <f>IF(ISBLANK('Selbstbeurteilung Kunde'!D528),0,1)</f>
        <v>0</v>
      </c>
      <c r="D514" s="49" t="str">
        <f>IF(AND('Selbstbeurteilung Kunde'!D528="",'Selbstbeurteilung Kunde'!E528=""),"*","")</f>
        <v>*</v>
      </c>
      <c r="E514" s="50" t="str">
        <f>IF(ISBLANK('Selbstbeurteilung Kunde'!F528),"",'Selbstbeurteilung Kunde'!F528)</f>
        <v/>
      </c>
      <c r="F514" s="287"/>
      <c r="G514" s="287"/>
      <c r="H514" s="287"/>
      <c r="I514" s="287"/>
      <c r="J514" s="287"/>
      <c r="K514" s="287"/>
      <c r="L514" s="279"/>
      <c r="M514" s="47">
        <v>1</v>
      </c>
      <c r="N514" s="34"/>
      <c r="O514" s="59">
        <f>(1-C514)*M514</f>
        <v>1</v>
      </c>
      <c r="P514" s="62">
        <f t="shared" si="86"/>
        <v>1</v>
      </c>
      <c r="Q514" s="46"/>
      <c r="R514" s="34"/>
    </row>
    <row r="515" spans="1:18" ht="26.4" x14ac:dyDescent="0.3">
      <c r="A515" s="3" t="str">
        <f>'Selbstbeurteilung Kunde'!A529</f>
        <v>9.5.6.</v>
      </c>
      <c r="B515" s="6" t="str">
        <f>'Selbstbeurteilung Kunde'!C529</f>
        <v>Gibt es in ihrem Unternehmen Schichtarbeit? Falls ja, wann beginnen und Enden die Früh-, Spät- und Nachtschicht?</v>
      </c>
      <c r="C515" s="49">
        <f>IF(ISBLANK('Selbstbeurteilung Kunde'!D529),0,1)</f>
        <v>0</v>
      </c>
      <c r="D515" s="49" t="str">
        <f>IF(AND('Selbstbeurteilung Kunde'!D529="",'Selbstbeurteilung Kunde'!E529=""),"*","")</f>
        <v>*</v>
      </c>
      <c r="E515" s="50" t="str">
        <f>IF(ISBLANK('Selbstbeurteilung Kunde'!F529),"",'Selbstbeurteilung Kunde'!F529)</f>
        <v/>
      </c>
      <c r="F515" s="290"/>
      <c r="G515" s="290"/>
      <c r="H515" s="290"/>
      <c r="I515" s="290"/>
      <c r="J515" s="290"/>
      <c r="K515" s="290"/>
      <c r="L515" s="279"/>
      <c r="M515" s="47">
        <v>0</v>
      </c>
      <c r="N515" s="34"/>
      <c r="O515" s="59">
        <f>(1-C515)*M515</f>
        <v>0</v>
      </c>
      <c r="P515" s="62">
        <f t="shared" si="86"/>
        <v>0</v>
      </c>
      <c r="Q515" s="46"/>
      <c r="R515" s="34"/>
    </row>
    <row r="516" spans="1:18" ht="26.4" x14ac:dyDescent="0.3">
      <c r="A516" s="3" t="str">
        <f>'Selbstbeurteilung Kunde'!A530</f>
        <v>9.5.7.</v>
      </c>
      <c r="B516" s="6" t="str">
        <f>'Selbstbeurteilung Kunde'!C530</f>
        <v>Gibt es in Ihrem Unternehmen andere Arbeitszeitregelungen? Falls ja, welche?</v>
      </c>
      <c r="C516" s="49">
        <f>IF(ISBLANK('Selbstbeurteilung Kunde'!D530),0,1)</f>
        <v>0</v>
      </c>
      <c r="D516" s="49" t="str">
        <f>IF(AND('Selbstbeurteilung Kunde'!D530="",'Selbstbeurteilung Kunde'!E530=""),"*","")</f>
        <v>*</v>
      </c>
      <c r="E516" s="50" t="str">
        <f>IF(ISBLANK('Selbstbeurteilung Kunde'!F530),"",'Selbstbeurteilung Kunde'!F530)</f>
        <v/>
      </c>
      <c r="F516" s="290"/>
      <c r="G516" s="290"/>
      <c r="H516" s="290"/>
      <c r="I516" s="290"/>
      <c r="J516" s="290"/>
      <c r="K516" s="290"/>
      <c r="L516" s="279"/>
      <c r="M516" s="47">
        <v>0</v>
      </c>
      <c r="N516" s="34"/>
      <c r="O516" s="59">
        <f>(1-C516)*M516</f>
        <v>0</v>
      </c>
      <c r="P516" s="62">
        <f t="shared" si="86"/>
        <v>0</v>
      </c>
      <c r="Q516" s="46"/>
      <c r="R516" s="46"/>
    </row>
    <row r="517" spans="1:18" x14ac:dyDescent="0.3">
      <c r="A517" s="27" t="str">
        <f>'Selbstbeurteilung Kunde'!A531</f>
        <v>9.6.</v>
      </c>
      <c r="B517" s="27" t="str">
        <f>'Selbstbeurteilung Kunde'!B531</f>
        <v>Pausengestaltung</v>
      </c>
      <c r="C517" s="28">
        <f>O517/N517</f>
        <v>0</v>
      </c>
      <c r="D517" s="350"/>
      <c r="E517" s="37" t="str">
        <f>IF(ISBLANK('Selbstbeurteilung Kunde'!F531),"",'Selbstbeurteilung Kunde'!F531)</f>
        <v/>
      </c>
      <c r="F517" s="282"/>
      <c r="G517" s="282"/>
      <c r="H517" s="282"/>
      <c r="I517" s="282"/>
      <c r="J517" s="282"/>
      <c r="K517" s="282"/>
      <c r="L517" s="63">
        <f>P517/N517</f>
        <v>0</v>
      </c>
      <c r="M517" s="29">
        <v>1</v>
      </c>
      <c r="N517" s="29">
        <f>SUM(M518:M525)</f>
        <v>6</v>
      </c>
      <c r="O517" s="31">
        <f>SUM(O518:O525)</f>
        <v>0</v>
      </c>
      <c r="P517" s="31">
        <f>SUM(P518:P525)</f>
        <v>0</v>
      </c>
      <c r="Q517" s="65">
        <f>O517/$N517*$M517</f>
        <v>0</v>
      </c>
      <c r="R517" s="65">
        <f>P517/$N517*$M517</f>
        <v>0</v>
      </c>
    </row>
    <row r="518" spans="1:18" ht="26.4" x14ac:dyDescent="0.3">
      <c r="A518" s="3" t="str">
        <f>'Selbstbeurteilung Kunde'!A532</f>
        <v>9.6.1.</v>
      </c>
      <c r="B518" s="6" t="str">
        <f>'Selbstbeurteilung Kunde'!C532</f>
        <v>Sind die offiziellen Arbeitspausen in Ihrem Unternehmen geregelt?</v>
      </c>
      <c r="C518" s="49">
        <f>IF(ISBLANK('Selbstbeurteilung Kunde'!D532),0,1)</f>
        <v>0</v>
      </c>
      <c r="D518" s="49" t="str">
        <f>IF(AND('Selbstbeurteilung Kunde'!D532="",'Selbstbeurteilung Kunde'!E532=""),"*","")</f>
        <v>*</v>
      </c>
      <c r="E518" s="50" t="str">
        <f>IF(ISBLANK('Selbstbeurteilung Kunde'!F532),"",'Selbstbeurteilung Kunde'!F532)</f>
        <v/>
      </c>
      <c r="F518" s="287"/>
      <c r="G518" s="287"/>
      <c r="H518" s="287"/>
      <c r="I518" s="287"/>
      <c r="J518" s="287"/>
      <c r="K518" s="287"/>
      <c r="L518" s="279"/>
      <c r="M518" s="47">
        <v>3</v>
      </c>
      <c r="N518" s="34"/>
      <c r="O518" s="35">
        <f t="shared" ref="O518:O525" si="87">C518*M518</f>
        <v>0</v>
      </c>
      <c r="P518" s="54">
        <f t="shared" ref="P518:P525" si="88">L518*M518</f>
        <v>0</v>
      </c>
      <c r="Q518" s="46"/>
      <c r="R518" s="34"/>
    </row>
    <row r="519" spans="1:18" ht="26.4" x14ac:dyDescent="0.3">
      <c r="A519" s="3" t="str">
        <f>'Selbstbeurteilung Kunde'!A533</f>
        <v>9.6.2.a</v>
      </c>
      <c r="B519" s="6" t="str">
        <f>'Selbstbeurteilung Kunde'!C533</f>
        <v>Gibt es in Ihrem Unternehmen eine offizielle Arbeitspause:
Am Vormittag? Wenn ja, wie lange dauert diese?</v>
      </c>
      <c r="C519" s="49">
        <f>IF(ISBLANK('Selbstbeurteilung Kunde'!D533),0,1)</f>
        <v>0</v>
      </c>
      <c r="D519" s="49" t="str">
        <f>IF(AND('Selbstbeurteilung Kunde'!D533="",'Selbstbeurteilung Kunde'!E533=""),"*","")</f>
        <v>*</v>
      </c>
      <c r="E519" s="50" t="str">
        <f>IF(ISBLANK('Selbstbeurteilung Kunde'!F533),"",'Selbstbeurteilung Kunde'!F533)</f>
        <v/>
      </c>
      <c r="F519" s="290"/>
      <c r="G519" s="290"/>
      <c r="H519" s="290"/>
      <c r="I519" s="290"/>
      <c r="J519" s="290"/>
      <c r="K519" s="290"/>
      <c r="L519" s="279"/>
      <c r="M519" s="47">
        <v>0</v>
      </c>
      <c r="N519" s="34"/>
      <c r="O519" s="35">
        <f t="shared" si="87"/>
        <v>0</v>
      </c>
      <c r="P519" s="54">
        <f t="shared" si="88"/>
        <v>0</v>
      </c>
      <c r="Q519" s="46"/>
      <c r="R519" s="34"/>
    </row>
    <row r="520" spans="1:18" x14ac:dyDescent="0.3">
      <c r="A520" s="3" t="str">
        <f>'Selbstbeurteilung Kunde'!A534</f>
        <v>9.6.2.b</v>
      </c>
      <c r="B520" s="6" t="str">
        <f>'Selbstbeurteilung Kunde'!C534</f>
        <v>Am Mittag? Falls ja, wie lange dauert diese?</v>
      </c>
      <c r="C520" s="49">
        <f>IF(ISBLANK('Selbstbeurteilung Kunde'!D534),0,1)</f>
        <v>0</v>
      </c>
      <c r="D520" s="49" t="str">
        <f>IF(AND('Selbstbeurteilung Kunde'!D534="",'Selbstbeurteilung Kunde'!E534=""),"*","")</f>
        <v>*</v>
      </c>
      <c r="E520" s="50" t="str">
        <f>IF(ISBLANK('Selbstbeurteilung Kunde'!F534),"",'Selbstbeurteilung Kunde'!F534)</f>
        <v/>
      </c>
      <c r="F520" s="287"/>
      <c r="G520" s="287"/>
      <c r="H520" s="287"/>
      <c r="I520" s="287"/>
      <c r="J520" s="287"/>
      <c r="K520" s="287"/>
      <c r="L520" s="279"/>
      <c r="M520" s="47">
        <v>0</v>
      </c>
      <c r="N520" s="34"/>
      <c r="O520" s="35">
        <f t="shared" si="87"/>
        <v>0</v>
      </c>
      <c r="P520" s="54">
        <f t="shared" si="88"/>
        <v>0</v>
      </c>
      <c r="Q520" s="46"/>
      <c r="R520" s="34"/>
    </row>
    <row r="521" spans="1:18" x14ac:dyDescent="0.3">
      <c r="A521" s="3" t="str">
        <f>'Selbstbeurteilung Kunde'!A535</f>
        <v>9.6.2.c</v>
      </c>
      <c r="B521" s="6" t="str">
        <f>'Selbstbeurteilung Kunde'!C535</f>
        <v>Am Nachmittag? Falls ja, wie lange dauert diese?</v>
      </c>
      <c r="C521" s="49">
        <f>IF(ISBLANK('Selbstbeurteilung Kunde'!D535),0,1)</f>
        <v>0</v>
      </c>
      <c r="D521" s="49" t="str">
        <f>IF(AND('Selbstbeurteilung Kunde'!D535="",'Selbstbeurteilung Kunde'!E535=""),"*","")</f>
        <v>*</v>
      </c>
      <c r="E521" s="50" t="str">
        <f>IF(ISBLANK('Selbstbeurteilung Kunde'!F535),"",'Selbstbeurteilung Kunde'!F535)</f>
        <v/>
      </c>
      <c r="F521" s="287"/>
      <c r="G521" s="287"/>
      <c r="H521" s="287"/>
      <c r="I521" s="287"/>
      <c r="J521" s="287"/>
      <c r="K521" s="287"/>
      <c r="L521" s="279"/>
      <c r="M521" s="47">
        <v>0</v>
      </c>
      <c r="N521" s="34"/>
      <c r="O521" s="35">
        <f t="shared" si="87"/>
        <v>0</v>
      </c>
      <c r="P521" s="54">
        <f t="shared" si="88"/>
        <v>0</v>
      </c>
      <c r="Q521" s="46"/>
      <c r="R521" s="34"/>
    </row>
    <row r="522" spans="1:18" x14ac:dyDescent="0.3">
      <c r="A522" s="3" t="str">
        <f>'Selbstbeurteilung Kunde'!A536</f>
        <v>9.6.2.d</v>
      </c>
      <c r="B522" s="6" t="str">
        <f>'Selbstbeurteilung Kunde'!C536</f>
        <v>Schichtpausen? Falls ja, wie lange dauern diese?</v>
      </c>
      <c r="C522" s="49">
        <f>IF(ISBLANK('Selbstbeurteilung Kunde'!D536),0,1)</f>
        <v>0</v>
      </c>
      <c r="D522" s="49" t="str">
        <f>IF(AND('Selbstbeurteilung Kunde'!D536="",'Selbstbeurteilung Kunde'!E536=""),"*","")</f>
        <v>*</v>
      </c>
      <c r="E522" s="50" t="str">
        <f>IF(ISBLANK('Selbstbeurteilung Kunde'!F536),"",'Selbstbeurteilung Kunde'!F536)</f>
        <v/>
      </c>
      <c r="F522" s="287"/>
      <c r="G522" s="287"/>
      <c r="H522" s="287"/>
      <c r="I522" s="287"/>
      <c r="J522" s="287"/>
      <c r="K522" s="287"/>
      <c r="L522" s="279"/>
      <c r="M522" s="47">
        <v>0</v>
      </c>
      <c r="N522" s="34"/>
      <c r="O522" s="35">
        <f t="shared" si="87"/>
        <v>0</v>
      </c>
      <c r="P522" s="54">
        <f t="shared" si="88"/>
        <v>0</v>
      </c>
      <c r="Q522" s="46"/>
      <c r="R522" s="34"/>
    </row>
    <row r="523" spans="1:18" ht="26.4" x14ac:dyDescent="0.3">
      <c r="A523" s="3" t="str">
        <f>'Selbstbeurteilung Kunde'!A537</f>
        <v>9.6.3.</v>
      </c>
      <c r="B523" s="6" t="str">
        <f>'Selbstbeurteilung Kunde'!C537</f>
        <v>Besteht für die Beschäftigten die Möglichkeit, Kurzpausen in einem vernünftigen Rahmen selbständig einzuschalten?</v>
      </c>
      <c r="C523" s="49">
        <f>IF(ISBLANK('Selbstbeurteilung Kunde'!D537),0,1)</f>
        <v>0</v>
      </c>
      <c r="D523" s="49" t="str">
        <f>IF(AND('Selbstbeurteilung Kunde'!D537="",'Selbstbeurteilung Kunde'!E537=""),"*","")</f>
        <v>*</v>
      </c>
      <c r="E523" s="50" t="str">
        <f>IF(ISBLANK('Selbstbeurteilung Kunde'!F537),"",'Selbstbeurteilung Kunde'!F537)</f>
        <v/>
      </c>
      <c r="F523" s="287"/>
      <c r="G523" s="287"/>
      <c r="H523" s="287"/>
      <c r="I523" s="287"/>
      <c r="J523" s="287"/>
      <c r="K523" s="287"/>
      <c r="L523" s="279"/>
      <c r="M523" s="47">
        <v>1</v>
      </c>
      <c r="N523" s="34"/>
      <c r="O523" s="35">
        <f t="shared" si="87"/>
        <v>0</v>
      </c>
      <c r="P523" s="54">
        <f t="shared" si="88"/>
        <v>0</v>
      </c>
      <c r="Q523" s="46"/>
      <c r="R523" s="34"/>
    </row>
    <row r="524" spans="1:18" ht="26.4" x14ac:dyDescent="0.3">
      <c r="A524" s="3" t="str">
        <f>'Selbstbeurteilung Kunde'!A538</f>
        <v>9.6.4.</v>
      </c>
      <c r="B524" s="6" t="str">
        <f>'Selbstbeurteilung Kunde'!C538</f>
        <v>Stehen für die Pausenzeiten geeignete Räume zur Verfügung?</v>
      </c>
      <c r="C524" s="49">
        <f>IF(ISBLANK('Selbstbeurteilung Kunde'!D538),0,1)</f>
        <v>0</v>
      </c>
      <c r="D524" s="49" t="str">
        <f>IF(AND('Selbstbeurteilung Kunde'!D538="",'Selbstbeurteilung Kunde'!E538=""),"*","")</f>
        <v>*</v>
      </c>
      <c r="E524" s="50" t="str">
        <f>IF(ISBLANK('Selbstbeurteilung Kunde'!F538),"",'Selbstbeurteilung Kunde'!F538)</f>
        <v/>
      </c>
      <c r="F524" s="287"/>
      <c r="G524" s="287"/>
      <c r="H524" s="287"/>
      <c r="I524" s="287"/>
      <c r="J524" s="287"/>
      <c r="K524" s="287"/>
      <c r="L524" s="279"/>
      <c r="M524" s="47">
        <v>1</v>
      </c>
      <c r="N524" s="34"/>
      <c r="O524" s="35">
        <f t="shared" si="87"/>
        <v>0</v>
      </c>
      <c r="P524" s="54">
        <f t="shared" si="88"/>
        <v>0</v>
      </c>
      <c r="Q524" s="46"/>
      <c r="R524" s="34"/>
    </row>
    <row r="525" spans="1:18" ht="26.4" x14ac:dyDescent="0.3">
      <c r="A525" s="3" t="str">
        <f>'Selbstbeurteilung Kunde'!A539</f>
        <v>9.6.5.</v>
      </c>
      <c r="B525" s="6" t="str">
        <f>'Selbstbeurteilung Kunde'!C539</f>
        <v>Stehen für Raucher bzw. Nichtraucher getrennte Pausenräume zu Verfügung?</v>
      </c>
      <c r="C525" s="49">
        <f>IF(ISBLANK('Selbstbeurteilung Kunde'!D539),0,1)</f>
        <v>0</v>
      </c>
      <c r="D525" s="49" t="str">
        <f>IF(AND('Selbstbeurteilung Kunde'!D539="",'Selbstbeurteilung Kunde'!E539=""),"*","")</f>
        <v>*</v>
      </c>
      <c r="E525" s="50" t="str">
        <f>IF(ISBLANK('Selbstbeurteilung Kunde'!F539),"",'Selbstbeurteilung Kunde'!F539)</f>
        <v/>
      </c>
      <c r="F525" s="287"/>
      <c r="G525" s="287"/>
      <c r="H525" s="287"/>
      <c r="I525" s="287"/>
      <c r="J525" s="287"/>
      <c r="K525" s="287"/>
      <c r="L525" s="279"/>
      <c r="M525" s="47">
        <v>1</v>
      </c>
      <c r="N525" s="34"/>
      <c r="O525" s="35">
        <f t="shared" si="87"/>
        <v>0</v>
      </c>
      <c r="P525" s="54">
        <f t="shared" si="88"/>
        <v>0</v>
      </c>
      <c r="Q525" s="46"/>
      <c r="R525" s="34"/>
    </row>
    <row r="526" spans="1:18" x14ac:dyDescent="0.3">
      <c r="A526" s="27" t="str">
        <f>'Selbstbeurteilung Kunde'!A540</f>
        <v>9.7.</v>
      </c>
      <c r="B526" s="27" t="str">
        <f>'Selbstbeurteilung Kunde'!B540</f>
        <v>Entlöhnungsform</v>
      </c>
      <c r="C526" s="28">
        <f>O526/N526</f>
        <v>0.4</v>
      </c>
      <c r="D526" s="350"/>
      <c r="E526" s="37" t="str">
        <f>IF(ISBLANK('Selbstbeurteilung Kunde'!F540),"",'Selbstbeurteilung Kunde'!F540)</f>
        <v/>
      </c>
      <c r="F526" s="282"/>
      <c r="G526" s="282"/>
      <c r="H526" s="282"/>
      <c r="I526" s="282"/>
      <c r="J526" s="282"/>
      <c r="K526" s="282"/>
      <c r="L526" s="63">
        <f>P526/N526</f>
        <v>0.4</v>
      </c>
      <c r="M526" s="29">
        <v>0</v>
      </c>
      <c r="N526" s="29">
        <f>SUM(M527:M531)</f>
        <v>5</v>
      </c>
      <c r="O526" s="31">
        <f>SUM(O527:O531)</f>
        <v>2</v>
      </c>
      <c r="P526" s="31">
        <f>SUM(P527:P531)</f>
        <v>2</v>
      </c>
      <c r="Q526" s="65">
        <f>O526/$N526*$M526</f>
        <v>0</v>
      </c>
      <c r="R526" s="65">
        <f>P526/$N526*$M526</f>
        <v>0</v>
      </c>
    </row>
    <row r="527" spans="1:18" ht="26.4" x14ac:dyDescent="0.3">
      <c r="A527" s="3" t="str">
        <f>'Selbstbeurteilung Kunde'!A541</f>
        <v>9.7.1.a</v>
      </c>
      <c r="B527" s="6" t="str">
        <f>'Selbstbeurteilung Kunde'!C541</f>
        <v>Welche Lohnform wird in Ihrem Unternehmen angewendet:
Zeitlohn (feste Anstellung, Monats- oder Stundenlohn)?</v>
      </c>
      <c r="C527" s="49">
        <f>IF(ISBLANK('Selbstbeurteilung Kunde'!D541),0,1)</f>
        <v>0</v>
      </c>
      <c r="D527" s="49" t="str">
        <f>IF(AND('Selbstbeurteilung Kunde'!D541="",'Selbstbeurteilung Kunde'!E541=""),"*","")</f>
        <v>*</v>
      </c>
      <c r="E527" s="50" t="str">
        <f>IF(ISBLANK('Selbstbeurteilung Kunde'!F541),"",'Selbstbeurteilung Kunde'!F541)</f>
        <v/>
      </c>
      <c r="F527" s="287"/>
      <c r="G527" s="287"/>
      <c r="H527" s="287"/>
      <c r="I527" s="287"/>
      <c r="J527" s="287"/>
      <c r="K527" s="287"/>
      <c r="L527" s="279"/>
      <c r="M527" s="47">
        <v>1</v>
      </c>
      <c r="N527" s="34"/>
      <c r="O527" s="35">
        <f>C527*M527</f>
        <v>0</v>
      </c>
      <c r="P527" s="54">
        <f t="shared" ref="P527:P528" si="89">L527*M527</f>
        <v>0</v>
      </c>
      <c r="Q527" s="46"/>
      <c r="R527" s="34"/>
    </row>
    <row r="528" spans="1:18" x14ac:dyDescent="0.3">
      <c r="A528" s="3" t="str">
        <f>'Selbstbeurteilung Kunde'!A542</f>
        <v>9.7.1.b</v>
      </c>
      <c r="B528" s="6" t="str">
        <f>'Selbstbeurteilung Kunde'!C542</f>
        <v>Prämienlohn (Zeitlohn plus Prämien)?</v>
      </c>
      <c r="C528" s="49">
        <f>IF(ISBLANK('Selbstbeurteilung Kunde'!D542),0,1)</f>
        <v>0</v>
      </c>
      <c r="D528" s="49" t="str">
        <f>IF(AND('Selbstbeurteilung Kunde'!D542="",'Selbstbeurteilung Kunde'!E542=""),"*","")</f>
        <v>*</v>
      </c>
      <c r="E528" s="50" t="str">
        <f>IF(ISBLANK('Selbstbeurteilung Kunde'!F542),"",'Selbstbeurteilung Kunde'!F542)</f>
        <v/>
      </c>
      <c r="F528" s="287"/>
      <c r="G528" s="287"/>
      <c r="H528" s="287"/>
      <c r="I528" s="287"/>
      <c r="J528" s="287"/>
      <c r="K528" s="287"/>
      <c r="L528" s="279"/>
      <c r="M528" s="47">
        <v>1</v>
      </c>
      <c r="N528" s="34"/>
      <c r="O528" s="35">
        <f>C528*M528</f>
        <v>0</v>
      </c>
      <c r="P528" s="54">
        <f t="shared" si="89"/>
        <v>0</v>
      </c>
      <c r="Q528" s="46"/>
      <c r="R528" s="34"/>
    </row>
    <row r="529" spans="1:18" x14ac:dyDescent="0.3">
      <c r="A529" s="3" t="str">
        <f>'Selbstbeurteilung Kunde'!A543</f>
        <v>9.7.1.c</v>
      </c>
      <c r="B529" s="6" t="str">
        <f>'Selbstbeurteilung Kunde'!C543</f>
        <v>Leistungslohn (Akkordlohn, Stücklohn)?</v>
      </c>
      <c r="C529" s="49">
        <f>IF(ISBLANK('Selbstbeurteilung Kunde'!D543),0,1)</f>
        <v>0</v>
      </c>
      <c r="D529" s="49" t="str">
        <f>IF(AND('Selbstbeurteilung Kunde'!D543="",'Selbstbeurteilung Kunde'!E543=""),"*","")</f>
        <v>*</v>
      </c>
      <c r="E529" s="50" t="str">
        <f>IF(ISBLANK('Selbstbeurteilung Kunde'!F543),"",'Selbstbeurteilung Kunde'!F543)</f>
        <v/>
      </c>
      <c r="F529" s="287"/>
      <c r="G529" s="287"/>
      <c r="H529" s="287"/>
      <c r="I529" s="287"/>
      <c r="J529" s="287"/>
      <c r="K529" s="287"/>
      <c r="L529" s="279"/>
      <c r="M529" s="47">
        <v>1</v>
      </c>
      <c r="N529" s="34"/>
      <c r="O529" s="59">
        <f>(1-C529)*M529</f>
        <v>1</v>
      </c>
      <c r="P529" s="62">
        <f t="shared" ref="P529:P530" si="90">(1-L529)*M529</f>
        <v>1</v>
      </c>
      <c r="Q529" s="46"/>
      <c r="R529" s="34"/>
    </row>
    <row r="530" spans="1:18" x14ac:dyDescent="0.3">
      <c r="A530" s="3" t="str">
        <f>'Selbstbeurteilung Kunde'!A544</f>
        <v>9.7.1.e</v>
      </c>
      <c r="B530" s="6" t="str">
        <f>'Selbstbeurteilung Kunde'!C544</f>
        <v>Gruppenakkordlohn?</v>
      </c>
      <c r="C530" s="49">
        <f>IF(ISBLANK('Selbstbeurteilung Kunde'!D544),0,1)</f>
        <v>0</v>
      </c>
      <c r="D530" s="49" t="str">
        <f>IF(AND('Selbstbeurteilung Kunde'!D544="",'Selbstbeurteilung Kunde'!E544=""),"*","")</f>
        <v>*</v>
      </c>
      <c r="E530" s="50" t="str">
        <f>IF(ISBLANK('Selbstbeurteilung Kunde'!F544),"",'Selbstbeurteilung Kunde'!F544)</f>
        <v/>
      </c>
      <c r="F530" s="287"/>
      <c r="G530" s="287"/>
      <c r="H530" s="287"/>
      <c r="I530" s="287"/>
      <c r="J530" s="287"/>
      <c r="K530" s="287"/>
      <c r="L530" s="279"/>
      <c r="M530" s="47">
        <v>1</v>
      </c>
      <c r="N530" s="34"/>
      <c r="O530" s="59">
        <f>(1-C530)*M530</f>
        <v>1</v>
      </c>
      <c r="P530" s="62">
        <f t="shared" si="90"/>
        <v>1</v>
      </c>
      <c r="Q530" s="46"/>
      <c r="R530" s="46"/>
    </row>
    <row r="531" spans="1:18" ht="26.4" x14ac:dyDescent="0.3">
      <c r="A531" s="3" t="str">
        <f>'Selbstbeurteilung Kunde'!A545</f>
        <v>9.7.2.</v>
      </c>
      <c r="B531" s="6" t="str">
        <f>'Selbstbeurteilung Kunde'!C545</f>
        <v>Wird bei Akkordlohn ein leistungsunabhängiger Grundlohn garantiert?</v>
      </c>
      <c r="C531" s="49">
        <f>IF(ISBLANK('Selbstbeurteilung Kunde'!D545),0,1)</f>
        <v>0</v>
      </c>
      <c r="D531" s="49" t="str">
        <f>IF(AND('Selbstbeurteilung Kunde'!D545="",'Selbstbeurteilung Kunde'!E545=""),"*","")</f>
        <v>*</v>
      </c>
      <c r="E531" s="50" t="str">
        <f>IF(ISBLANK('Selbstbeurteilung Kunde'!F545),"",'Selbstbeurteilung Kunde'!F545)</f>
        <v/>
      </c>
      <c r="F531" s="287"/>
      <c r="G531" s="287"/>
      <c r="H531" s="287"/>
      <c r="I531" s="287"/>
      <c r="J531" s="287"/>
      <c r="K531" s="287"/>
      <c r="L531" s="279"/>
      <c r="M531" s="47">
        <v>1</v>
      </c>
      <c r="N531" s="34"/>
      <c r="O531" s="35">
        <f>C531*M531</f>
        <v>0</v>
      </c>
      <c r="P531" s="54">
        <f>L531*M531</f>
        <v>0</v>
      </c>
      <c r="Q531" s="46"/>
      <c r="R531" s="34"/>
    </row>
    <row r="532" spans="1:18" x14ac:dyDescent="0.3">
      <c r="A532" s="27" t="str">
        <f>'Selbstbeurteilung Kunde'!A546</f>
        <v>9.8.</v>
      </c>
      <c r="B532" s="27" t="str">
        <f>'Selbstbeurteilung Kunde'!B546</f>
        <v>Gesundheitsgefährdende Stoffe</v>
      </c>
      <c r="C532" s="28">
        <f>O532/N532</f>
        <v>0</v>
      </c>
      <c r="D532" s="350"/>
      <c r="E532" s="37" t="str">
        <f>IF(ISBLANK('Selbstbeurteilung Kunde'!F546),"",'Selbstbeurteilung Kunde'!F546)</f>
        <v/>
      </c>
      <c r="F532" s="282"/>
      <c r="G532" s="282"/>
      <c r="H532" s="282"/>
      <c r="I532" s="282"/>
      <c r="J532" s="282"/>
      <c r="K532" s="282"/>
      <c r="L532" s="63">
        <f>P532/N532</f>
        <v>0</v>
      </c>
      <c r="M532" s="29">
        <v>3</v>
      </c>
      <c r="N532" s="29">
        <f>SUM(M533:M539)</f>
        <v>15</v>
      </c>
      <c r="O532" s="31">
        <f>SUM(O533:O539)</f>
        <v>0</v>
      </c>
      <c r="P532" s="31">
        <f>SUM(P533:P539)</f>
        <v>0</v>
      </c>
      <c r="Q532" s="65">
        <f>O532/$N532*$M532</f>
        <v>0</v>
      </c>
      <c r="R532" s="65">
        <f>P532/$N532*$M532</f>
        <v>0</v>
      </c>
    </row>
    <row r="533" spans="1:18" ht="26.4" x14ac:dyDescent="0.3">
      <c r="A533" s="3" t="str">
        <f>'Selbstbeurteilung Kunde'!A547</f>
        <v>9.8.1.</v>
      </c>
      <c r="B533" s="6" t="str">
        <f>'Selbstbeurteilung Kunde'!C547</f>
        <v>Werden in Ihrem Unternehmen gesundheitsgefährdende Stoffe hergestellt oder verarbeitet?</v>
      </c>
      <c r="C533" s="49">
        <f>IF(ISBLANK('Selbstbeurteilung Kunde'!D547),0,1)</f>
        <v>0</v>
      </c>
      <c r="D533" s="49" t="str">
        <f>IF(AND('Selbstbeurteilung Kunde'!D547="",'Selbstbeurteilung Kunde'!E547=""),"*","")</f>
        <v>*</v>
      </c>
      <c r="E533" s="50" t="str">
        <f>IF(ISBLANK('Selbstbeurteilung Kunde'!F547),"",'Selbstbeurteilung Kunde'!F547)</f>
        <v/>
      </c>
      <c r="F533" s="287"/>
      <c r="G533" s="287"/>
      <c r="H533" s="287"/>
      <c r="I533" s="287"/>
      <c r="J533" s="287"/>
      <c r="K533" s="287"/>
      <c r="L533" s="279"/>
      <c r="M533" s="60">
        <v>0</v>
      </c>
      <c r="N533" s="34"/>
      <c r="O533" s="59">
        <f>(1-C533)*M533</f>
        <v>0</v>
      </c>
      <c r="P533" s="62">
        <f t="shared" ref="P533:P534" si="91">(1-L533)*M533</f>
        <v>0</v>
      </c>
      <c r="Q533" s="46"/>
      <c r="R533" s="34"/>
    </row>
    <row r="534" spans="1:18" ht="26.4" x14ac:dyDescent="0.3">
      <c r="A534" s="3" t="str">
        <f>'Selbstbeurteilung Kunde'!A548</f>
        <v>9.8.2.</v>
      </c>
      <c r="B534" s="6" t="str">
        <f>'Selbstbeurteilung Kunde'!C548</f>
        <v>Werden in Ihrem Unternehmen gesundheitsgefährdende Stoffe gelagert?</v>
      </c>
      <c r="C534" s="49">
        <f>IF(ISBLANK('Selbstbeurteilung Kunde'!D548),0,1)</f>
        <v>0</v>
      </c>
      <c r="D534" s="49" t="str">
        <f>IF(AND('Selbstbeurteilung Kunde'!D548="",'Selbstbeurteilung Kunde'!E548=""),"*","")</f>
        <v>*</v>
      </c>
      <c r="E534" s="50" t="str">
        <f>IF(ISBLANK('Selbstbeurteilung Kunde'!F548),"",'Selbstbeurteilung Kunde'!F548)</f>
        <v/>
      </c>
      <c r="F534" s="287"/>
      <c r="G534" s="287"/>
      <c r="H534" s="287"/>
      <c r="I534" s="287"/>
      <c r="J534" s="287"/>
      <c r="K534" s="287"/>
      <c r="L534" s="279"/>
      <c r="M534" s="60">
        <v>0</v>
      </c>
      <c r="N534" s="34"/>
      <c r="O534" s="59">
        <f>(1-C534)*M534</f>
        <v>0</v>
      </c>
      <c r="P534" s="62">
        <f t="shared" si="91"/>
        <v>0</v>
      </c>
      <c r="Q534" s="46"/>
      <c r="R534" s="34"/>
    </row>
    <row r="535" spans="1:18" ht="39.6" x14ac:dyDescent="0.3">
      <c r="A535" s="3" t="str">
        <f>'Selbstbeurteilung Kunde'!A549</f>
        <v>9.8.3.</v>
      </c>
      <c r="B535" s="6" t="str">
        <f>'Selbstbeurteilung Kunde'!C549</f>
        <v>Werden in Ihrem Unternehmen die Sicherheitsbestimmungen im Zusammenhang mit gesundheitsgefährdenden Stoffen eingehalten?</v>
      </c>
      <c r="C535" s="49">
        <f>IF(ISBLANK('Selbstbeurteilung Kunde'!D549),0,1)</f>
        <v>0</v>
      </c>
      <c r="D535" s="49" t="str">
        <f>IF(AND('Selbstbeurteilung Kunde'!D549="",'Selbstbeurteilung Kunde'!E549=""),"*","")</f>
        <v>*</v>
      </c>
      <c r="E535" s="50" t="str">
        <f>IF(ISBLANK('Selbstbeurteilung Kunde'!F549),"",'Selbstbeurteilung Kunde'!F549)</f>
        <v/>
      </c>
      <c r="F535" s="287"/>
      <c r="G535" s="287"/>
      <c r="H535" s="287"/>
      <c r="I535" s="287"/>
      <c r="J535" s="287"/>
      <c r="K535" s="287"/>
      <c r="L535" s="279"/>
      <c r="M535" s="60">
        <v>3</v>
      </c>
      <c r="N535" s="34"/>
      <c r="O535" s="35">
        <f>C535*M535</f>
        <v>0</v>
      </c>
      <c r="P535" s="54">
        <f t="shared" ref="P535:P539" si="92">L535*M535</f>
        <v>0</v>
      </c>
      <c r="Q535" s="46"/>
      <c r="R535" s="34"/>
    </row>
    <row r="536" spans="1:18" ht="39.6" x14ac:dyDescent="0.3">
      <c r="A536" s="3" t="str">
        <f>'Selbstbeurteilung Kunde'!A550</f>
        <v>9.8.4.</v>
      </c>
      <c r="B536" s="6" t="str">
        <f>'Selbstbeurteilung Kunde'!C550</f>
        <v>Sind in Ihrem Unternehmen zu allen gesundheitsgefährdenden Stoffen die entsprechenden Sicherheitsdatenblätter vorhanden?</v>
      </c>
      <c r="C536" s="49">
        <f>IF(ISBLANK('Selbstbeurteilung Kunde'!D550),0,1)</f>
        <v>0</v>
      </c>
      <c r="D536" s="49" t="str">
        <f>IF(AND('Selbstbeurteilung Kunde'!D550="",'Selbstbeurteilung Kunde'!E550=""),"*","")</f>
        <v>*</v>
      </c>
      <c r="E536" s="50" t="str">
        <f>IF(ISBLANK('Selbstbeurteilung Kunde'!F550),"",'Selbstbeurteilung Kunde'!F550)</f>
        <v/>
      </c>
      <c r="F536" s="287"/>
      <c r="G536" s="287"/>
      <c r="H536" s="287"/>
      <c r="I536" s="287"/>
      <c r="J536" s="287"/>
      <c r="K536" s="287"/>
      <c r="L536" s="279"/>
      <c r="M536" s="60">
        <v>3</v>
      </c>
      <c r="N536" s="34"/>
      <c r="O536" s="35">
        <f>C536*M536</f>
        <v>0</v>
      </c>
      <c r="P536" s="54">
        <f t="shared" si="92"/>
        <v>0</v>
      </c>
      <c r="Q536" s="46"/>
      <c r="R536" s="34"/>
    </row>
    <row r="537" spans="1:18" x14ac:dyDescent="0.3">
      <c r="A537" s="3" t="str">
        <f>'Selbstbeurteilung Kunde'!A551</f>
        <v>9.8.5.</v>
      </c>
      <c r="B537" s="6" t="str">
        <f>'Selbstbeurteilung Kunde'!C551</f>
        <v>Sind diese Datenblätter an den Arbeitsplätzen verfügbar?</v>
      </c>
      <c r="C537" s="49">
        <f>IF(ISBLANK('Selbstbeurteilung Kunde'!D551),0,1)</f>
        <v>0</v>
      </c>
      <c r="D537" s="49" t="str">
        <f>IF(AND('Selbstbeurteilung Kunde'!D551="",'Selbstbeurteilung Kunde'!E551=""),"*","")</f>
        <v>*</v>
      </c>
      <c r="E537" s="50" t="str">
        <f>IF(ISBLANK('Selbstbeurteilung Kunde'!F551),"",'Selbstbeurteilung Kunde'!F551)</f>
        <v/>
      </c>
      <c r="F537" s="287"/>
      <c r="G537" s="287"/>
      <c r="H537" s="287"/>
      <c r="I537" s="287"/>
      <c r="J537" s="287"/>
      <c r="K537" s="287"/>
      <c r="L537" s="279"/>
      <c r="M537" s="60">
        <v>3</v>
      </c>
      <c r="N537" s="34"/>
      <c r="O537" s="35">
        <f>C537*M537</f>
        <v>0</v>
      </c>
      <c r="P537" s="54">
        <f t="shared" si="92"/>
        <v>0</v>
      </c>
      <c r="Q537" s="46"/>
      <c r="R537" s="34"/>
    </row>
    <row r="538" spans="1:18" ht="26.4" x14ac:dyDescent="0.3">
      <c r="A538" s="3" t="str">
        <f>'Selbstbeurteilung Kunde'!A552</f>
        <v>9.8.6.</v>
      </c>
      <c r="B538" s="6" t="str">
        <f>'Selbstbeurteilung Kunde'!C552</f>
        <v>Sind die Mitarbeitenden über den Inhalt der Datenblätter geschult?</v>
      </c>
      <c r="C538" s="49">
        <f>IF(ISBLANK('Selbstbeurteilung Kunde'!D552),0,1)</f>
        <v>0</v>
      </c>
      <c r="D538" s="49" t="str">
        <f>IF(AND('Selbstbeurteilung Kunde'!D552="",'Selbstbeurteilung Kunde'!E552=""),"*","")</f>
        <v>*</v>
      </c>
      <c r="E538" s="50" t="str">
        <f>IF(ISBLANK('Selbstbeurteilung Kunde'!F552),"",'Selbstbeurteilung Kunde'!F552)</f>
        <v/>
      </c>
      <c r="F538" s="287"/>
      <c r="G538" s="287"/>
      <c r="H538" s="287"/>
      <c r="I538" s="287"/>
      <c r="J538" s="287"/>
      <c r="K538" s="287"/>
      <c r="L538" s="279"/>
      <c r="M538" s="60">
        <v>3</v>
      </c>
      <c r="N538" s="34"/>
      <c r="O538" s="35">
        <f>C538*M538</f>
        <v>0</v>
      </c>
      <c r="P538" s="54">
        <f t="shared" si="92"/>
        <v>0</v>
      </c>
      <c r="Q538" s="46"/>
      <c r="R538" s="34"/>
    </row>
    <row r="539" spans="1:18" ht="26.4" x14ac:dyDescent="0.3">
      <c r="A539" s="3" t="str">
        <f>'Selbstbeurteilung Kunde'!A553</f>
        <v>9.8.7.</v>
      </c>
      <c r="B539" s="6" t="str">
        <f>'Selbstbeurteilung Kunde'!C553</f>
        <v>Sind die erforderlichen Infrastrukturmittel zur Einhaltung der Regeln der Datenblätter vorhanden?</v>
      </c>
      <c r="C539" s="49">
        <f>IF(ISBLANK('Selbstbeurteilung Kunde'!D553),0,1)</f>
        <v>0</v>
      </c>
      <c r="D539" s="49" t="str">
        <f>IF(AND('Selbstbeurteilung Kunde'!D553="",'Selbstbeurteilung Kunde'!E553=""),"*","")</f>
        <v>*</v>
      </c>
      <c r="E539" s="50" t="str">
        <f>IF(ISBLANK('Selbstbeurteilung Kunde'!F553),"",'Selbstbeurteilung Kunde'!F553)</f>
        <v/>
      </c>
      <c r="F539" s="290"/>
      <c r="G539" s="290"/>
      <c r="H539" s="290"/>
      <c r="I539" s="290"/>
      <c r="J539" s="290"/>
      <c r="K539" s="290"/>
      <c r="L539" s="279"/>
      <c r="M539" s="60">
        <v>3</v>
      </c>
      <c r="N539" s="34"/>
      <c r="O539" s="35">
        <f>C539*M539</f>
        <v>0</v>
      </c>
      <c r="P539" s="54">
        <f t="shared" si="92"/>
        <v>0</v>
      </c>
      <c r="Q539" s="46"/>
      <c r="R539" s="34"/>
    </row>
    <row r="540" spans="1:18" x14ac:dyDescent="0.3">
      <c r="A540" s="27" t="str">
        <f>'Selbstbeurteilung Kunde'!A554</f>
        <v>9.9.</v>
      </c>
      <c r="B540" s="27" t="str">
        <f>'Selbstbeurteilung Kunde'!B554</f>
        <v>Risikoverhalten, Suchtmittel, Krankheit</v>
      </c>
      <c r="C540" s="28">
        <f>O540/N540</f>
        <v>0.26666666666666666</v>
      </c>
      <c r="D540" s="350"/>
      <c r="E540" s="37" t="str">
        <f>IF(ISBLANK('Selbstbeurteilung Kunde'!F554),"",'Selbstbeurteilung Kunde'!F554)</f>
        <v/>
      </c>
      <c r="F540" s="282"/>
      <c r="G540" s="282"/>
      <c r="H540" s="282"/>
      <c r="I540" s="282"/>
      <c r="J540" s="282"/>
      <c r="K540" s="282"/>
      <c r="L540" s="63">
        <f>P540/N540</f>
        <v>0.26666666666666666</v>
      </c>
      <c r="M540" s="29">
        <v>1</v>
      </c>
      <c r="N540" s="29">
        <f>SUM(M541:M549)</f>
        <v>15</v>
      </c>
      <c r="O540" s="31">
        <f>SUM(O541:O549)</f>
        <v>4</v>
      </c>
      <c r="P540" s="31">
        <f>SUM(P541:P549)</f>
        <v>4</v>
      </c>
      <c r="Q540" s="65">
        <f>O540/$N540*$M540</f>
        <v>0.26666666666666666</v>
      </c>
      <c r="R540" s="65">
        <f>P540/$N540*$M540</f>
        <v>0.26666666666666666</v>
      </c>
    </row>
    <row r="541" spans="1:18" ht="52.8" x14ac:dyDescent="0.3">
      <c r="A541" s="3" t="str">
        <f>'Selbstbeurteilung Kunde'!A555</f>
        <v>9.9.1.</v>
      </c>
      <c r="B541" s="6" t="str">
        <f>'Selbstbeurteilung Kunde'!C555</f>
        <v>Gibt es heimliche Verstärker von riskantem Verhalten? (Hohe Leistung ist gefragt, egal, wie sie zustande kommt; Rambos werden bewundert, sicherheitsgerechtes Arbeiten ausgelacht).</v>
      </c>
      <c r="C541" s="49">
        <f>IF(ISBLANK('Selbstbeurteilung Kunde'!D555),0,1)</f>
        <v>0</v>
      </c>
      <c r="D541" s="49" t="str">
        <f>IF(AND('Selbstbeurteilung Kunde'!D555="",'Selbstbeurteilung Kunde'!E555=""),"*","")</f>
        <v>*</v>
      </c>
      <c r="E541" s="50" t="str">
        <f>IF(ISBLANK('Selbstbeurteilung Kunde'!F555),"",'Selbstbeurteilung Kunde'!F555)</f>
        <v/>
      </c>
      <c r="F541" s="287"/>
      <c r="G541" s="287"/>
      <c r="H541" s="287"/>
      <c r="I541" s="287"/>
      <c r="J541" s="287"/>
      <c r="K541" s="287"/>
      <c r="L541" s="279"/>
      <c r="M541" s="47">
        <v>1</v>
      </c>
      <c r="N541" s="34"/>
      <c r="O541" s="59">
        <f>(1-C541)*M541</f>
        <v>1</v>
      </c>
      <c r="P541" s="62">
        <f>(1-L541)*M541</f>
        <v>1</v>
      </c>
      <c r="Q541" s="46"/>
      <c r="R541" s="34"/>
    </row>
    <row r="542" spans="1:18" ht="26.4" x14ac:dyDescent="0.3">
      <c r="A542" s="3" t="str">
        <f>'Selbstbeurteilung Kunde'!A556</f>
        <v>9.9.2.</v>
      </c>
      <c r="B542" s="6" t="str">
        <f>'Selbstbeurteilung Kunde'!C556</f>
        <v>Ist der Umgang mit Suchtmitteln (z.B. Alkohol, Drogen, Nikotin) im Betrieb geregelt?</v>
      </c>
      <c r="C542" s="49">
        <f>IF(ISBLANK('Selbstbeurteilung Kunde'!D556),0,1)</f>
        <v>0</v>
      </c>
      <c r="D542" s="49" t="str">
        <f>IF(AND('Selbstbeurteilung Kunde'!D556="",'Selbstbeurteilung Kunde'!E556=""),"*","")</f>
        <v>*</v>
      </c>
      <c r="E542" s="50" t="str">
        <f>IF(ISBLANK('Selbstbeurteilung Kunde'!F556),"",'Selbstbeurteilung Kunde'!F556)</f>
        <v/>
      </c>
      <c r="F542" s="287"/>
      <c r="G542" s="287"/>
      <c r="H542" s="287"/>
      <c r="I542" s="287"/>
      <c r="J542" s="287"/>
      <c r="K542" s="287"/>
      <c r="L542" s="279"/>
      <c r="M542" s="47">
        <v>3</v>
      </c>
      <c r="N542" s="34"/>
      <c r="O542" s="35">
        <f>C542*M542</f>
        <v>0</v>
      </c>
      <c r="P542" s="54">
        <f>L542*M542</f>
        <v>0</v>
      </c>
      <c r="Q542" s="46"/>
      <c r="R542" s="34"/>
    </row>
    <row r="543" spans="1:18" x14ac:dyDescent="0.3">
      <c r="A543" s="3" t="str">
        <f>'Selbstbeurteilung Kunde'!A557</f>
        <v>9.9.3.</v>
      </c>
      <c r="B543" s="6" t="str">
        <f>'Selbstbeurteilung Kunde'!C557</f>
        <v>Wird in der Kantine oder im Betrieb Alkohol ausgeschenkt?</v>
      </c>
      <c r="C543" s="49">
        <f>IF(ISBLANK('Selbstbeurteilung Kunde'!D557),0,1)</f>
        <v>0</v>
      </c>
      <c r="D543" s="49" t="str">
        <f>IF(AND('Selbstbeurteilung Kunde'!D557="",'Selbstbeurteilung Kunde'!E557=""),"*","")</f>
        <v>*</v>
      </c>
      <c r="E543" s="50" t="str">
        <f>IF(ISBLANK('Selbstbeurteilung Kunde'!F557),"",'Selbstbeurteilung Kunde'!F557)</f>
        <v/>
      </c>
      <c r="F543" s="287"/>
      <c r="G543" s="287"/>
      <c r="H543" s="287"/>
      <c r="I543" s="287"/>
      <c r="J543" s="287"/>
      <c r="K543" s="287"/>
      <c r="L543" s="279"/>
      <c r="M543" s="47">
        <v>3</v>
      </c>
      <c r="N543" s="34"/>
      <c r="O543" s="59">
        <f>(1-C543)*M543</f>
        <v>3</v>
      </c>
      <c r="P543" s="62">
        <f>(1-L543)*M543</f>
        <v>3</v>
      </c>
      <c r="Q543" s="46"/>
      <c r="R543" s="34"/>
    </row>
    <row r="544" spans="1:18" x14ac:dyDescent="0.3">
      <c r="A544" s="3" t="str">
        <f>'Selbstbeurteilung Kunde'!A558</f>
        <v>9.9.4.</v>
      </c>
      <c r="B544" s="6" t="str">
        <f>'Selbstbeurteilung Kunde'!C558</f>
        <v>Gibt es in Ihrem Betrieb ein Suchtpräventionsprogramm?</v>
      </c>
      <c r="C544" s="49">
        <f>IF(ISBLANK('Selbstbeurteilung Kunde'!D558),0,1)</f>
        <v>0</v>
      </c>
      <c r="D544" s="49" t="str">
        <f>IF(AND('Selbstbeurteilung Kunde'!D558="",'Selbstbeurteilung Kunde'!E558=""),"*","")</f>
        <v>*</v>
      </c>
      <c r="E544" s="50" t="str">
        <f>IF(ISBLANK('Selbstbeurteilung Kunde'!F558),"",'Selbstbeurteilung Kunde'!F558)</f>
        <v/>
      </c>
      <c r="F544" s="290"/>
      <c r="G544" s="290"/>
      <c r="H544" s="290"/>
      <c r="I544" s="290"/>
      <c r="J544" s="290"/>
      <c r="K544" s="290"/>
      <c r="L544" s="279"/>
      <c r="M544" s="47">
        <v>1</v>
      </c>
      <c r="N544" s="34"/>
      <c r="O544" s="35">
        <f>C544*M544</f>
        <v>0</v>
      </c>
      <c r="P544" s="54">
        <f>L544*M544</f>
        <v>0</v>
      </c>
      <c r="Q544" s="46"/>
      <c r="R544" s="46"/>
    </row>
    <row r="545" spans="1:18" ht="26.4" x14ac:dyDescent="0.3">
      <c r="A545" s="3" t="str">
        <f>'Selbstbeurteilung Kunde'!A559</f>
        <v>9.9.5.</v>
      </c>
      <c r="B545" s="6" t="str">
        <f>'Selbstbeurteilung Kunde'!C559</f>
        <v>Gibt es aktuelle Fälle von erkannten Suchtproblemen? Wenn ja, wieviele Fälle?</v>
      </c>
      <c r="C545" s="49">
        <f>IF(ISBLANK('Selbstbeurteilung Kunde'!D559),0,1)</f>
        <v>0</v>
      </c>
      <c r="D545" s="49" t="str">
        <f>IF(AND('Selbstbeurteilung Kunde'!D559="",'Selbstbeurteilung Kunde'!E559=""),"*","")</f>
        <v>*</v>
      </c>
      <c r="E545" s="50" t="str">
        <f>IF(ISBLANK('Selbstbeurteilung Kunde'!F559),"",'Selbstbeurteilung Kunde'!F559)</f>
        <v/>
      </c>
      <c r="F545" s="287"/>
      <c r="G545" s="287"/>
      <c r="H545" s="287"/>
      <c r="I545" s="287"/>
      <c r="J545" s="287"/>
      <c r="K545" s="287"/>
      <c r="L545" s="279"/>
      <c r="M545" s="47">
        <v>0</v>
      </c>
      <c r="N545" s="34"/>
      <c r="O545" s="59">
        <f>(1-C545)*M545</f>
        <v>0</v>
      </c>
      <c r="P545" s="62">
        <f>(1-L545)*M545</f>
        <v>0</v>
      </c>
      <c r="Q545" s="46"/>
      <c r="R545" s="34"/>
    </row>
    <row r="546" spans="1:18" ht="39.6" x14ac:dyDescent="0.3">
      <c r="A546" s="3" t="str">
        <f>'Selbstbeurteilung Kunde'!A560</f>
        <v>9.9.6.</v>
      </c>
      <c r="B546" s="6" t="str">
        <f>'Selbstbeurteilung Kunde'!C560</f>
        <v>Werden diese Fälle konkret und systematisch behandelt? Wenn ja, welche Stelle oder Person befasst sich mit diesen Fällen?</v>
      </c>
      <c r="C546" s="49">
        <f>IF(ISBLANK('Selbstbeurteilung Kunde'!D560),0,1)</f>
        <v>0</v>
      </c>
      <c r="D546" s="49" t="str">
        <f>IF(AND('Selbstbeurteilung Kunde'!D560="",'Selbstbeurteilung Kunde'!E560=""),"*","")</f>
        <v>*</v>
      </c>
      <c r="E546" s="50" t="str">
        <f>IF(ISBLANK('Selbstbeurteilung Kunde'!F560),"",'Selbstbeurteilung Kunde'!F560)</f>
        <v/>
      </c>
      <c r="F546" s="287"/>
      <c r="G546" s="287"/>
      <c r="H546" s="287"/>
      <c r="I546" s="287"/>
      <c r="J546" s="287"/>
      <c r="K546" s="287"/>
      <c r="L546" s="279"/>
      <c r="M546" s="47">
        <v>1</v>
      </c>
      <c r="N546" s="34"/>
      <c r="O546" s="35">
        <f>C546*M546</f>
        <v>0</v>
      </c>
      <c r="P546" s="54">
        <f t="shared" ref="P546:P547" si="93">L546*M546</f>
        <v>0</v>
      </c>
      <c r="Q546" s="46"/>
      <c r="R546" s="34"/>
    </row>
    <row r="547" spans="1:18" ht="39.6" x14ac:dyDescent="0.3">
      <c r="A547" s="3" t="str">
        <f>'Selbstbeurteilung Kunde'!A561</f>
        <v>9.9.7.</v>
      </c>
      <c r="B547" s="6" t="str">
        <f>'Selbstbeurteilung Kunde'!C561</f>
        <v>Wissen alle Vorgesetzten, wie sie handeln sollen, wenn sich zeigt, dass ein Mitarbeiter Suchtprobleme hat (Alkohol etc.)?</v>
      </c>
      <c r="C547" s="49">
        <f>IF(ISBLANK('Selbstbeurteilung Kunde'!D561),0,1)</f>
        <v>0</v>
      </c>
      <c r="D547" s="49" t="str">
        <f>IF(AND('Selbstbeurteilung Kunde'!D561="",'Selbstbeurteilung Kunde'!E561=""),"*","")</f>
        <v>*</v>
      </c>
      <c r="E547" s="50" t="str">
        <f>IF(ISBLANK('Selbstbeurteilung Kunde'!F561),"",'Selbstbeurteilung Kunde'!F561)</f>
        <v/>
      </c>
      <c r="F547" s="287"/>
      <c r="G547" s="287"/>
      <c r="H547" s="287"/>
      <c r="I547" s="287"/>
      <c r="J547" s="287"/>
      <c r="K547" s="287"/>
      <c r="L547" s="279"/>
      <c r="M547" s="47">
        <v>3</v>
      </c>
      <c r="N547" s="34"/>
      <c r="O547" s="35">
        <f>C547*M547</f>
        <v>0</v>
      </c>
      <c r="P547" s="54">
        <f t="shared" si="93"/>
        <v>0</v>
      </c>
      <c r="Q547" s="46"/>
      <c r="R547" s="34"/>
    </row>
    <row r="548" spans="1:18" ht="39.6" x14ac:dyDescent="0.3">
      <c r="A548" s="3" t="str">
        <f>'Selbstbeurteilung Kunde'!A562</f>
        <v>9.9.8.</v>
      </c>
      <c r="B548" s="6" t="str">
        <f>'Selbstbeurteilung Kunde'!C562</f>
        <v>Werden Massnahmen zum Schutz von besonderen Personengruppen getroffen (z. B. Jugendschutz, Mutterschutz, behinderte Personen)?</v>
      </c>
      <c r="C548" s="49">
        <f>IF(ISBLANK('Selbstbeurteilung Kunde'!D562),0,1)</f>
        <v>0</v>
      </c>
      <c r="D548" s="49" t="str">
        <f>IF(AND('Selbstbeurteilung Kunde'!D562="",'Selbstbeurteilung Kunde'!E562=""),"*","")</f>
        <v>*</v>
      </c>
      <c r="E548" s="50" t="str">
        <f>IF(ISBLANK('Selbstbeurteilung Kunde'!F562),"",'Selbstbeurteilung Kunde'!F562)</f>
        <v/>
      </c>
      <c r="F548" s="287"/>
      <c r="G548" s="287"/>
      <c r="H548" s="287"/>
      <c r="I548" s="287"/>
      <c r="J548" s="287"/>
      <c r="K548" s="287"/>
      <c r="L548" s="279"/>
      <c r="M548" s="47">
        <v>2</v>
      </c>
      <c r="N548" s="34"/>
      <c r="O548" s="35">
        <f>C548*M548</f>
        <v>0</v>
      </c>
      <c r="P548" s="54">
        <f t="shared" ref="P548:P549" si="94">L548*M548</f>
        <v>0</v>
      </c>
      <c r="Q548" s="46"/>
      <c r="R548" s="34"/>
    </row>
    <row r="549" spans="1:18" ht="52.8" x14ac:dyDescent="0.3">
      <c r="A549" s="3" t="str">
        <f>'Selbstbeurteilung Kunde'!A563</f>
        <v>9.9.9.</v>
      </c>
      <c r="B549" s="6" t="str">
        <f>'Selbstbeurteilung Kunde'!C563</f>
        <v>Werden Massnahmen zum Schutz vor übertragbaren Krankheiten getroffen? (z.B. BAG Pandemieplan Handbuch für die betriebliche Vorbereitung, kantonale oder branchenspezifische Vorgaben)</v>
      </c>
      <c r="C549" s="49">
        <f>IF(ISBLANK('Selbstbeurteilung Kunde'!D563),0,1)</f>
        <v>0</v>
      </c>
      <c r="D549" s="49" t="str">
        <f>IF(AND('Selbstbeurteilung Kunde'!D563="",'Selbstbeurteilung Kunde'!E563=""),"*","")</f>
        <v>*</v>
      </c>
      <c r="E549" s="50" t="str">
        <f>IF(ISBLANK('Selbstbeurteilung Kunde'!F563),"",'Selbstbeurteilung Kunde'!F563)</f>
        <v/>
      </c>
      <c r="F549" s="287"/>
      <c r="G549" s="287"/>
      <c r="H549" s="287"/>
      <c r="I549" s="287"/>
      <c r="J549" s="287"/>
      <c r="K549" s="287"/>
      <c r="L549" s="279"/>
      <c r="M549" s="47">
        <v>1</v>
      </c>
      <c r="N549" s="34"/>
      <c r="O549" s="35">
        <f>C549*M549</f>
        <v>0</v>
      </c>
      <c r="P549" s="54">
        <f t="shared" si="94"/>
        <v>0</v>
      </c>
      <c r="Q549" s="46"/>
      <c r="R549" s="34"/>
    </row>
    <row r="550" spans="1:18" x14ac:dyDescent="0.3">
      <c r="A550" s="27" t="str">
        <f>'Selbstbeurteilung Kunde'!A564</f>
        <v>9.10.</v>
      </c>
      <c r="B550" s="27" t="str">
        <f>'Selbstbeurteilung Kunde'!B564</f>
        <v>Gestaltung von Arbeitsplätzen und Betriebsmitteln</v>
      </c>
      <c r="C550" s="28">
        <f>O550/N550</f>
        <v>0</v>
      </c>
      <c r="D550" s="350"/>
      <c r="E550" s="37" t="str">
        <f>IF(ISBLANK('Selbstbeurteilung Kunde'!F564),"",'Selbstbeurteilung Kunde'!F564)</f>
        <v/>
      </c>
      <c r="F550" s="282"/>
      <c r="G550" s="282"/>
      <c r="H550" s="282"/>
      <c r="I550" s="282"/>
      <c r="J550" s="282"/>
      <c r="K550" s="282"/>
      <c r="L550" s="63">
        <f>P550/N550</f>
        <v>0</v>
      </c>
      <c r="M550" s="29">
        <v>3</v>
      </c>
      <c r="N550" s="29">
        <f>SUM(M551:M555)</f>
        <v>12</v>
      </c>
      <c r="O550" s="31">
        <f>SUM(O551:O555)</f>
        <v>0</v>
      </c>
      <c r="P550" s="31">
        <f>SUM(P551:P555)</f>
        <v>0</v>
      </c>
      <c r="Q550" s="65">
        <f>O550/$N550*$M550</f>
        <v>0</v>
      </c>
      <c r="R550" s="65">
        <f>P550/$N550*$M550</f>
        <v>0</v>
      </c>
    </row>
    <row r="551" spans="1:18" ht="39.6" x14ac:dyDescent="0.3">
      <c r="A551" s="3" t="str">
        <f>'Selbstbeurteilung Kunde'!A565</f>
        <v>9.10.1.</v>
      </c>
      <c r="B551" s="6" t="str">
        <f>'Selbstbeurteilung Kunde'!C565</f>
        <v>Berücksichtigen Sie ergonomische Grundsätze bei der Planung von neuen Arbeitsmitteln, Arbeitsplätzen und Arbeitsverfahren?</v>
      </c>
      <c r="C551" s="49">
        <f>IF(ISBLANK('Selbstbeurteilung Kunde'!D565),0,1)</f>
        <v>0</v>
      </c>
      <c r="D551" s="49" t="str">
        <f>IF(AND('Selbstbeurteilung Kunde'!D565="",'Selbstbeurteilung Kunde'!E565=""),"*","")</f>
        <v>*</v>
      </c>
      <c r="E551" s="50" t="str">
        <f>IF(ISBLANK('Selbstbeurteilung Kunde'!F565),"",'Selbstbeurteilung Kunde'!F565)</f>
        <v/>
      </c>
      <c r="F551" s="287"/>
      <c r="G551" s="287"/>
      <c r="H551" s="287"/>
      <c r="I551" s="287"/>
      <c r="J551" s="287"/>
      <c r="K551" s="287"/>
      <c r="L551" s="279"/>
      <c r="M551" s="47">
        <v>3</v>
      </c>
      <c r="N551" s="34"/>
      <c r="O551" s="35">
        <f>C551*M551</f>
        <v>0</v>
      </c>
      <c r="P551" s="54">
        <f t="shared" ref="P551:P555" si="95">L551*M551</f>
        <v>0</v>
      </c>
      <c r="Q551" s="46"/>
      <c r="R551" s="34"/>
    </row>
    <row r="552" spans="1:18" ht="26.4" x14ac:dyDescent="0.3">
      <c r="A552" s="3" t="str">
        <f>'Selbstbeurteilung Kunde'!A566</f>
        <v>9.10.2.</v>
      </c>
      <c r="B552" s="6" t="str">
        <f>'Selbstbeurteilung Kunde'!C566</f>
        <v>Werden die Arbeitsplätze periodisch nach ergonomischen Grundsätzen überprüft?</v>
      </c>
      <c r="C552" s="49">
        <f>IF(ISBLANK('Selbstbeurteilung Kunde'!D566),0,1)</f>
        <v>0</v>
      </c>
      <c r="D552" s="49" t="str">
        <f>IF(AND('Selbstbeurteilung Kunde'!D566="",'Selbstbeurteilung Kunde'!E566=""),"*","")</f>
        <v>*</v>
      </c>
      <c r="E552" s="50" t="str">
        <f>IF(ISBLANK('Selbstbeurteilung Kunde'!F566),"",'Selbstbeurteilung Kunde'!F566)</f>
        <v/>
      </c>
      <c r="F552" s="290"/>
      <c r="G552" s="290"/>
      <c r="H552" s="290"/>
      <c r="I552" s="290"/>
      <c r="J552" s="290"/>
      <c r="K552" s="290"/>
      <c r="L552" s="279"/>
      <c r="M552" s="47">
        <v>3</v>
      </c>
      <c r="N552" s="34"/>
      <c r="O552" s="35">
        <f>C552*M552</f>
        <v>0</v>
      </c>
      <c r="P552" s="54">
        <f t="shared" si="95"/>
        <v>0</v>
      </c>
      <c r="Q552" s="46"/>
      <c r="R552" s="34"/>
    </row>
    <row r="553" spans="1:18" ht="26.4" x14ac:dyDescent="0.3">
      <c r="A553" s="3" t="str">
        <f>'Selbstbeurteilung Kunde'!A567</f>
        <v>9.10.3.</v>
      </c>
      <c r="B553" s="6" t="str">
        <f>'Selbstbeurteilung Kunde'!C567</f>
        <v>Verfügen Ihre Arbeits- und Betriebsmittelplaner über ergonomische Kenntnisse?</v>
      </c>
      <c r="C553" s="49">
        <f>IF(ISBLANK('Selbstbeurteilung Kunde'!D567),0,1)</f>
        <v>0</v>
      </c>
      <c r="D553" s="49" t="str">
        <f>IF(AND('Selbstbeurteilung Kunde'!D567="",'Selbstbeurteilung Kunde'!E567=""),"*","")</f>
        <v>*</v>
      </c>
      <c r="E553" s="50" t="str">
        <f>IF(ISBLANK('Selbstbeurteilung Kunde'!F567),"",'Selbstbeurteilung Kunde'!F567)</f>
        <v/>
      </c>
      <c r="F553" s="290"/>
      <c r="G553" s="290"/>
      <c r="H553" s="290"/>
      <c r="I553" s="290"/>
      <c r="J553" s="290"/>
      <c r="K553" s="290"/>
      <c r="L553" s="279"/>
      <c r="M553" s="47">
        <v>1</v>
      </c>
      <c r="N553" s="34"/>
      <c r="O553" s="35">
        <f>C553*M553</f>
        <v>0</v>
      </c>
      <c r="P553" s="54">
        <f t="shared" si="95"/>
        <v>0</v>
      </c>
      <c r="Q553" s="46"/>
      <c r="R553" s="46"/>
    </row>
    <row r="554" spans="1:18" ht="39.6" x14ac:dyDescent="0.3">
      <c r="A554" s="3" t="str">
        <f>'Selbstbeurteilung Kunde'!A568</f>
        <v>9.10.4.</v>
      </c>
      <c r="B554" s="6" t="str">
        <f>'Selbstbeurteilung Kunde'!C568</f>
        <v>Werden andere interne oder externe Stellen bei ergonomischen Problemstellungen und Fragen konsultiert? Wenn ja, welche?</v>
      </c>
      <c r="C554" s="49">
        <f>IF(ISBLANK('Selbstbeurteilung Kunde'!D568),0,1)</f>
        <v>0</v>
      </c>
      <c r="D554" s="49" t="str">
        <f>IF(AND('Selbstbeurteilung Kunde'!D568="",'Selbstbeurteilung Kunde'!E568=""),"*","")</f>
        <v>*</v>
      </c>
      <c r="E554" s="50" t="str">
        <f>IF(ISBLANK('Selbstbeurteilung Kunde'!F568),"",'Selbstbeurteilung Kunde'!F568)</f>
        <v/>
      </c>
      <c r="F554" s="287"/>
      <c r="G554" s="287"/>
      <c r="H554" s="287"/>
      <c r="I554" s="287"/>
      <c r="J554" s="287"/>
      <c r="K554" s="287"/>
      <c r="L554" s="279"/>
      <c r="M554" s="47">
        <v>3</v>
      </c>
      <c r="N554" s="34"/>
      <c r="O554" s="35">
        <f>C554*M554</f>
        <v>0</v>
      </c>
      <c r="P554" s="54">
        <f t="shared" si="95"/>
        <v>0</v>
      </c>
      <c r="Q554" s="46"/>
      <c r="R554" s="34"/>
    </row>
    <row r="555" spans="1:18" ht="26.4" x14ac:dyDescent="0.3">
      <c r="A555" s="3" t="str">
        <f>'Selbstbeurteilung Kunde'!A569</f>
        <v>9.10.5.</v>
      </c>
      <c r="B555" s="6" t="str">
        <f>'Selbstbeurteilung Kunde'!C569</f>
        <v>Sind ergonomische Kriterien und Anforderungen fester Bestandteil Ihrer Kaufverträge und Bestellungen?</v>
      </c>
      <c r="C555" s="49">
        <f>IF(ISBLANK('Selbstbeurteilung Kunde'!D569),0,1)</f>
        <v>0</v>
      </c>
      <c r="D555" s="49" t="str">
        <f>IF(AND('Selbstbeurteilung Kunde'!D569="",'Selbstbeurteilung Kunde'!E569=""),"*","")</f>
        <v>*</v>
      </c>
      <c r="E555" s="50" t="str">
        <f>IF(ISBLANK('Selbstbeurteilung Kunde'!F569),"",'Selbstbeurteilung Kunde'!F569)</f>
        <v/>
      </c>
      <c r="F555" s="287"/>
      <c r="G555" s="287"/>
      <c r="H555" s="287"/>
      <c r="I555" s="287"/>
      <c r="J555" s="287"/>
      <c r="K555" s="287"/>
      <c r="L555" s="279"/>
      <c r="M555" s="47">
        <v>2</v>
      </c>
      <c r="N555" s="34"/>
      <c r="O555" s="35">
        <f>C555*M555</f>
        <v>0</v>
      </c>
      <c r="P555" s="54">
        <f t="shared" si="95"/>
        <v>0</v>
      </c>
      <c r="Q555" s="46"/>
      <c r="R555" s="34"/>
    </row>
    <row r="556" spans="1:18" x14ac:dyDescent="0.3">
      <c r="A556" s="44" t="str">
        <f>'Selbstbeurteilung Kunde'!A571</f>
        <v>10.</v>
      </c>
      <c r="B556" s="7" t="str">
        <f>'Selbstbeurteilung Kunde'!B571</f>
        <v>Kontrolle</v>
      </c>
      <c r="C556" s="40">
        <f>O556/N556</f>
        <v>0</v>
      </c>
      <c r="D556" s="40"/>
      <c r="E556" s="36"/>
      <c r="F556" s="25"/>
      <c r="G556" s="25"/>
      <c r="H556" s="25"/>
      <c r="I556" s="25"/>
      <c r="J556" s="25"/>
      <c r="K556" s="25"/>
      <c r="L556" s="281">
        <f>P556/N556</f>
        <v>0</v>
      </c>
      <c r="M556" s="5"/>
      <c r="N556" s="5">
        <f>SUM(M557,M571,M582,)</f>
        <v>6</v>
      </c>
      <c r="O556" s="61">
        <f>SUM(Q557:Q586)</f>
        <v>0</v>
      </c>
      <c r="P556" s="61">
        <f>SUM(R557:R586)</f>
        <v>0</v>
      </c>
      <c r="Q556" s="45"/>
      <c r="R556" s="45"/>
    </row>
    <row r="557" spans="1:18" x14ac:dyDescent="0.3">
      <c r="A557" s="27" t="str">
        <f>'Selbstbeurteilung Kunde'!A573</f>
        <v>10.1.</v>
      </c>
      <c r="B557" s="27" t="str">
        <f>'Selbstbeurteilung Kunde'!B573</f>
        <v>Sicherheitsaudits</v>
      </c>
      <c r="C557" s="28">
        <f>O557/N557</f>
        <v>0</v>
      </c>
      <c r="D557" s="350"/>
      <c r="E557" s="37"/>
      <c r="F557" s="282"/>
      <c r="G557" s="282"/>
      <c r="H557" s="282"/>
      <c r="I557" s="282"/>
      <c r="J557" s="282"/>
      <c r="K557" s="282"/>
      <c r="L557" s="63">
        <f>P557/N557</f>
        <v>0</v>
      </c>
      <c r="M557" s="29">
        <v>3</v>
      </c>
      <c r="N557" s="29">
        <f>SUM(M558:M570)</f>
        <v>18</v>
      </c>
      <c r="O557" s="31">
        <f>SUM(O558:O570)</f>
        <v>0</v>
      </c>
      <c r="P557" s="31">
        <f>SUM(P558:P570)</f>
        <v>0</v>
      </c>
      <c r="Q557" s="65">
        <f>O557/$N557*$M557</f>
        <v>0</v>
      </c>
      <c r="R557" s="65">
        <f>P557/$N557*$M557</f>
        <v>0</v>
      </c>
    </row>
    <row r="558" spans="1:18" ht="39.6" x14ac:dyDescent="0.3">
      <c r="A558" s="3" t="str">
        <f>'Selbstbeurteilung Kunde'!A574</f>
        <v>10.1.1.</v>
      </c>
      <c r="B558" s="6" t="str">
        <f>'Selbstbeurteilung Kunde'!C574</f>
        <v>Besteht in Ihrem Unternehmen ein Kontroll- oder Überwachungskonzept bezüglich Sicherheit und Gesundheit der Beschäftigten?</v>
      </c>
      <c r="C558" s="49">
        <f>IF(ISBLANK('Selbstbeurteilung Kunde'!D574),0,1)</f>
        <v>0</v>
      </c>
      <c r="D558" s="49" t="str">
        <f>IF(AND('Selbstbeurteilung Kunde'!D574="",'Selbstbeurteilung Kunde'!E574=""),"*","")</f>
        <v>*</v>
      </c>
      <c r="E558" s="50" t="str">
        <f>IF(ISBLANK('Selbstbeurteilung Kunde'!F574),"",'Selbstbeurteilung Kunde'!F574)</f>
        <v/>
      </c>
      <c r="F558" s="290"/>
      <c r="G558" s="290"/>
      <c r="H558" s="290"/>
      <c r="I558" s="290"/>
      <c r="J558" s="290"/>
      <c r="K558" s="290"/>
      <c r="L558" s="279"/>
      <c r="M558" s="47">
        <v>2</v>
      </c>
      <c r="N558" s="34">
        <v>13</v>
      </c>
      <c r="O558" s="35">
        <f t="shared" ref="O558:O570" si="96">C558*M558</f>
        <v>0</v>
      </c>
      <c r="P558" s="54">
        <f t="shared" ref="P558:P570" si="97">L558*M558</f>
        <v>0</v>
      </c>
      <c r="Q558" s="46"/>
      <c r="R558" s="46"/>
    </row>
    <row r="559" spans="1:18" ht="26.4" x14ac:dyDescent="0.3">
      <c r="A559" s="3" t="str">
        <f>'Selbstbeurteilung Kunde'!A575</f>
        <v>10.1.2.</v>
      </c>
      <c r="B559" s="6" t="str">
        <f>'Selbstbeurteilung Kunde'!C575</f>
        <v>Werden in Ihrem Unternehmen regelmässig Sicherheitsaudits durchgeführt? Wenn ja, durch wen?</v>
      </c>
      <c r="C559" s="49">
        <f>IF(ISBLANK('Selbstbeurteilung Kunde'!D575),0,1)</f>
        <v>0</v>
      </c>
      <c r="D559" s="49" t="str">
        <f>IF(AND('Selbstbeurteilung Kunde'!D575="",'Selbstbeurteilung Kunde'!E575=""),"*","")</f>
        <v>*</v>
      </c>
      <c r="E559" s="50" t="str">
        <f>IF(ISBLANK('Selbstbeurteilung Kunde'!F575),"",'Selbstbeurteilung Kunde'!F575)</f>
        <v/>
      </c>
      <c r="F559" s="290"/>
      <c r="G559" s="290"/>
      <c r="H559" s="290"/>
      <c r="I559" s="290"/>
      <c r="J559" s="290"/>
      <c r="K559" s="290"/>
      <c r="L559" s="279"/>
      <c r="M559" s="47">
        <v>3</v>
      </c>
      <c r="N559" s="34"/>
      <c r="O559" s="35">
        <f t="shared" si="96"/>
        <v>0</v>
      </c>
      <c r="P559" s="54">
        <f t="shared" si="97"/>
        <v>0</v>
      </c>
      <c r="Q559" s="46"/>
      <c r="R559" s="34"/>
    </row>
    <row r="560" spans="1:18" ht="39.6" x14ac:dyDescent="0.3">
      <c r="A560" s="3" t="str">
        <f>'Selbstbeurteilung Kunde'!A576</f>
        <v>10.1.3.a</v>
      </c>
      <c r="B560" s="6" t="str">
        <f>'Selbstbeurteilung Kunde'!C576</f>
        <v>Wie häufig werden regelmässige Sicherheitsaudits durchgeführt:
Wöchentlich?</v>
      </c>
      <c r="C560" s="49">
        <f>IF(ISBLANK('Selbstbeurteilung Kunde'!D576),0,1)</f>
        <v>0</v>
      </c>
      <c r="D560" s="49" t="str">
        <f>IF(AND('Selbstbeurteilung Kunde'!D576="",'Selbstbeurteilung Kunde'!E576=""),"*","")</f>
        <v>*</v>
      </c>
      <c r="E560" s="50" t="str">
        <f>IF(ISBLANK('Selbstbeurteilung Kunde'!F576),"",'Selbstbeurteilung Kunde'!F576)</f>
        <v/>
      </c>
      <c r="F560" s="287"/>
      <c r="G560" s="287"/>
      <c r="H560" s="287"/>
      <c r="I560" s="287"/>
      <c r="J560" s="287"/>
      <c r="K560" s="287"/>
      <c r="L560" s="279"/>
      <c r="M560" s="47">
        <v>0</v>
      </c>
      <c r="N560" s="34"/>
      <c r="O560" s="35">
        <f t="shared" si="96"/>
        <v>0</v>
      </c>
      <c r="P560" s="54">
        <f t="shared" si="97"/>
        <v>0</v>
      </c>
      <c r="Q560" s="46"/>
      <c r="R560" s="34"/>
    </row>
    <row r="561" spans="1:18" x14ac:dyDescent="0.3">
      <c r="A561" s="3" t="str">
        <f>'Selbstbeurteilung Kunde'!A577</f>
        <v>10.1.3.b</v>
      </c>
      <c r="B561" s="6" t="str">
        <f>'Selbstbeurteilung Kunde'!C577</f>
        <v>Monatlich?</v>
      </c>
      <c r="C561" s="49">
        <f>IF(ISBLANK('Selbstbeurteilung Kunde'!D577),0,1)</f>
        <v>0</v>
      </c>
      <c r="D561" s="49" t="str">
        <f>IF(AND('Selbstbeurteilung Kunde'!D577="",'Selbstbeurteilung Kunde'!E577=""),"*","")</f>
        <v>*</v>
      </c>
      <c r="E561" s="50" t="str">
        <f>IF(ISBLANK('Selbstbeurteilung Kunde'!F577),"",'Selbstbeurteilung Kunde'!F577)</f>
        <v/>
      </c>
      <c r="F561" s="287"/>
      <c r="G561" s="287"/>
      <c r="H561" s="287"/>
      <c r="I561" s="287"/>
      <c r="J561" s="287"/>
      <c r="K561" s="287"/>
      <c r="L561" s="279"/>
      <c r="M561" s="47">
        <v>0</v>
      </c>
      <c r="N561" s="34"/>
      <c r="O561" s="35">
        <f t="shared" si="96"/>
        <v>0</v>
      </c>
      <c r="P561" s="54">
        <f t="shared" si="97"/>
        <v>0</v>
      </c>
      <c r="Q561" s="46"/>
      <c r="R561" s="34"/>
    </row>
    <row r="562" spans="1:18" x14ac:dyDescent="0.3">
      <c r="A562" s="3" t="str">
        <f>'Selbstbeurteilung Kunde'!A578</f>
        <v>10.1.3.c</v>
      </c>
      <c r="B562" s="6" t="str">
        <f>'Selbstbeurteilung Kunde'!C578</f>
        <v>Halbjährlich?</v>
      </c>
      <c r="C562" s="49">
        <f>IF(ISBLANK('Selbstbeurteilung Kunde'!D578),0,1)</f>
        <v>0</v>
      </c>
      <c r="D562" s="49" t="str">
        <f>IF(AND('Selbstbeurteilung Kunde'!D578="",'Selbstbeurteilung Kunde'!E578=""),"*","")</f>
        <v>*</v>
      </c>
      <c r="E562" s="50" t="str">
        <f>IF(ISBLANK('Selbstbeurteilung Kunde'!F578),"",'Selbstbeurteilung Kunde'!F578)</f>
        <v/>
      </c>
      <c r="F562" s="287"/>
      <c r="G562" s="287"/>
      <c r="H562" s="287"/>
      <c r="I562" s="287"/>
      <c r="J562" s="287"/>
      <c r="K562" s="287"/>
      <c r="L562" s="279"/>
      <c r="M562" s="47">
        <v>0</v>
      </c>
      <c r="N562" s="34"/>
      <c r="O562" s="35">
        <f t="shared" si="96"/>
        <v>0</v>
      </c>
      <c r="P562" s="54">
        <f t="shared" si="97"/>
        <v>0</v>
      </c>
      <c r="Q562" s="46"/>
      <c r="R562" s="34"/>
    </row>
    <row r="563" spans="1:18" x14ac:dyDescent="0.3">
      <c r="A563" s="3" t="str">
        <f>'Selbstbeurteilung Kunde'!A579</f>
        <v>10.1.3.d</v>
      </c>
      <c r="B563" s="6" t="str">
        <f>'Selbstbeurteilung Kunde'!C579</f>
        <v>Jährlich?</v>
      </c>
      <c r="C563" s="49">
        <f>IF(ISBLANK('Selbstbeurteilung Kunde'!D579),0,1)</f>
        <v>0</v>
      </c>
      <c r="D563" s="49" t="str">
        <f>IF(AND('Selbstbeurteilung Kunde'!D579="",'Selbstbeurteilung Kunde'!E579=""),"*","")</f>
        <v>*</v>
      </c>
      <c r="E563" s="50" t="str">
        <f>IF(ISBLANK('Selbstbeurteilung Kunde'!F579),"",'Selbstbeurteilung Kunde'!F579)</f>
        <v/>
      </c>
      <c r="F563" s="287"/>
      <c r="G563" s="287"/>
      <c r="H563" s="287"/>
      <c r="I563" s="287"/>
      <c r="J563" s="287"/>
      <c r="K563" s="287"/>
      <c r="L563" s="279"/>
      <c r="M563" s="47">
        <v>0</v>
      </c>
      <c r="N563" s="34"/>
      <c r="O563" s="35">
        <f t="shared" si="96"/>
        <v>0</v>
      </c>
      <c r="P563" s="54">
        <f t="shared" si="97"/>
        <v>0</v>
      </c>
      <c r="Q563" s="46"/>
      <c r="R563" s="34"/>
    </row>
    <row r="564" spans="1:18" x14ac:dyDescent="0.3">
      <c r="A564" s="3" t="str">
        <f>'Selbstbeurteilung Kunde'!A580</f>
        <v>10.1.3.e</v>
      </c>
      <c r="B564" s="6" t="str">
        <f>'Selbstbeurteilung Kunde'!C580</f>
        <v>In anderen Intervallen? Wenn ja, in welchen Intervallen?</v>
      </c>
      <c r="C564" s="49">
        <f>IF(ISBLANK('Selbstbeurteilung Kunde'!D580),0,1)</f>
        <v>0</v>
      </c>
      <c r="D564" s="49" t="str">
        <f>IF(AND('Selbstbeurteilung Kunde'!D580="",'Selbstbeurteilung Kunde'!E580=""),"*","")</f>
        <v>*</v>
      </c>
      <c r="E564" s="50" t="str">
        <f>IF(ISBLANK('Selbstbeurteilung Kunde'!F580),"",'Selbstbeurteilung Kunde'!F580)</f>
        <v/>
      </c>
      <c r="F564" s="287"/>
      <c r="G564" s="287"/>
      <c r="H564" s="287"/>
      <c r="I564" s="287"/>
      <c r="J564" s="287"/>
      <c r="K564" s="287"/>
      <c r="L564" s="279"/>
      <c r="M564" s="47">
        <v>0</v>
      </c>
      <c r="N564" s="34"/>
      <c r="O564" s="35">
        <f t="shared" si="96"/>
        <v>0</v>
      </c>
      <c r="P564" s="54">
        <f t="shared" si="97"/>
        <v>0</v>
      </c>
      <c r="Q564" s="46"/>
      <c r="R564" s="34"/>
    </row>
    <row r="565" spans="1:18" ht="26.4" x14ac:dyDescent="0.3">
      <c r="A565" s="3" t="str">
        <f>'Selbstbeurteilung Kunde'!A581</f>
        <v>10.1.4.</v>
      </c>
      <c r="B565" s="6" t="str">
        <f>'Selbstbeurteilung Kunde'!C581</f>
        <v>Werden Inhalt und Ablauf der Sicherheitsaudits vor der Durchführung vorbereitet und geplant?</v>
      </c>
      <c r="C565" s="49">
        <f>IF(ISBLANK('Selbstbeurteilung Kunde'!D581),0,1)</f>
        <v>0</v>
      </c>
      <c r="D565" s="49" t="str">
        <f>IF(AND('Selbstbeurteilung Kunde'!D581="",'Selbstbeurteilung Kunde'!E581=""),"*","")</f>
        <v>*</v>
      </c>
      <c r="E565" s="50" t="str">
        <f>IF(ISBLANK('Selbstbeurteilung Kunde'!F581),"",'Selbstbeurteilung Kunde'!F581)</f>
        <v/>
      </c>
      <c r="F565" s="287"/>
      <c r="G565" s="287"/>
      <c r="H565" s="287"/>
      <c r="I565" s="287"/>
      <c r="J565" s="287"/>
      <c r="K565" s="287"/>
      <c r="L565" s="279"/>
      <c r="M565" s="47">
        <v>2</v>
      </c>
      <c r="N565" s="34"/>
      <c r="O565" s="35">
        <f t="shared" si="96"/>
        <v>0</v>
      </c>
      <c r="P565" s="54">
        <f t="shared" si="97"/>
        <v>0</v>
      </c>
      <c r="Q565" s="46"/>
      <c r="R565" s="34"/>
    </row>
    <row r="566" spans="1:18" ht="26.4" x14ac:dyDescent="0.3">
      <c r="A566" s="3" t="str">
        <f>'Selbstbeurteilung Kunde'!A582</f>
        <v>10.1.5.</v>
      </c>
      <c r="B566" s="6" t="str">
        <f>'Selbstbeurteilung Kunde'!C582</f>
        <v>Sind die Vorgesetzten in der Durchführung und Auswertung von Sicherheitsaudits ausgebildet?</v>
      </c>
      <c r="C566" s="49">
        <f>IF(ISBLANK('Selbstbeurteilung Kunde'!D582),0,1)</f>
        <v>0</v>
      </c>
      <c r="D566" s="49" t="str">
        <f>IF(AND('Selbstbeurteilung Kunde'!D582="",'Selbstbeurteilung Kunde'!E582=""),"*","")</f>
        <v>*</v>
      </c>
      <c r="E566" s="50" t="str">
        <f>IF(ISBLANK('Selbstbeurteilung Kunde'!F582),"",'Selbstbeurteilung Kunde'!F582)</f>
        <v/>
      </c>
      <c r="F566" s="287"/>
      <c r="G566" s="287"/>
      <c r="H566" s="287"/>
      <c r="I566" s="287"/>
      <c r="J566" s="287"/>
      <c r="K566" s="287"/>
      <c r="L566" s="279"/>
      <c r="M566" s="47">
        <v>2</v>
      </c>
      <c r="N566" s="34"/>
      <c r="O566" s="35">
        <f t="shared" si="96"/>
        <v>0</v>
      </c>
      <c r="P566" s="54">
        <f t="shared" si="97"/>
        <v>0</v>
      </c>
      <c r="Q566" s="46"/>
      <c r="R566" s="34"/>
    </row>
    <row r="567" spans="1:18" ht="39.6" x14ac:dyDescent="0.3">
      <c r="A567" s="3" t="str">
        <f>'Selbstbeurteilung Kunde'!A583</f>
        <v>10.1.6.</v>
      </c>
      <c r="B567" s="6" t="str">
        <f>'Selbstbeurteilung Kunde'!C583</f>
        <v>Verwenden Sie Auditverfahren, die speziell an die Risikostruktur und die betrieblichen Verhältnisse Ihres Unternehmens angepasst sind?</v>
      </c>
      <c r="C567" s="49">
        <f>IF(ISBLANK('Selbstbeurteilung Kunde'!D583),0,1)</f>
        <v>0</v>
      </c>
      <c r="D567" s="49" t="str">
        <f>IF(AND('Selbstbeurteilung Kunde'!D583="",'Selbstbeurteilung Kunde'!E583=""),"*","")</f>
        <v>*</v>
      </c>
      <c r="E567" s="50" t="str">
        <f>IF(ISBLANK('Selbstbeurteilung Kunde'!F583),"",'Selbstbeurteilung Kunde'!F583)</f>
        <v/>
      </c>
      <c r="F567" s="287"/>
      <c r="G567" s="287"/>
      <c r="H567" s="287"/>
      <c r="I567" s="287"/>
      <c r="J567" s="287"/>
      <c r="K567" s="287"/>
      <c r="L567" s="279"/>
      <c r="M567" s="47">
        <v>1</v>
      </c>
      <c r="N567" s="34"/>
      <c r="O567" s="35">
        <f t="shared" si="96"/>
        <v>0</v>
      </c>
      <c r="P567" s="54">
        <f t="shared" si="97"/>
        <v>0</v>
      </c>
      <c r="Q567" s="46"/>
      <c r="R567" s="34"/>
    </row>
    <row r="568" spans="1:18" ht="39.6" x14ac:dyDescent="0.3">
      <c r="A568" s="3" t="str">
        <f>'Selbstbeurteilung Kunde'!A584</f>
        <v>10.1.7.</v>
      </c>
      <c r="B568" s="6" t="str">
        <f>'Selbstbeurteilung Kunde'!C584</f>
        <v>Verwenden Sie bei der Durchführung von Sicherheitsaudits bestimmte Hilfsmittel wie z.B. Stichwortlisten, Checklisten, Formulare?</v>
      </c>
      <c r="C568" s="49">
        <f>IF(ISBLANK('Selbstbeurteilung Kunde'!D584),0,1)</f>
        <v>0</v>
      </c>
      <c r="D568" s="49" t="str">
        <f>IF(AND('Selbstbeurteilung Kunde'!D584="",'Selbstbeurteilung Kunde'!E584=""),"*","")</f>
        <v>*</v>
      </c>
      <c r="E568" s="50" t="str">
        <f>IF(ISBLANK('Selbstbeurteilung Kunde'!F584),"",'Selbstbeurteilung Kunde'!F584)</f>
        <v/>
      </c>
      <c r="F568" s="287"/>
      <c r="G568" s="287"/>
      <c r="H568" s="287"/>
      <c r="I568" s="287"/>
      <c r="J568" s="287"/>
      <c r="K568" s="287"/>
      <c r="L568" s="279"/>
      <c r="M568" s="47">
        <v>2</v>
      </c>
      <c r="N568" s="34"/>
      <c r="O568" s="35">
        <f t="shared" si="96"/>
        <v>0</v>
      </c>
      <c r="P568" s="54">
        <f t="shared" si="97"/>
        <v>0</v>
      </c>
      <c r="Q568" s="46"/>
      <c r="R568" s="34"/>
    </row>
    <row r="569" spans="1:18" ht="26.4" x14ac:dyDescent="0.3">
      <c r="A569" s="3" t="str">
        <f>'Selbstbeurteilung Kunde'!A585</f>
        <v>10.1.8.</v>
      </c>
      <c r="B569" s="6" t="str">
        <f>'Selbstbeurteilung Kunde'!C585</f>
        <v>Werden Feststellungen und die eingeleiteten Massnahmen schriftlich dokumentiert?</v>
      </c>
      <c r="C569" s="49">
        <f>IF(ISBLANK('Selbstbeurteilung Kunde'!D585),0,1)</f>
        <v>0</v>
      </c>
      <c r="D569" s="49" t="str">
        <f>IF(AND('Selbstbeurteilung Kunde'!D585="",'Selbstbeurteilung Kunde'!E585=""),"*","")</f>
        <v>*</v>
      </c>
      <c r="E569" s="50" t="str">
        <f>IF(ISBLANK('Selbstbeurteilung Kunde'!F585),"",'Selbstbeurteilung Kunde'!F585)</f>
        <v/>
      </c>
      <c r="F569" s="287"/>
      <c r="G569" s="287"/>
      <c r="H569" s="287"/>
      <c r="I569" s="287"/>
      <c r="J569" s="287"/>
      <c r="K569" s="287"/>
      <c r="L569" s="279"/>
      <c r="M569" s="47">
        <v>3</v>
      </c>
      <c r="N569" s="34"/>
      <c r="O569" s="35">
        <f t="shared" si="96"/>
        <v>0</v>
      </c>
      <c r="P569" s="54">
        <f t="shared" si="97"/>
        <v>0</v>
      </c>
      <c r="Q569" s="46"/>
      <c r="R569" s="34"/>
    </row>
    <row r="570" spans="1:18" ht="26.4" x14ac:dyDescent="0.3">
      <c r="A570" s="3" t="str">
        <f>'Selbstbeurteilung Kunde'!A586</f>
        <v>10.1.9.</v>
      </c>
      <c r="B570" s="6" t="str">
        <f>'Selbstbeurteilung Kunde'!C586</f>
        <v>Werden die Feststellungen in das betriebliche Sicherheitssystem einbezogen?</v>
      </c>
      <c r="C570" s="49">
        <f>IF(ISBLANK('Selbstbeurteilung Kunde'!D586),0,1)</f>
        <v>0</v>
      </c>
      <c r="D570" s="49" t="str">
        <f>IF(AND('Selbstbeurteilung Kunde'!D586="",'Selbstbeurteilung Kunde'!E586=""),"*","")</f>
        <v>*</v>
      </c>
      <c r="E570" s="50" t="str">
        <f>IF(ISBLANK('Selbstbeurteilung Kunde'!F586),"",'Selbstbeurteilung Kunde'!F586)</f>
        <v/>
      </c>
      <c r="F570" s="287"/>
      <c r="G570" s="287"/>
      <c r="H570" s="287"/>
      <c r="I570" s="287"/>
      <c r="J570" s="287"/>
      <c r="K570" s="287"/>
      <c r="L570" s="279"/>
      <c r="M570" s="47">
        <v>3</v>
      </c>
      <c r="N570" s="34"/>
      <c r="O570" s="35">
        <f t="shared" si="96"/>
        <v>0</v>
      </c>
      <c r="P570" s="54">
        <f t="shared" si="97"/>
        <v>0</v>
      </c>
      <c r="Q570" s="46"/>
      <c r="R570" s="34"/>
    </row>
    <row r="571" spans="1:18" x14ac:dyDescent="0.3">
      <c r="A571" s="27" t="str">
        <f>'Selbstbeurteilung Kunde'!A587</f>
        <v>10.2.</v>
      </c>
      <c r="B571" s="27" t="str">
        <f>'Selbstbeurteilung Kunde'!B587</f>
        <v>Ereignisstatistik</v>
      </c>
      <c r="C571" s="28">
        <f>O571/N571</f>
        <v>0</v>
      </c>
      <c r="D571" s="350"/>
      <c r="E571" s="37" t="str">
        <f>IF(ISBLANK('Selbstbeurteilung Kunde'!F587),"",'Selbstbeurteilung Kunde'!F587)</f>
        <v/>
      </c>
      <c r="F571" s="282"/>
      <c r="G571" s="282"/>
      <c r="H571" s="282"/>
      <c r="I571" s="282"/>
      <c r="J571" s="282"/>
      <c r="K571" s="282"/>
      <c r="L571" s="63">
        <f>P571/N571</f>
        <v>0</v>
      </c>
      <c r="M571" s="29">
        <v>2</v>
      </c>
      <c r="N571" s="29">
        <f>SUM(M572:M581)</f>
        <v>21</v>
      </c>
      <c r="O571" s="31">
        <f>SUM(O572:O581)</f>
        <v>0</v>
      </c>
      <c r="P571" s="31">
        <f>SUM(P572:P581)</f>
        <v>0</v>
      </c>
      <c r="Q571" s="65">
        <f>O571/$N571*$M571</f>
        <v>0</v>
      </c>
      <c r="R571" s="65">
        <f>P571/$N571*$M571</f>
        <v>0</v>
      </c>
    </row>
    <row r="572" spans="1:18" ht="26.4" x14ac:dyDescent="0.3">
      <c r="A572" s="3" t="str">
        <f>'Selbstbeurteilung Kunde'!A588</f>
        <v>10.2.1.a</v>
      </c>
      <c r="B572" s="6" t="str">
        <f>'Selbstbeurteilung Kunde'!C588</f>
        <v>Werden in Ihrem Unternehmen Statistiken geführt über:
Berufsunfälle und Berufskrankheiten?</v>
      </c>
      <c r="C572" s="49">
        <f>IF(ISBLANK('Selbstbeurteilung Kunde'!D588),0,1)</f>
        <v>0</v>
      </c>
      <c r="D572" s="49" t="str">
        <f>IF(AND('Selbstbeurteilung Kunde'!D588="",'Selbstbeurteilung Kunde'!E588=""),"*","")</f>
        <v>*</v>
      </c>
      <c r="E572" s="50" t="str">
        <f>IF(ISBLANK('Selbstbeurteilung Kunde'!F588),"",'Selbstbeurteilung Kunde'!F588)</f>
        <v/>
      </c>
      <c r="F572" s="287"/>
      <c r="G572" s="287"/>
      <c r="H572" s="287"/>
      <c r="I572" s="287"/>
      <c r="J572" s="287"/>
      <c r="K572" s="287"/>
      <c r="L572" s="279"/>
      <c r="M572" s="47">
        <v>3</v>
      </c>
      <c r="N572" s="34"/>
      <c r="O572" s="35">
        <f t="shared" ref="O572:O581" si="98">C572*M572</f>
        <v>0</v>
      </c>
      <c r="P572" s="54">
        <f t="shared" ref="P572:P581" si="99">L572*M572</f>
        <v>0</v>
      </c>
      <c r="Q572" s="46"/>
      <c r="R572" s="34"/>
    </row>
    <row r="573" spans="1:18" x14ac:dyDescent="0.3">
      <c r="A573" s="3" t="str">
        <f>'Selbstbeurteilung Kunde'!A589</f>
        <v>10.2.1.b</v>
      </c>
      <c r="B573" s="6" t="str">
        <f>'Selbstbeurteilung Kunde'!C589</f>
        <v>Nichtberufsunfälle?</v>
      </c>
      <c r="C573" s="49">
        <f>IF(ISBLANK('Selbstbeurteilung Kunde'!D589),0,1)</f>
        <v>0</v>
      </c>
      <c r="D573" s="49" t="str">
        <f>IF(AND('Selbstbeurteilung Kunde'!D589="",'Selbstbeurteilung Kunde'!E589=""),"*","")</f>
        <v>*</v>
      </c>
      <c r="E573" s="50" t="str">
        <f>IF(ISBLANK('Selbstbeurteilung Kunde'!F589),"",'Selbstbeurteilung Kunde'!F589)</f>
        <v/>
      </c>
      <c r="F573" s="287"/>
      <c r="G573" s="287"/>
      <c r="H573" s="287"/>
      <c r="I573" s="287"/>
      <c r="J573" s="287"/>
      <c r="K573" s="287"/>
      <c r="L573" s="279"/>
      <c r="M573" s="47">
        <v>3</v>
      </c>
      <c r="N573" s="34"/>
      <c r="O573" s="35">
        <f t="shared" si="98"/>
        <v>0</v>
      </c>
      <c r="P573" s="54">
        <f t="shared" si="99"/>
        <v>0</v>
      </c>
      <c r="Q573" s="46"/>
      <c r="R573" s="34"/>
    </row>
    <row r="574" spans="1:18" x14ac:dyDescent="0.3">
      <c r="A574" s="3" t="str">
        <f>'Selbstbeurteilung Kunde'!A590</f>
        <v>10.2.1.c</v>
      </c>
      <c r="B574" s="6" t="str">
        <f>'Selbstbeurteilung Kunde'!C590</f>
        <v>Krankheit?</v>
      </c>
      <c r="C574" s="49">
        <f>IF(ISBLANK('Selbstbeurteilung Kunde'!D590),0,1)</f>
        <v>0</v>
      </c>
      <c r="D574" s="49" t="str">
        <f>IF(AND('Selbstbeurteilung Kunde'!D590="",'Selbstbeurteilung Kunde'!E590=""),"*","")</f>
        <v>*</v>
      </c>
      <c r="E574" s="50" t="str">
        <f>IF(ISBLANK('Selbstbeurteilung Kunde'!F590),"",'Selbstbeurteilung Kunde'!F590)</f>
        <v/>
      </c>
      <c r="F574" s="287"/>
      <c r="G574" s="287"/>
      <c r="H574" s="287"/>
      <c r="I574" s="287"/>
      <c r="J574" s="287"/>
      <c r="K574" s="287"/>
      <c r="L574" s="279"/>
      <c r="M574" s="47">
        <v>3</v>
      </c>
      <c r="N574" s="34"/>
      <c r="O574" s="35">
        <f t="shared" si="98"/>
        <v>0</v>
      </c>
      <c r="P574" s="54">
        <f t="shared" si="99"/>
        <v>0</v>
      </c>
      <c r="Q574" s="46"/>
      <c r="R574" s="34"/>
    </row>
    <row r="575" spans="1:18" x14ac:dyDescent="0.3">
      <c r="A575" s="3" t="str">
        <f>'Selbstbeurteilung Kunde'!A591</f>
        <v>10.2.1.d</v>
      </c>
      <c r="B575" s="6" t="str">
        <f>'Selbstbeurteilung Kunde'!C591</f>
        <v>Sachschäden?</v>
      </c>
      <c r="C575" s="49">
        <f>IF(ISBLANK('Selbstbeurteilung Kunde'!D591),0,1)</f>
        <v>0</v>
      </c>
      <c r="D575" s="49" t="str">
        <f>IF(AND('Selbstbeurteilung Kunde'!D591="",'Selbstbeurteilung Kunde'!E591=""),"*","")</f>
        <v>*</v>
      </c>
      <c r="E575" s="50" t="str">
        <f>IF(ISBLANK('Selbstbeurteilung Kunde'!F591),"",'Selbstbeurteilung Kunde'!F591)</f>
        <v/>
      </c>
      <c r="F575" s="287"/>
      <c r="G575" s="287"/>
      <c r="H575" s="287"/>
      <c r="I575" s="287"/>
      <c r="J575" s="287"/>
      <c r="K575" s="287"/>
      <c r="L575" s="279"/>
      <c r="M575" s="47">
        <v>1</v>
      </c>
      <c r="N575" s="34"/>
      <c r="O575" s="35">
        <f t="shared" si="98"/>
        <v>0</v>
      </c>
      <c r="P575" s="54">
        <f t="shared" si="99"/>
        <v>0</v>
      </c>
      <c r="Q575" s="46"/>
      <c r="R575" s="34"/>
    </row>
    <row r="576" spans="1:18" x14ac:dyDescent="0.3">
      <c r="A576" s="3" t="str">
        <f>'Selbstbeurteilung Kunde'!A592</f>
        <v>10.2.1.e</v>
      </c>
      <c r="B576" s="6" t="str">
        <f>'Selbstbeurteilung Kunde'!C592</f>
        <v>Betriebsstörungen?</v>
      </c>
      <c r="C576" s="49">
        <f>IF(ISBLANK('Selbstbeurteilung Kunde'!D592),0,1)</f>
        <v>0</v>
      </c>
      <c r="D576" s="49" t="str">
        <f>IF(AND('Selbstbeurteilung Kunde'!D592="",'Selbstbeurteilung Kunde'!E592=""),"*","")</f>
        <v>*</v>
      </c>
      <c r="E576" s="50" t="str">
        <f>IF(ISBLANK('Selbstbeurteilung Kunde'!F592),"",'Selbstbeurteilung Kunde'!F592)</f>
        <v/>
      </c>
      <c r="F576" s="287"/>
      <c r="G576" s="287"/>
      <c r="H576" s="287"/>
      <c r="I576" s="287"/>
      <c r="J576" s="287"/>
      <c r="K576" s="287"/>
      <c r="L576" s="279"/>
      <c r="M576" s="47">
        <v>1</v>
      </c>
      <c r="N576" s="34"/>
      <c r="O576" s="35">
        <f t="shared" si="98"/>
        <v>0</v>
      </c>
      <c r="P576" s="54">
        <f t="shared" si="99"/>
        <v>0</v>
      </c>
      <c r="Q576" s="46"/>
      <c r="R576" s="34"/>
    </row>
    <row r="577" spans="1:18" x14ac:dyDescent="0.3">
      <c r="A577" s="3" t="str">
        <f>'Selbstbeurteilung Kunde'!A593</f>
        <v>10.2.1.f</v>
      </c>
      <c r="B577" s="6" t="str">
        <f>'Selbstbeurteilung Kunde'!C593</f>
        <v>Absenzentage?</v>
      </c>
      <c r="C577" s="49">
        <f>IF(ISBLANK('Selbstbeurteilung Kunde'!D593),0,1)</f>
        <v>0</v>
      </c>
      <c r="D577" s="49" t="str">
        <f>IF(AND('Selbstbeurteilung Kunde'!D593="",'Selbstbeurteilung Kunde'!E593=""),"*","")</f>
        <v>*</v>
      </c>
      <c r="E577" s="50" t="str">
        <f>IF(ISBLANK('Selbstbeurteilung Kunde'!F593),"",'Selbstbeurteilung Kunde'!F593)</f>
        <v/>
      </c>
      <c r="F577" s="287"/>
      <c r="G577" s="287"/>
      <c r="H577" s="287"/>
      <c r="I577" s="287"/>
      <c r="J577" s="287"/>
      <c r="K577" s="287"/>
      <c r="L577" s="279"/>
      <c r="M577" s="47">
        <v>3</v>
      </c>
      <c r="N577" s="34"/>
      <c r="O577" s="35">
        <f t="shared" si="98"/>
        <v>0</v>
      </c>
      <c r="P577" s="54">
        <f t="shared" si="99"/>
        <v>0</v>
      </c>
      <c r="Q577" s="46"/>
      <c r="R577" s="34"/>
    </row>
    <row r="578" spans="1:18" x14ac:dyDescent="0.3">
      <c r="A578" s="3" t="str">
        <f>'Selbstbeurteilung Kunde'!A594</f>
        <v>10.2.1.g</v>
      </c>
      <c r="B578" s="6" t="str">
        <f>'Selbstbeurteilung Kunde'!C594</f>
        <v>Beinaheunfälle?</v>
      </c>
      <c r="C578" s="49">
        <f>IF(ISBLANK('Selbstbeurteilung Kunde'!D594),0,1)</f>
        <v>0</v>
      </c>
      <c r="D578" s="49" t="str">
        <f>IF(AND('Selbstbeurteilung Kunde'!D594="",'Selbstbeurteilung Kunde'!E594=""),"*","")</f>
        <v>*</v>
      </c>
      <c r="E578" s="50" t="str">
        <f>IF(ISBLANK('Selbstbeurteilung Kunde'!F594),"",'Selbstbeurteilung Kunde'!F594)</f>
        <v/>
      </c>
      <c r="F578" s="287"/>
      <c r="G578" s="287"/>
      <c r="H578" s="287"/>
      <c r="I578" s="287"/>
      <c r="J578" s="287"/>
      <c r="K578" s="287"/>
      <c r="L578" s="279"/>
      <c r="M578" s="47">
        <v>1</v>
      </c>
      <c r="N578" s="34"/>
      <c r="O578" s="35">
        <f t="shared" si="98"/>
        <v>0</v>
      </c>
      <c r="P578" s="54">
        <f t="shared" si="99"/>
        <v>0</v>
      </c>
      <c r="Q578" s="46"/>
      <c r="R578" s="34"/>
    </row>
    <row r="579" spans="1:18" ht="52.8" x14ac:dyDescent="0.3">
      <c r="A579" s="3" t="str">
        <f>'Selbstbeurteilung Kunde'!A595</f>
        <v>10.2.2.a</v>
      </c>
      <c r="B579" s="6" t="str">
        <f>'Selbstbeurteilung Kunde'!C595</f>
        <v>Bestehen Ereignisstatistiken für: 
Das gesamte Unternehmen? Wenn ja, von welcher Stelle bzw. Person wird die zentrale Ereignisstatistik geführt und behandelt?</v>
      </c>
      <c r="C579" s="49">
        <f>IF(ISBLANK('Selbstbeurteilung Kunde'!D595),0,1)</f>
        <v>0</v>
      </c>
      <c r="D579" s="49" t="str">
        <f>IF(AND('Selbstbeurteilung Kunde'!D595="",'Selbstbeurteilung Kunde'!E595=""),"*","")</f>
        <v>*</v>
      </c>
      <c r="E579" s="50" t="str">
        <f>IF(ISBLANK('Selbstbeurteilung Kunde'!F595),"",'Selbstbeurteilung Kunde'!F595)</f>
        <v/>
      </c>
      <c r="F579" s="287"/>
      <c r="G579" s="287"/>
      <c r="H579" s="287"/>
      <c r="I579" s="287"/>
      <c r="J579" s="287"/>
      <c r="K579" s="287"/>
      <c r="L579" s="279"/>
      <c r="M579" s="47">
        <v>1</v>
      </c>
      <c r="N579" s="34"/>
      <c r="O579" s="35">
        <f t="shared" si="98"/>
        <v>0</v>
      </c>
      <c r="P579" s="54">
        <f t="shared" si="99"/>
        <v>0</v>
      </c>
      <c r="Q579" s="46"/>
      <c r="R579" s="34"/>
    </row>
    <row r="580" spans="1:18" x14ac:dyDescent="0.3">
      <c r="A580" s="3" t="str">
        <f>'Selbstbeurteilung Kunde'!A596</f>
        <v>10.2.2.b</v>
      </c>
      <c r="B580" s="6" t="str">
        <f>'Selbstbeurteilung Kunde'!C596</f>
        <v>Organisationseinheiten (z.B. Bereiche, Abteilungen)?</v>
      </c>
      <c r="C580" s="49">
        <f>IF(ISBLANK('Selbstbeurteilung Kunde'!D596),0,1)</f>
        <v>0</v>
      </c>
      <c r="D580" s="49" t="str">
        <f>IF(AND('Selbstbeurteilung Kunde'!D596="",'Selbstbeurteilung Kunde'!E596=""),"*","")</f>
        <v>*</v>
      </c>
      <c r="E580" s="50" t="str">
        <f>IF(ISBLANK('Selbstbeurteilung Kunde'!F596),"",'Selbstbeurteilung Kunde'!F596)</f>
        <v/>
      </c>
      <c r="F580" s="287"/>
      <c r="G580" s="287"/>
      <c r="H580" s="287"/>
      <c r="I580" s="287"/>
      <c r="J580" s="287"/>
      <c r="K580" s="287"/>
      <c r="L580" s="279"/>
      <c r="M580" s="47">
        <v>2</v>
      </c>
      <c r="N580" s="34"/>
      <c r="O580" s="35">
        <f t="shared" si="98"/>
        <v>0</v>
      </c>
      <c r="P580" s="54">
        <f t="shared" si="99"/>
        <v>0</v>
      </c>
      <c r="Q580" s="46"/>
      <c r="R580" s="34"/>
    </row>
    <row r="581" spans="1:18" x14ac:dyDescent="0.3">
      <c r="A581" s="3" t="str">
        <f>'Selbstbeurteilung Kunde'!A597</f>
        <v>10.2.3.</v>
      </c>
      <c r="B581" s="6" t="str">
        <f>'Selbstbeurteilung Kunde'!C597</f>
        <v>Wird die Ereignisstatistik als Führungsmittel verwendet?</v>
      </c>
      <c r="C581" s="49">
        <f>IF(ISBLANK('Selbstbeurteilung Kunde'!D597),0,1)</f>
        <v>0</v>
      </c>
      <c r="D581" s="49" t="str">
        <f>IF(AND('Selbstbeurteilung Kunde'!D597="",'Selbstbeurteilung Kunde'!E597=""),"*","")</f>
        <v>*</v>
      </c>
      <c r="E581" s="50" t="str">
        <f>IF(ISBLANK('Selbstbeurteilung Kunde'!F597),"",'Selbstbeurteilung Kunde'!F597)</f>
        <v/>
      </c>
      <c r="F581" s="287"/>
      <c r="G581" s="287"/>
      <c r="H581" s="287"/>
      <c r="I581" s="287"/>
      <c r="J581" s="287"/>
      <c r="K581" s="287"/>
      <c r="L581" s="279"/>
      <c r="M581" s="47">
        <v>3</v>
      </c>
      <c r="N581" s="34"/>
      <c r="O581" s="35">
        <f t="shared" si="98"/>
        <v>0</v>
      </c>
      <c r="P581" s="54">
        <f t="shared" si="99"/>
        <v>0</v>
      </c>
      <c r="Q581" s="46"/>
      <c r="R581" s="34"/>
    </row>
    <row r="582" spans="1:18" x14ac:dyDescent="0.3">
      <c r="A582" s="27" t="str">
        <f>'Selbstbeurteilung Kunde'!A598</f>
        <v>10.3.</v>
      </c>
      <c r="B582" s="27" t="str">
        <f>'Selbstbeurteilung Kunde'!B598</f>
        <v>Fluktuation</v>
      </c>
      <c r="C582" s="28">
        <f>O582/N582</f>
        <v>0</v>
      </c>
      <c r="D582" s="350"/>
      <c r="E582" s="37" t="str">
        <f>IF(ISBLANK('Selbstbeurteilung Kunde'!F598),"",'Selbstbeurteilung Kunde'!F598)</f>
        <v/>
      </c>
      <c r="F582" s="282"/>
      <c r="G582" s="282"/>
      <c r="H582" s="282"/>
      <c r="I582" s="282"/>
      <c r="J582" s="282"/>
      <c r="K582" s="282"/>
      <c r="L582" s="63">
        <f>P582/N582</f>
        <v>0</v>
      </c>
      <c r="M582" s="29">
        <v>1</v>
      </c>
      <c r="N582" s="29">
        <f>SUM(M583:M586)</f>
        <v>8</v>
      </c>
      <c r="O582" s="31">
        <f>SUM(O583:O586)</f>
        <v>0</v>
      </c>
      <c r="P582" s="31">
        <f>SUM(P583:P586)</f>
        <v>0</v>
      </c>
      <c r="Q582" s="65">
        <f>O582/$N582*$M582</f>
        <v>0</v>
      </c>
      <c r="R582" s="65">
        <f>P582/$N582*$M582</f>
        <v>0</v>
      </c>
    </row>
    <row r="583" spans="1:18" ht="92.4" x14ac:dyDescent="0.3">
      <c r="A583" s="3" t="str">
        <f>'Selbstbeurteilung Kunde'!A599</f>
        <v>10.3.1.</v>
      </c>
      <c r="B583" s="6" t="str">
        <f>'Selbstbeurteilung Kunde'!C599</f>
        <v>Wird die jährliche Fluktuationsrate* in Ihrem Unternehmen statistisch erfasst und ausgewertet? Wenn ja, wie hoch ist die aktuelle Fluktuationsrate in Ihrem Unternehmen?
*Fluktuationsrate: Die Fluktuationsrate benennt die Beziehung zwischen den Personalabgängen und der Anzahl Beschäftigten während einem Jahr; Fluktuationsrate = Austritte / Beschäftigte x 100.</v>
      </c>
      <c r="C583" s="49">
        <f>IF(ISBLANK('Selbstbeurteilung Kunde'!D599),0,1)</f>
        <v>0</v>
      </c>
      <c r="D583" s="49" t="str">
        <f>IF(AND('Selbstbeurteilung Kunde'!D599="",'Selbstbeurteilung Kunde'!E599=""),"*","")</f>
        <v>*</v>
      </c>
      <c r="E583" s="50" t="str">
        <f>IF(ISBLANK('Selbstbeurteilung Kunde'!F599),"",'Selbstbeurteilung Kunde'!F599)</f>
        <v/>
      </c>
      <c r="F583" s="287"/>
      <c r="G583" s="287"/>
      <c r="H583" s="287"/>
      <c r="I583" s="287"/>
      <c r="J583" s="287"/>
      <c r="K583" s="287"/>
      <c r="L583" s="279"/>
      <c r="M583" s="47">
        <v>2</v>
      </c>
      <c r="N583" s="34"/>
      <c r="O583" s="35">
        <f>C583*M583</f>
        <v>0</v>
      </c>
      <c r="P583" s="54">
        <f t="shared" ref="P583:P586" si="100">L583*M583</f>
        <v>0</v>
      </c>
      <c r="Q583" s="46"/>
      <c r="R583" s="34"/>
    </row>
    <row r="584" spans="1:18" x14ac:dyDescent="0.3">
      <c r="A584" s="3" t="str">
        <f>'Selbstbeurteilung Kunde'!A600</f>
        <v>10.3.2.</v>
      </c>
      <c r="B584" s="6" t="str">
        <f>'Selbstbeurteilung Kunde'!C600</f>
        <v>Werden die Austrittsgründe ermittelt und ausgewertet?</v>
      </c>
      <c r="C584" s="49">
        <f>IF(ISBLANK('Selbstbeurteilung Kunde'!D600),0,1)</f>
        <v>0</v>
      </c>
      <c r="D584" s="49" t="str">
        <f>IF(AND('Selbstbeurteilung Kunde'!D600="",'Selbstbeurteilung Kunde'!E600=""),"*","")</f>
        <v>*</v>
      </c>
      <c r="E584" s="50" t="str">
        <f>IF(ISBLANK('Selbstbeurteilung Kunde'!F600),"",'Selbstbeurteilung Kunde'!F600)</f>
        <v/>
      </c>
      <c r="F584" s="287"/>
      <c r="G584" s="287"/>
      <c r="H584" s="287"/>
      <c r="I584" s="287"/>
      <c r="J584" s="287"/>
      <c r="K584" s="287"/>
      <c r="L584" s="279"/>
      <c r="M584" s="47">
        <v>3</v>
      </c>
      <c r="N584" s="34"/>
      <c r="O584" s="35">
        <f>C584*M584</f>
        <v>0</v>
      </c>
      <c r="P584" s="54">
        <f t="shared" si="100"/>
        <v>0</v>
      </c>
      <c r="Q584" s="46"/>
      <c r="R584" s="34"/>
    </row>
    <row r="585" spans="1:18" ht="26.4" x14ac:dyDescent="0.3">
      <c r="A585" s="3" t="str">
        <f>'Selbstbeurteilung Kunde'!A601</f>
        <v>10.3.3.</v>
      </c>
      <c r="B585" s="6" t="str">
        <f>'Selbstbeurteilung Kunde'!C601</f>
        <v>Werden bei bestimmten Austrittsgründen konkrete Konsequenzen abgeleitet und Massnahmen getroffen?</v>
      </c>
      <c r="C585" s="49">
        <f>IF(ISBLANK('Selbstbeurteilung Kunde'!D601),0,1)</f>
        <v>0</v>
      </c>
      <c r="D585" s="49" t="str">
        <f>IF(AND('Selbstbeurteilung Kunde'!D601="",'Selbstbeurteilung Kunde'!E601=""),"*","")</f>
        <v>*</v>
      </c>
      <c r="E585" s="50" t="str">
        <f>IF(ISBLANK('Selbstbeurteilung Kunde'!F601),"",'Selbstbeurteilung Kunde'!F601)</f>
        <v/>
      </c>
      <c r="F585" s="287"/>
      <c r="G585" s="287"/>
      <c r="H585" s="287"/>
      <c r="I585" s="287"/>
      <c r="J585" s="287"/>
      <c r="K585" s="287"/>
      <c r="L585" s="279"/>
      <c r="M585" s="47">
        <v>3</v>
      </c>
      <c r="N585" s="34"/>
      <c r="O585" s="35">
        <f>C585*M585</f>
        <v>0</v>
      </c>
      <c r="P585" s="54">
        <f t="shared" si="100"/>
        <v>0</v>
      </c>
      <c r="Q585" s="46"/>
      <c r="R585" s="34"/>
    </row>
    <row r="586" spans="1:18" ht="39.6" x14ac:dyDescent="0.3">
      <c r="A586" s="3" t="str">
        <f>'Selbstbeurteilung Kunde'!A602</f>
        <v>10.3.4.</v>
      </c>
      <c r="B586" s="6" t="str">
        <f>'Selbstbeurteilung Kunde'!C602</f>
        <v>Verfügen Sie über Vergleichsmöglichkeiten mit der Fluktuationsrate Ihrer Branche oder vergleichbarer Unternehmenen der Region?</v>
      </c>
      <c r="C586" s="49">
        <f>IF(ISBLANK('Selbstbeurteilung Kunde'!D602),0,1)</f>
        <v>0</v>
      </c>
      <c r="D586" s="49" t="str">
        <f>IF(AND('Selbstbeurteilung Kunde'!D602="",'Selbstbeurteilung Kunde'!E602=""),"*","")</f>
        <v>*</v>
      </c>
      <c r="E586" s="50" t="str">
        <f>IF(ISBLANK('Selbstbeurteilung Kunde'!F602),"",'Selbstbeurteilung Kunde'!F602)</f>
        <v/>
      </c>
      <c r="F586" s="287"/>
      <c r="G586" s="287"/>
      <c r="H586" s="287"/>
      <c r="I586" s="287"/>
      <c r="J586" s="287"/>
      <c r="K586" s="287"/>
      <c r="L586" s="279"/>
      <c r="M586" s="47">
        <v>0</v>
      </c>
      <c r="N586" s="34"/>
      <c r="O586" s="35">
        <f>C586*M586</f>
        <v>0</v>
      </c>
      <c r="P586" s="54">
        <f t="shared" si="100"/>
        <v>0</v>
      </c>
      <c r="Q586" s="46"/>
      <c r="R586" s="34"/>
    </row>
    <row r="587" spans="1:18" x14ac:dyDescent="0.3">
      <c r="A587" s="44" t="str">
        <f>'Selbstbeurteilung Kunde'!A604</f>
        <v>11.</v>
      </c>
      <c r="B587" s="7" t="str">
        <f>'Selbstbeurteilung Kunde'!B604</f>
        <v>Absenzenmanagement</v>
      </c>
      <c r="C587" s="40">
        <f>O587/N587</f>
        <v>0</v>
      </c>
      <c r="D587" s="40"/>
      <c r="E587" s="36"/>
      <c r="F587" s="25"/>
      <c r="G587" s="25"/>
      <c r="H587" s="25"/>
      <c r="I587" s="25"/>
      <c r="J587" s="25"/>
      <c r="K587" s="25"/>
      <c r="L587" s="281">
        <f>P587/N587</f>
        <v>0</v>
      </c>
      <c r="M587" s="5"/>
      <c r="N587" s="5">
        <f>SUM(M588:M606)</f>
        <v>19</v>
      </c>
      <c r="O587" s="4">
        <f>SUM(O588:O606)</f>
        <v>0</v>
      </c>
      <c r="P587" s="4">
        <f>SUM(P588:P606)</f>
        <v>0</v>
      </c>
      <c r="Q587" s="45"/>
      <c r="R587" s="45"/>
    </row>
    <row r="588" spans="1:18" ht="26.4" x14ac:dyDescent="0.3">
      <c r="A588" s="3" t="str">
        <f>'Selbstbeurteilung Kunde'!A606</f>
        <v>11.1.</v>
      </c>
      <c r="B588" s="6" t="str">
        <f>'Selbstbeurteilung Kunde'!C606</f>
        <v>Gibt es eine ausdrückliche Willenserklärung der Geschäftsleitung, dass sie ein Absenzenmanagement will?</v>
      </c>
      <c r="C588" s="49">
        <f>IF(ISBLANK('Selbstbeurteilung Kunde'!D606),0,1)</f>
        <v>0</v>
      </c>
      <c r="D588" s="49" t="str">
        <f>IF(AND('Selbstbeurteilung Kunde'!D606="",'Selbstbeurteilung Kunde'!E606=""),"*","")</f>
        <v>*</v>
      </c>
      <c r="E588" s="50" t="str">
        <f>IF(ISBLANK('Selbstbeurteilung Kunde'!F606),"",'Selbstbeurteilung Kunde'!F606)</f>
        <v/>
      </c>
      <c r="F588" s="287"/>
      <c r="G588" s="287"/>
      <c r="H588" s="287"/>
      <c r="I588" s="287"/>
      <c r="J588" s="287"/>
      <c r="K588" s="287"/>
      <c r="L588" s="279"/>
      <c r="M588" s="47">
        <v>1</v>
      </c>
      <c r="N588" s="34"/>
      <c r="O588" s="35">
        <f t="shared" ref="O588:O606" si="101">C588*M588</f>
        <v>0</v>
      </c>
      <c r="P588" s="54">
        <f t="shared" ref="P588:P596" si="102">L588*M588</f>
        <v>0</v>
      </c>
      <c r="Q588" s="46"/>
      <c r="R588" s="34"/>
    </row>
    <row r="589" spans="1:18" ht="39.6" x14ac:dyDescent="0.3">
      <c r="A589" s="3" t="str">
        <f>'Selbstbeurteilung Kunde'!A607</f>
        <v>11.2.a</v>
      </c>
      <c r="B589" s="6" t="str">
        <f>'Selbstbeurteilung Kunde'!C607</f>
        <v>Werden die Daten zu den Unfällen und Krankheiten und deren Ausfalltagen:
erfasst?</v>
      </c>
      <c r="C589" s="49">
        <f>IF(ISBLANK('Selbstbeurteilung Kunde'!D607),0,1)</f>
        <v>0</v>
      </c>
      <c r="D589" s="49" t="str">
        <f>IF(AND('Selbstbeurteilung Kunde'!D607="",'Selbstbeurteilung Kunde'!E607=""),"*","")</f>
        <v>*</v>
      </c>
      <c r="E589" s="50" t="str">
        <f>IF(ISBLANK('Selbstbeurteilung Kunde'!F607),"",'Selbstbeurteilung Kunde'!F607)</f>
        <v/>
      </c>
      <c r="F589" s="287"/>
      <c r="G589" s="287"/>
      <c r="H589" s="287"/>
      <c r="I589" s="287"/>
      <c r="J589" s="287"/>
      <c r="K589" s="287"/>
      <c r="L589" s="279"/>
      <c r="M589" s="47">
        <v>1</v>
      </c>
      <c r="N589" s="34"/>
      <c r="O589" s="35">
        <f t="shared" si="101"/>
        <v>0</v>
      </c>
      <c r="P589" s="54">
        <f t="shared" si="102"/>
        <v>0</v>
      </c>
      <c r="Q589" s="46"/>
      <c r="R589" s="34"/>
    </row>
    <row r="590" spans="1:18" x14ac:dyDescent="0.3">
      <c r="A590" s="3" t="str">
        <f>'Selbstbeurteilung Kunde'!A608</f>
        <v>11.2.b</v>
      </c>
      <c r="B590" s="6" t="str">
        <f>'Selbstbeurteilung Kunde'!C608</f>
        <v>analysiert?</v>
      </c>
      <c r="C590" s="49">
        <f>IF(ISBLANK('Selbstbeurteilung Kunde'!D608),0,1)</f>
        <v>0</v>
      </c>
      <c r="D590" s="49" t="str">
        <f>IF(AND('Selbstbeurteilung Kunde'!D608="",'Selbstbeurteilung Kunde'!E608=""),"*","")</f>
        <v>*</v>
      </c>
      <c r="E590" s="50" t="str">
        <f>IF(ISBLANK('Selbstbeurteilung Kunde'!F608),"",'Selbstbeurteilung Kunde'!F608)</f>
        <v/>
      </c>
      <c r="F590" s="287"/>
      <c r="G590" s="287"/>
      <c r="H590" s="287"/>
      <c r="I590" s="287"/>
      <c r="J590" s="287"/>
      <c r="K590" s="287"/>
      <c r="L590" s="279"/>
      <c r="M590" s="47">
        <v>1</v>
      </c>
      <c r="N590" s="34"/>
      <c r="O590" s="35">
        <f t="shared" si="101"/>
        <v>0</v>
      </c>
      <c r="P590" s="54">
        <f t="shared" si="102"/>
        <v>0</v>
      </c>
      <c r="Q590" s="46"/>
      <c r="R590" s="34"/>
    </row>
    <row r="591" spans="1:18" x14ac:dyDescent="0.3">
      <c r="A591" s="3" t="str">
        <f>'Selbstbeurteilung Kunde'!A609</f>
        <v>11.2.c</v>
      </c>
      <c r="B591" s="6" t="str">
        <f>'Selbstbeurteilung Kunde'!C609</f>
        <v>ausgewertet?</v>
      </c>
      <c r="C591" s="49">
        <f>IF(ISBLANK('Selbstbeurteilung Kunde'!D609),0,1)</f>
        <v>0</v>
      </c>
      <c r="D591" s="49" t="str">
        <f>IF(AND('Selbstbeurteilung Kunde'!D609="",'Selbstbeurteilung Kunde'!E609=""),"*","")</f>
        <v>*</v>
      </c>
      <c r="E591" s="50" t="str">
        <f>IF(ISBLANK('Selbstbeurteilung Kunde'!F609),"",'Selbstbeurteilung Kunde'!F609)</f>
        <v/>
      </c>
      <c r="F591" s="287"/>
      <c r="G591" s="287"/>
      <c r="H591" s="287"/>
      <c r="I591" s="287"/>
      <c r="J591" s="287"/>
      <c r="K591" s="287"/>
      <c r="L591" s="279"/>
      <c r="M591" s="47">
        <v>1</v>
      </c>
      <c r="N591" s="34"/>
      <c r="O591" s="35">
        <f t="shared" si="101"/>
        <v>0</v>
      </c>
      <c r="P591" s="54">
        <f t="shared" si="102"/>
        <v>0</v>
      </c>
      <c r="Q591" s="46"/>
      <c r="R591" s="34"/>
    </row>
    <row r="592" spans="1:18" x14ac:dyDescent="0.3">
      <c r="A592" s="3" t="str">
        <f>'Selbstbeurteilung Kunde'!A610</f>
        <v>11.2.d</v>
      </c>
      <c r="B592" s="6" t="str">
        <f>'Selbstbeurteilung Kunde'!C610</f>
        <v>kommuniziert ?</v>
      </c>
      <c r="C592" s="49">
        <f>IF(ISBLANK('Selbstbeurteilung Kunde'!D610),0,1)</f>
        <v>0</v>
      </c>
      <c r="D592" s="49" t="str">
        <f>IF(AND('Selbstbeurteilung Kunde'!D610="",'Selbstbeurteilung Kunde'!E610=""),"*","")</f>
        <v>*</v>
      </c>
      <c r="E592" s="50" t="str">
        <f>IF(ISBLANK('Selbstbeurteilung Kunde'!F610),"",'Selbstbeurteilung Kunde'!F610)</f>
        <v/>
      </c>
      <c r="F592" s="287"/>
      <c r="G592" s="287"/>
      <c r="H592" s="287"/>
      <c r="I592" s="287"/>
      <c r="J592" s="287"/>
      <c r="K592" s="287"/>
      <c r="L592" s="279"/>
      <c r="M592" s="47">
        <v>1</v>
      </c>
      <c r="N592" s="34"/>
      <c r="O592" s="35">
        <f t="shared" si="101"/>
        <v>0</v>
      </c>
      <c r="P592" s="54">
        <f t="shared" ref="P592" si="103">L592*M592</f>
        <v>0</v>
      </c>
      <c r="Q592" s="46"/>
      <c r="R592" s="34"/>
    </row>
    <row r="593" spans="1:18" ht="26.4" x14ac:dyDescent="0.3">
      <c r="A593" s="3" t="str">
        <f>'Selbstbeurteilung Kunde'!A611</f>
        <v>11.3.</v>
      </c>
      <c r="B593" s="6" t="str">
        <f>'Selbstbeurteilung Kunde'!C611</f>
        <v>Werden die Kennzahlen jährlich bewertet und Präventions-Ziele definiert?</v>
      </c>
      <c r="C593" s="49">
        <f>IF(ISBLANK('Selbstbeurteilung Kunde'!D611),0,1)</f>
        <v>0</v>
      </c>
      <c r="D593" s="49" t="str">
        <f>IF(AND('Selbstbeurteilung Kunde'!D611="",'Selbstbeurteilung Kunde'!E611=""),"*","")</f>
        <v>*</v>
      </c>
      <c r="E593" s="50" t="str">
        <f>IF(ISBLANK('Selbstbeurteilung Kunde'!F611),"",'Selbstbeurteilung Kunde'!F611)</f>
        <v/>
      </c>
      <c r="F593" s="287"/>
      <c r="G593" s="287"/>
      <c r="H593" s="287"/>
      <c r="I593" s="287"/>
      <c r="J593" s="287"/>
      <c r="K593" s="287"/>
      <c r="L593" s="279"/>
      <c r="M593" s="47">
        <v>1</v>
      </c>
      <c r="N593" s="34"/>
      <c r="O593" s="35">
        <f t="shared" si="101"/>
        <v>0</v>
      </c>
      <c r="P593" s="54">
        <f t="shared" si="102"/>
        <v>0</v>
      </c>
      <c r="Q593" s="46"/>
      <c r="R593" s="34"/>
    </row>
    <row r="594" spans="1:18" ht="52.8" x14ac:dyDescent="0.3">
      <c r="A594" s="3" t="str">
        <f>'Selbstbeurteilung Kunde'!A612</f>
        <v>11.4.</v>
      </c>
      <c r="B594" s="6" t="str">
        <f>'Selbstbeurteilung Kunde'!C612</f>
        <v>Ist ein Vorgehen und sind Verantwortlichkeiten (und Aufgaben) festgelegt, wie Mitarbeitende bei kurzen und längeren ungeplanten Absenzen betreut und wieder in den Arbeitsprozess integriert werden sollen?</v>
      </c>
      <c r="C594" s="49">
        <f>IF(ISBLANK('Selbstbeurteilung Kunde'!D612),0,1)</f>
        <v>0</v>
      </c>
      <c r="D594" s="49" t="str">
        <f>IF(AND('Selbstbeurteilung Kunde'!D612="",'Selbstbeurteilung Kunde'!E612=""),"*","")</f>
        <v>*</v>
      </c>
      <c r="E594" s="50" t="str">
        <f>IF(ISBLANK('Selbstbeurteilung Kunde'!F612),"",'Selbstbeurteilung Kunde'!F612)</f>
        <v/>
      </c>
      <c r="F594" s="287"/>
      <c r="G594" s="287"/>
      <c r="H594" s="287"/>
      <c r="I594" s="287"/>
      <c r="J594" s="287"/>
      <c r="K594" s="287"/>
      <c r="L594" s="279"/>
      <c r="M594" s="47">
        <v>1</v>
      </c>
      <c r="N594" s="34"/>
      <c r="O594" s="35">
        <f t="shared" si="101"/>
        <v>0</v>
      </c>
      <c r="P594" s="54">
        <f t="shared" si="102"/>
        <v>0</v>
      </c>
      <c r="Q594" s="46"/>
      <c r="R594" s="34"/>
    </row>
    <row r="595" spans="1:18" ht="39.6" x14ac:dyDescent="0.3">
      <c r="A595" s="3" t="str">
        <f>'Selbstbeurteilung Kunde'!A613</f>
        <v>11.5.</v>
      </c>
      <c r="B595" s="6" t="str">
        <f>'Selbstbeurteilung Kunde'!C613</f>
        <v>Werden die Führungskräfte (und die weiteren involvierten Stellen) ins Absenzenmangement eingeführt und für ihre Betreuungs- und Administrationsaufgaben ausgebildet?</v>
      </c>
      <c r="C595" s="49">
        <f>IF(ISBLANK('Selbstbeurteilung Kunde'!D613),0,1)</f>
        <v>0</v>
      </c>
      <c r="D595" s="49" t="str">
        <f>IF(AND('Selbstbeurteilung Kunde'!D613="",'Selbstbeurteilung Kunde'!E613=""),"*","")</f>
        <v>*</v>
      </c>
      <c r="E595" s="50" t="str">
        <f>IF(ISBLANK('Selbstbeurteilung Kunde'!F613),"",'Selbstbeurteilung Kunde'!F613)</f>
        <v/>
      </c>
      <c r="F595" s="287"/>
      <c r="G595" s="287"/>
      <c r="H595" s="287"/>
      <c r="I595" s="287"/>
      <c r="J595" s="287"/>
      <c r="K595" s="287"/>
      <c r="L595" s="279"/>
      <c r="M595" s="47">
        <v>1</v>
      </c>
      <c r="N595" s="34"/>
      <c r="O595" s="35">
        <f t="shared" si="101"/>
        <v>0</v>
      </c>
      <c r="P595" s="54">
        <f t="shared" si="102"/>
        <v>0</v>
      </c>
      <c r="Q595" s="46"/>
      <c r="R595" s="34"/>
    </row>
    <row r="596" spans="1:18" ht="39.6" x14ac:dyDescent="0.3">
      <c r="A596" s="3" t="str">
        <f>'Selbstbeurteilung Kunde'!A614</f>
        <v>11.6.</v>
      </c>
      <c r="B596" s="6" t="str">
        <f>'Selbstbeurteilung Kunde'!C614</f>
        <v>Werden die Mitarbeitenden periodisch über die Ziele des Absenzenmanagements und das richtige Verhalten im Absenzfall informiert?</v>
      </c>
      <c r="C596" s="49">
        <f>IF(ISBLANK('Selbstbeurteilung Kunde'!D614),0,1)</f>
        <v>0</v>
      </c>
      <c r="D596" s="49" t="str">
        <f>IF(AND('Selbstbeurteilung Kunde'!D614="",'Selbstbeurteilung Kunde'!E614=""),"*","")</f>
        <v>*</v>
      </c>
      <c r="E596" s="50" t="str">
        <f>IF(ISBLANK('Selbstbeurteilung Kunde'!F614),"",'Selbstbeurteilung Kunde'!F614)</f>
        <v/>
      </c>
      <c r="F596" s="287"/>
      <c r="G596" s="287"/>
      <c r="H596" s="287"/>
      <c r="I596" s="287"/>
      <c r="J596" s="287"/>
      <c r="K596" s="287"/>
      <c r="L596" s="279"/>
      <c r="M596" s="47">
        <v>1</v>
      </c>
      <c r="N596" s="34"/>
      <c r="O596" s="35">
        <f t="shared" si="101"/>
        <v>0</v>
      </c>
      <c r="P596" s="54">
        <f t="shared" si="102"/>
        <v>0</v>
      </c>
      <c r="Q596" s="46"/>
      <c r="R596" s="34"/>
    </row>
    <row r="597" spans="1:18" ht="26.4" x14ac:dyDescent="0.3">
      <c r="A597" s="3" t="str">
        <f>'Selbstbeurteilung Kunde'!A615</f>
        <v>11.7.a</v>
      </c>
      <c r="B597" s="6" t="str">
        <f>'Selbstbeurteilung Kunde'!C615</f>
        <v>Werden die Rückkehrgespräche geführt:
durch die Vorgesetzten?</v>
      </c>
      <c r="C597" s="49">
        <f>IF(ISBLANK('Selbstbeurteilung Kunde'!D615),0,1)</f>
        <v>0</v>
      </c>
      <c r="D597" s="49" t="str">
        <f>IF(AND('Selbstbeurteilung Kunde'!D615="",'Selbstbeurteilung Kunde'!E615=""),"*","")</f>
        <v>*</v>
      </c>
      <c r="E597" s="50" t="str">
        <f>IF(ISBLANK('Selbstbeurteilung Kunde'!F615),"",'Selbstbeurteilung Kunde'!F615)</f>
        <v/>
      </c>
      <c r="F597" s="287"/>
      <c r="G597" s="287"/>
      <c r="H597" s="287"/>
      <c r="I597" s="287"/>
      <c r="J597" s="287"/>
      <c r="K597" s="287"/>
      <c r="L597" s="279"/>
      <c r="M597" s="47">
        <v>1</v>
      </c>
      <c r="N597" s="34"/>
      <c r="O597" s="35">
        <f t="shared" si="101"/>
        <v>0</v>
      </c>
      <c r="P597" s="54">
        <f t="shared" ref="P597" si="104">L597*M597</f>
        <v>0</v>
      </c>
      <c r="Q597" s="46"/>
      <c r="R597" s="34"/>
    </row>
    <row r="598" spans="1:18" x14ac:dyDescent="0.3">
      <c r="A598" s="3" t="str">
        <f>'Selbstbeurteilung Kunde'!A616</f>
        <v>11.7.b</v>
      </c>
      <c r="B598" s="6" t="str">
        <f>'Selbstbeurteilung Kunde'!C616</f>
        <v>nach jeder ungeplanten längeren Absenz?</v>
      </c>
      <c r="C598" s="49">
        <f>IF(ISBLANK('Selbstbeurteilung Kunde'!D616),0,1)</f>
        <v>0</v>
      </c>
      <c r="D598" s="49" t="str">
        <f>IF(AND('Selbstbeurteilung Kunde'!D616="",'Selbstbeurteilung Kunde'!E616=""),"*","")</f>
        <v>*</v>
      </c>
      <c r="E598" s="50" t="str">
        <f>IF(ISBLANK('Selbstbeurteilung Kunde'!F616),"",'Selbstbeurteilung Kunde'!F616)</f>
        <v/>
      </c>
      <c r="F598" s="287"/>
      <c r="G598" s="287"/>
      <c r="H598" s="287"/>
      <c r="I598" s="287"/>
      <c r="J598" s="287"/>
      <c r="K598" s="287"/>
      <c r="L598" s="279"/>
      <c r="M598" s="47">
        <v>1</v>
      </c>
      <c r="N598" s="34"/>
      <c r="O598" s="35">
        <f t="shared" si="101"/>
        <v>0</v>
      </c>
      <c r="P598" s="54">
        <f t="shared" ref="P598:P603" si="105">L598*M598</f>
        <v>0</v>
      </c>
      <c r="Q598" s="46"/>
      <c r="R598" s="34"/>
    </row>
    <row r="599" spans="1:18" x14ac:dyDescent="0.3">
      <c r="A599" s="3" t="str">
        <f>'Selbstbeurteilung Kunde'!A617</f>
        <v>11.7.c</v>
      </c>
      <c r="B599" s="6" t="str">
        <f>'Selbstbeurteilung Kunde'!C617</f>
        <v>nach jeder ungeplanten Absenz?</v>
      </c>
      <c r="C599" s="49">
        <f>IF(ISBLANK('Selbstbeurteilung Kunde'!D617),0,1)</f>
        <v>0</v>
      </c>
      <c r="D599" s="49" t="str">
        <f>IF(AND('Selbstbeurteilung Kunde'!D617="",'Selbstbeurteilung Kunde'!E617=""),"*","")</f>
        <v>*</v>
      </c>
      <c r="E599" s="50" t="str">
        <f>IF(ISBLANK('Selbstbeurteilung Kunde'!F617),"",'Selbstbeurteilung Kunde'!F617)</f>
        <v/>
      </c>
      <c r="F599" s="287"/>
      <c r="G599" s="287"/>
      <c r="H599" s="287"/>
      <c r="I599" s="287"/>
      <c r="J599" s="287"/>
      <c r="K599" s="287"/>
      <c r="L599" s="279"/>
      <c r="M599" s="47">
        <v>1</v>
      </c>
      <c r="N599" s="34"/>
      <c r="O599" s="35">
        <f t="shared" si="101"/>
        <v>0</v>
      </c>
      <c r="P599" s="54">
        <f t="shared" si="105"/>
        <v>0</v>
      </c>
      <c r="Q599" s="46"/>
      <c r="R599" s="34"/>
    </row>
    <row r="600" spans="1:18" ht="26.4" x14ac:dyDescent="0.3">
      <c r="A600" s="3" t="str">
        <f>'Selbstbeurteilung Kunde'!A618</f>
        <v>11.8.</v>
      </c>
      <c r="B600" s="6" t="str">
        <f>'Selbstbeurteilung Kunde'!C618</f>
        <v>Werden aus den Resultaten der Rückkehrgespräche Präventionsmassnahmen abgeleitet?</v>
      </c>
      <c r="C600" s="49">
        <f>IF(ISBLANK('Selbstbeurteilung Kunde'!D618),0,1)</f>
        <v>0</v>
      </c>
      <c r="D600" s="49" t="str">
        <f>IF(AND('Selbstbeurteilung Kunde'!D618="",'Selbstbeurteilung Kunde'!E618=""),"*","")</f>
        <v>*</v>
      </c>
      <c r="E600" s="50" t="str">
        <f>IF(ISBLANK('Selbstbeurteilung Kunde'!F618),"",'Selbstbeurteilung Kunde'!F618)</f>
        <v/>
      </c>
      <c r="F600" s="287"/>
      <c r="G600" s="287"/>
      <c r="H600" s="287"/>
      <c r="I600" s="287"/>
      <c r="J600" s="287"/>
      <c r="K600" s="287"/>
      <c r="L600" s="279"/>
      <c r="M600" s="47">
        <v>1</v>
      </c>
      <c r="N600" s="34"/>
      <c r="O600" s="35">
        <f t="shared" si="101"/>
        <v>0</v>
      </c>
      <c r="P600" s="54">
        <f t="shared" si="105"/>
        <v>0</v>
      </c>
      <c r="Q600" s="46"/>
      <c r="R600" s="34"/>
    </row>
    <row r="601" spans="1:18" x14ac:dyDescent="0.3">
      <c r="A601" s="3" t="str">
        <f>'Selbstbeurteilung Kunde'!A619</f>
        <v>11.9.</v>
      </c>
      <c r="B601" s="6" t="str">
        <f>'Selbstbeurteilung Kunde'!C619</f>
        <v>Ist ein Vorgehen bei häufigeren Absenzen definiert?</v>
      </c>
      <c r="C601" s="49">
        <f>IF(ISBLANK('Selbstbeurteilung Kunde'!D619),0,1)</f>
        <v>0</v>
      </c>
      <c r="D601" s="49" t="str">
        <f>IF(AND('Selbstbeurteilung Kunde'!D619="",'Selbstbeurteilung Kunde'!E619=""),"*","")</f>
        <v>*</v>
      </c>
      <c r="E601" s="50" t="str">
        <f>IF(ISBLANK('Selbstbeurteilung Kunde'!F619),"",'Selbstbeurteilung Kunde'!F619)</f>
        <v/>
      </c>
      <c r="F601" s="287"/>
      <c r="G601" s="287"/>
      <c r="H601" s="287"/>
      <c r="I601" s="287"/>
      <c r="J601" s="287"/>
      <c r="K601" s="287"/>
      <c r="L601" s="279"/>
      <c r="M601" s="47">
        <v>1</v>
      </c>
      <c r="N601" s="34"/>
      <c r="O601" s="35">
        <f t="shared" si="101"/>
        <v>0</v>
      </c>
      <c r="P601" s="54">
        <f t="shared" si="105"/>
        <v>0</v>
      </c>
      <c r="Q601" s="46"/>
      <c r="R601" s="34"/>
    </row>
    <row r="602" spans="1:18" ht="52.8" x14ac:dyDescent="0.3">
      <c r="A602" s="3" t="str">
        <f>'Selbstbeurteilung Kunde'!A620</f>
        <v>11.10.</v>
      </c>
      <c r="B602" s="6" t="str">
        <f>'Selbstbeurteilung Kunde'!C620</f>
        <v>Erkundigen sich die direkten Vorgesetzen bei ihren verunfallten und erkrankten Mitarbeitenden während derer Abwesenheit über das  gesundheitliche Befinden und bieten Unterstützung an?</v>
      </c>
      <c r="C602" s="49">
        <f>IF(ISBLANK('Selbstbeurteilung Kunde'!D620),0,1)</f>
        <v>0</v>
      </c>
      <c r="D602" s="49" t="str">
        <f>IF(AND('Selbstbeurteilung Kunde'!D620="",'Selbstbeurteilung Kunde'!E620=""),"*","")</f>
        <v>*</v>
      </c>
      <c r="E602" s="50" t="str">
        <f>IF(ISBLANK('Selbstbeurteilung Kunde'!F620),"",'Selbstbeurteilung Kunde'!F620)</f>
        <v/>
      </c>
      <c r="F602" s="287"/>
      <c r="G602" s="287"/>
      <c r="H602" s="287"/>
      <c r="I602" s="287"/>
      <c r="J602" s="287"/>
      <c r="K602" s="287"/>
      <c r="L602" s="279"/>
      <c r="M602" s="47">
        <v>1</v>
      </c>
      <c r="N602" s="34"/>
      <c r="O602" s="35">
        <f t="shared" si="101"/>
        <v>0</v>
      </c>
      <c r="P602" s="54">
        <f t="shared" si="105"/>
        <v>0</v>
      </c>
      <c r="Q602" s="46"/>
      <c r="R602" s="34"/>
    </row>
    <row r="603" spans="1:18" ht="52.8" x14ac:dyDescent="0.3">
      <c r="A603" s="3" t="str">
        <f>'Selbstbeurteilung Kunde'!A621</f>
        <v>11.11.</v>
      </c>
      <c r="B603" s="6" t="str">
        <f>'Selbstbeurteilung Kunde'!C621</f>
        <v>Wird die Teilzeitbeschäftigung oder die vorübergehende Beschäftigung mit alternativen Tätigkeiten (Schonarbeitsplatz) von Verunfallten und Erkrankten durch die Vorgesetzen systematisch geprüft?</v>
      </c>
      <c r="C603" s="49">
        <f>IF(ISBLANK('Selbstbeurteilung Kunde'!D621),0,1)</f>
        <v>0</v>
      </c>
      <c r="D603" s="49" t="str">
        <f>IF(AND('Selbstbeurteilung Kunde'!D621="",'Selbstbeurteilung Kunde'!E621=""),"*","")</f>
        <v>*</v>
      </c>
      <c r="E603" s="50" t="str">
        <f>IF(ISBLANK('Selbstbeurteilung Kunde'!F621),"",'Selbstbeurteilung Kunde'!F621)</f>
        <v/>
      </c>
      <c r="F603" s="287"/>
      <c r="G603" s="287"/>
      <c r="H603" s="287"/>
      <c r="I603" s="287"/>
      <c r="J603" s="287"/>
      <c r="K603" s="287"/>
      <c r="L603" s="279"/>
      <c r="M603" s="47">
        <v>1</v>
      </c>
      <c r="N603" s="34"/>
      <c r="O603" s="35">
        <f t="shared" si="101"/>
        <v>0</v>
      </c>
      <c r="P603" s="54">
        <f t="shared" si="105"/>
        <v>0</v>
      </c>
      <c r="Q603" s="46"/>
      <c r="R603" s="34"/>
    </row>
    <row r="604" spans="1:18" ht="39.6" x14ac:dyDescent="0.3">
      <c r="A604" s="3" t="str">
        <f>'Selbstbeurteilung Kunde'!A622</f>
        <v>11.12.</v>
      </c>
      <c r="B604" s="6" t="str">
        <f>'Selbstbeurteilung Kunde'!C622</f>
        <v>Werden die behandelnden Ärzte über Möglichkeiten der Teilzeitarbeit oder alternativer Beschäftigungsmöglichkeiten informiert?</v>
      </c>
      <c r="C604" s="49">
        <f>IF(ISBLANK('Selbstbeurteilung Kunde'!D622),0,1)</f>
        <v>0</v>
      </c>
      <c r="D604" s="49" t="str">
        <f>IF(AND('Selbstbeurteilung Kunde'!D622="",'Selbstbeurteilung Kunde'!E622=""),"*","")</f>
        <v>*</v>
      </c>
      <c r="E604" s="50" t="str">
        <f>IF(ISBLANK('Selbstbeurteilung Kunde'!F622),"",'Selbstbeurteilung Kunde'!F622)</f>
        <v/>
      </c>
      <c r="F604" s="287"/>
      <c r="G604" s="287"/>
      <c r="H604" s="287"/>
      <c r="I604" s="287"/>
      <c r="J604" s="287"/>
      <c r="K604" s="287"/>
      <c r="L604" s="279"/>
      <c r="M604" s="47">
        <v>1</v>
      </c>
      <c r="N604" s="34"/>
      <c r="O604" s="35">
        <f t="shared" si="101"/>
        <v>0</v>
      </c>
      <c r="P604" s="54">
        <f t="shared" ref="P604:P608" si="106">L604*M604</f>
        <v>0</v>
      </c>
      <c r="Q604" s="46"/>
      <c r="R604" s="34"/>
    </row>
    <row r="605" spans="1:18" ht="39.6" x14ac:dyDescent="0.3">
      <c r="A605" s="278" t="str">
        <f>'Selbstbeurteilung Kunde'!A623</f>
        <v>11.13.a</v>
      </c>
      <c r="B605" s="6" t="str">
        <f>'Selbstbeurteilung Kunde'!C623</f>
        <v>Werden die Vorgesetzten bei ihren Betreuungs- und Integrationsbemühungen unterstützt:
durch die Personalabteilung?</v>
      </c>
      <c r="C605" s="49">
        <f>IF(ISBLANK('Selbstbeurteilung Kunde'!D623),0,1)</f>
        <v>0</v>
      </c>
      <c r="D605" s="49" t="str">
        <f>IF(AND('Selbstbeurteilung Kunde'!D623="",'Selbstbeurteilung Kunde'!E623=""),"*","")</f>
        <v>*</v>
      </c>
      <c r="E605" s="50" t="str">
        <f>IF(ISBLANK('Selbstbeurteilung Kunde'!F623),"",'Selbstbeurteilung Kunde'!F623)</f>
        <v/>
      </c>
      <c r="F605" s="287"/>
      <c r="G605" s="287"/>
      <c r="H605" s="287"/>
      <c r="I605" s="287"/>
      <c r="J605" s="287"/>
      <c r="K605" s="287"/>
      <c r="L605" s="279"/>
      <c r="M605" s="47">
        <v>1</v>
      </c>
      <c r="N605" s="34"/>
      <c r="O605" s="35">
        <f t="shared" si="101"/>
        <v>0</v>
      </c>
      <c r="P605" s="54">
        <f t="shared" si="106"/>
        <v>0</v>
      </c>
      <c r="Q605" s="46"/>
      <c r="R605" s="34"/>
    </row>
    <row r="606" spans="1:18" x14ac:dyDescent="0.3">
      <c r="A606" s="278" t="str">
        <f>'Selbstbeurteilung Kunde'!A624</f>
        <v>11.13.b</v>
      </c>
      <c r="B606" s="6" t="str">
        <f>'Selbstbeurteilung Kunde'!C624</f>
        <v>durch andere Stellen? Wenn ja, welche?</v>
      </c>
      <c r="C606" s="49">
        <f>IF(ISBLANK('Selbstbeurteilung Kunde'!D624),0,1)</f>
        <v>0</v>
      </c>
      <c r="D606" s="49" t="str">
        <f>IF(AND('Selbstbeurteilung Kunde'!D624="",'Selbstbeurteilung Kunde'!E624=""),"*","")</f>
        <v>*</v>
      </c>
      <c r="E606" s="50" t="str">
        <f>IF(ISBLANK('Selbstbeurteilung Kunde'!F624),"",'Selbstbeurteilung Kunde'!F624)</f>
        <v/>
      </c>
      <c r="F606" s="287"/>
      <c r="G606" s="287"/>
      <c r="H606" s="287"/>
      <c r="I606" s="287"/>
      <c r="J606" s="287"/>
      <c r="K606" s="287"/>
      <c r="L606" s="279"/>
      <c r="M606" s="47">
        <v>1</v>
      </c>
      <c r="N606" s="34"/>
      <c r="O606" s="35">
        <f t="shared" si="101"/>
        <v>0</v>
      </c>
      <c r="P606" s="54">
        <f t="shared" si="106"/>
        <v>0</v>
      </c>
      <c r="Q606" s="46"/>
      <c r="R606" s="34"/>
    </row>
    <row r="607" spans="1:18" x14ac:dyDescent="0.3">
      <c r="A607" s="44" t="str">
        <f>'Selbstbeurteilung Kunde'!A626</f>
        <v>12</v>
      </c>
      <c r="B607" s="7" t="str">
        <f>'Selbstbeurteilung Kunde'!B626</f>
        <v>Freizeitsicherheit (Fakultativ)</v>
      </c>
      <c r="C607" s="40">
        <f>O607/N607</f>
        <v>0</v>
      </c>
      <c r="D607" s="40"/>
      <c r="E607" s="36"/>
      <c r="F607" s="25"/>
      <c r="G607" s="25"/>
      <c r="H607" s="25"/>
      <c r="I607" s="25"/>
      <c r="J607" s="25"/>
      <c r="K607" s="25"/>
      <c r="L607" s="281">
        <f>P607/N607</f>
        <v>0</v>
      </c>
      <c r="M607" s="5"/>
      <c r="N607" s="5">
        <f>SUM(M608:M628)</f>
        <v>20</v>
      </c>
      <c r="O607" s="4">
        <f>SUM(O608:O628)</f>
        <v>0</v>
      </c>
      <c r="P607" s="4">
        <f>SUM(P608:P628)</f>
        <v>0</v>
      </c>
      <c r="Q607" s="45"/>
      <c r="R607" s="45"/>
    </row>
    <row r="608" spans="1:18" ht="39.6" x14ac:dyDescent="0.3">
      <c r="A608" s="3" t="str">
        <f>'Selbstbeurteilung Kunde'!A628</f>
        <v>12.1.</v>
      </c>
      <c r="B608" s="6" t="str">
        <f>'Selbstbeurteilung Kunde'!C628</f>
        <v>Gibt es eine explizite Willenserklärung der Geschäftsleitung, die Mitarbeitenden in sicherem und gesundem Freizeitverhalten zu unterstützen?</v>
      </c>
      <c r="C608" s="49">
        <f>IF(ISBLANK('Selbstbeurteilung Kunde'!D628),0,1)</f>
        <v>0</v>
      </c>
      <c r="D608" s="49" t="str">
        <f>IF(AND('Selbstbeurteilung Kunde'!D628="",'Selbstbeurteilung Kunde'!E628=""),"*","")</f>
        <v>*</v>
      </c>
      <c r="E608" s="50" t="str">
        <f>IF(ISBLANK('Selbstbeurteilung Kunde'!F628),"",'Selbstbeurteilung Kunde'!F628)</f>
        <v/>
      </c>
      <c r="F608" s="287"/>
      <c r="G608" s="287"/>
      <c r="H608" s="287"/>
      <c r="I608" s="287"/>
      <c r="J608" s="287"/>
      <c r="K608" s="287"/>
      <c r="L608" s="279"/>
      <c r="M608" s="47">
        <v>1</v>
      </c>
      <c r="N608" s="34"/>
      <c r="O608" s="35">
        <f t="shared" ref="O608:O628" si="107">C608*M608</f>
        <v>0</v>
      </c>
      <c r="P608" s="54">
        <f t="shared" si="106"/>
        <v>0</v>
      </c>
      <c r="Q608" s="46"/>
      <c r="R608" s="34"/>
    </row>
    <row r="609" spans="1:18" x14ac:dyDescent="0.3">
      <c r="A609" s="3" t="str">
        <f>'Selbstbeurteilung Kunde'!A629</f>
        <v>12.2.</v>
      </c>
      <c r="B609" s="6" t="str">
        <f>'Selbstbeurteilung Kunde'!C629</f>
        <v>Besteht ein Budgetrahmen für Freizeitsicherheits-Projekte?</v>
      </c>
      <c r="C609" s="49">
        <f>IF(ISBLANK('Selbstbeurteilung Kunde'!D629),0,1)</f>
        <v>0</v>
      </c>
      <c r="D609" s="49" t="str">
        <f>IF(AND('Selbstbeurteilung Kunde'!D629="",'Selbstbeurteilung Kunde'!E629=""),"*","")</f>
        <v>*</v>
      </c>
      <c r="E609" s="50" t="str">
        <f>IF(ISBLANK('Selbstbeurteilung Kunde'!F629),"",'Selbstbeurteilung Kunde'!F629)</f>
        <v/>
      </c>
      <c r="F609" s="287"/>
      <c r="G609" s="287"/>
      <c r="H609" s="287"/>
      <c r="I609" s="287"/>
      <c r="J609" s="287"/>
      <c r="K609" s="287"/>
      <c r="L609" s="279"/>
      <c r="M609" s="47">
        <v>1</v>
      </c>
      <c r="N609" s="34"/>
      <c r="O609" s="35">
        <f t="shared" si="107"/>
        <v>0</v>
      </c>
      <c r="P609" s="54">
        <f t="shared" ref="P609:P630" si="108">L609*M609</f>
        <v>0</v>
      </c>
      <c r="Q609" s="46"/>
      <c r="R609" s="34"/>
    </row>
    <row r="610" spans="1:18" ht="39.6" x14ac:dyDescent="0.3">
      <c r="A610" s="3" t="str">
        <f>'Selbstbeurteilung Kunde'!A630</f>
        <v>12.3.</v>
      </c>
      <c r="B610" s="6" t="str">
        <f>'Selbstbeurteilung Kunde'!C630</f>
        <v>Gibt es eine(n) Verantwortliche(n) oder eine Arbeitsgruppe, die Massnahmen zur Verhütung von Freizeitunfällen plant und koordiniert?</v>
      </c>
      <c r="C610" s="49">
        <f>IF(ISBLANK('Selbstbeurteilung Kunde'!D630),0,1)</f>
        <v>0</v>
      </c>
      <c r="D610" s="49" t="str">
        <f>IF(AND('Selbstbeurteilung Kunde'!D630="",'Selbstbeurteilung Kunde'!E630=""),"*","")</f>
        <v>*</v>
      </c>
      <c r="E610" s="50" t="str">
        <f>IF(ISBLANK('Selbstbeurteilung Kunde'!F630),"",'Selbstbeurteilung Kunde'!F630)</f>
        <v/>
      </c>
      <c r="F610" s="287"/>
      <c r="G610" s="287"/>
      <c r="H610" s="287"/>
      <c r="I610" s="287"/>
      <c r="J610" s="287"/>
      <c r="K610" s="287"/>
      <c r="L610" s="279"/>
      <c r="M610" s="47">
        <v>1</v>
      </c>
      <c r="N610" s="34"/>
      <c r="O610" s="35">
        <f t="shared" si="107"/>
        <v>0</v>
      </c>
      <c r="P610" s="54">
        <f t="shared" si="108"/>
        <v>0</v>
      </c>
      <c r="Q610" s="46"/>
      <c r="R610" s="34"/>
    </row>
    <row r="611" spans="1:18" ht="39.6" x14ac:dyDescent="0.3">
      <c r="A611" s="3" t="str">
        <f>'Selbstbeurteilung Kunde'!A631</f>
        <v>12.4.</v>
      </c>
      <c r="B611" s="6" t="str">
        <f>'Selbstbeurteilung Kunde'!C631</f>
        <v>Verfügt diese Verantwortliche bzw. Mitglieder der Arbeitsgruppe über eine Ausbildung im Bereich Freizeitunfall-Prävention (z.B. Suva- Kurse, bfu, ...)?</v>
      </c>
      <c r="C611" s="49">
        <f>IF(ISBLANK('Selbstbeurteilung Kunde'!D631),0,1)</f>
        <v>0</v>
      </c>
      <c r="D611" s="49" t="str">
        <f>IF(AND('Selbstbeurteilung Kunde'!D631="",'Selbstbeurteilung Kunde'!E631=""),"*","")</f>
        <v>*</v>
      </c>
      <c r="E611" s="50" t="str">
        <f>IF(ISBLANK('Selbstbeurteilung Kunde'!F631),"",'Selbstbeurteilung Kunde'!F631)</f>
        <v/>
      </c>
      <c r="F611" s="287"/>
      <c r="G611" s="287"/>
      <c r="H611" s="287"/>
      <c r="I611" s="287"/>
      <c r="J611" s="287"/>
      <c r="K611" s="287"/>
      <c r="L611" s="279"/>
      <c r="M611" s="47">
        <v>1</v>
      </c>
      <c r="N611" s="34"/>
      <c r="O611" s="35">
        <f t="shared" si="107"/>
        <v>0</v>
      </c>
      <c r="P611" s="54">
        <f t="shared" si="108"/>
        <v>0</v>
      </c>
      <c r="Q611" s="46"/>
      <c r="R611" s="34"/>
    </row>
    <row r="612" spans="1:18" ht="52.8" x14ac:dyDescent="0.3">
      <c r="A612" s="3" t="str">
        <f>'Selbstbeurteilung Kunde'!A632</f>
        <v>12.5.</v>
      </c>
      <c r="B612" s="6" t="str">
        <f>'Selbstbeurteilung Kunde'!C632</f>
        <v>Werden die Mitarbeitenden regelmässig über das Unfallgeschehen NBU im Betrieb informiert (Besprechungen, Zeitschrift, Intranet, Mail, Anschlagbrett…)?</v>
      </c>
      <c r="C612" s="49">
        <f>IF(ISBLANK('Selbstbeurteilung Kunde'!D632),0,1)</f>
        <v>0</v>
      </c>
      <c r="D612" s="49" t="str">
        <f>IF(AND('Selbstbeurteilung Kunde'!D632="",'Selbstbeurteilung Kunde'!E632=""),"*","")</f>
        <v>*</v>
      </c>
      <c r="E612" s="50" t="str">
        <f>IF(ISBLANK('Selbstbeurteilung Kunde'!F632),"",'Selbstbeurteilung Kunde'!F632)</f>
        <v/>
      </c>
      <c r="F612" s="287"/>
      <c r="G612" s="287"/>
      <c r="H612" s="287"/>
      <c r="I612" s="287"/>
      <c r="J612" s="287"/>
      <c r="K612" s="287"/>
      <c r="L612" s="279"/>
      <c r="M612" s="47">
        <v>1</v>
      </c>
      <c r="N612" s="34"/>
      <c r="O612" s="35">
        <f t="shared" si="107"/>
        <v>0</v>
      </c>
      <c r="P612" s="54">
        <f t="shared" si="108"/>
        <v>0</v>
      </c>
      <c r="Q612" s="46"/>
      <c r="R612" s="34"/>
    </row>
    <row r="613" spans="1:18" ht="26.4" x14ac:dyDescent="0.3">
      <c r="A613" s="3" t="str">
        <f>'Selbstbeurteilung Kunde'!A633</f>
        <v>12.6.a</v>
      </c>
      <c r="B613" s="6" t="str">
        <f>'Selbstbeurteilung Kunde'!C633</f>
        <v>Werden Freizeitunfälle:
erfasst?</v>
      </c>
      <c r="C613" s="49">
        <f>IF(ISBLANK('Selbstbeurteilung Kunde'!D633),0,1)</f>
        <v>0</v>
      </c>
      <c r="D613" s="49" t="str">
        <f>IF(AND('Selbstbeurteilung Kunde'!D633="",'Selbstbeurteilung Kunde'!E633=""),"*","")</f>
        <v>*</v>
      </c>
      <c r="E613" s="50" t="str">
        <f>IF(ISBLANK('Selbstbeurteilung Kunde'!F633),"",'Selbstbeurteilung Kunde'!F633)</f>
        <v/>
      </c>
      <c r="F613" s="287"/>
      <c r="G613" s="287"/>
      <c r="H613" s="287"/>
      <c r="I613" s="287"/>
      <c r="J613" s="287"/>
      <c r="K613" s="287"/>
      <c r="L613" s="279"/>
      <c r="M613" s="47">
        <v>1</v>
      </c>
      <c r="N613" s="34"/>
      <c r="O613" s="35">
        <f t="shared" si="107"/>
        <v>0</v>
      </c>
      <c r="P613" s="54">
        <f t="shared" si="108"/>
        <v>0</v>
      </c>
      <c r="Q613" s="46"/>
      <c r="R613" s="34"/>
    </row>
    <row r="614" spans="1:18" x14ac:dyDescent="0.3">
      <c r="A614" s="3" t="str">
        <f>'Selbstbeurteilung Kunde'!A634</f>
        <v>12.6.b</v>
      </c>
      <c r="B614" s="6" t="str">
        <f>'Selbstbeurteilung Kunde'!C634</f>
        <v>analysiert?</v>
      </c>
      <c r="C614" s="49">
        <f>IF(ISBLANK('Selbstbeurteilung Kunde'!D634),0,1)</f>
        <v>0</v>
      </c>
      <c r="D614" s="49" t="str">
        <f>IF(AND('Selbstbeurteilung Kunde'!D634="",'Selbstbeurteilung Kunde'!E634=""),"*","")</f>
        <v>*</v>
      </c>
      <c r="E614" s="50" t="str">
        <f>IF(ISBLANK('Selbstbeurteilung Kunde'!F634),"",'Selbstbeurteilung Kunde'!F634)</f>
        <v/>
      </c>
      <c r="F614" s="287"/>
      <c r="G614" s="287"/>
      <c r="H614" s="287"/>
      <c r="I614" s="287"/>
      <c r="J614" s="287"/>
      <c r="K614" s="287"/>
      <c r="L614" s="279"/>
      <c r="M614" s="47">
        <v>1</v>
      </c>
      <c r="N614" s="34"/>
      <c r="O614" s="35">
        <f t="shared" si="107"/>
        <v>0</v>
      </c>
      <c r="P614" s="54">
        <f t="shared" si="108"/>
        <v>0</v>
      </c>
      <c r="Q614" s="46"/>
      <c r="R614" s="34"/>
    </row>
    <row r="615" spans="1:18" x14ac:dyDescent="0.3">
      <c r="A615" s="3" t="str">
        <f>'Selbstbeurteilung Kunde'!A635</f>
        <v>12.6.c</v>
      </c>
      <c r="B615" s="6" t="str">
        <f>'Selbstbeurteilung Kunde'!C635</f>
        <v>ausgewertet?</v>
      </c>
      <c r="C615" s="49">
        <f>IF(ISBLANK('Selbstbeurteilung Kunde'!D635),0,1)</f>
        <v>0</v>
      </c>
      <c r="D615" s="49" t="str">
        <f>IF(AND('Selbstbeurteilung Kunde'!D635="",'Selbstbeurteilung Kunde'!E635=""),"*","")</f>
        <v>*</v>
      </c>
      <c r="E615" s="50" t="str">
        <f>IF(ISBLANK('Selbstbeurteilung Kunde'!F635),"",'Selbstbeurteilung Kunde'!F635)</f>
        <v/>
      </c>
      <c r="F615" s="287"/>
      <c r="G615" s="287"/>
      <c r="H615" s="287"/>
      <c r="I615" s="287"/>
      <c r="J615" s="287"/>
      <c r="K615" s="287"/>
      <c r="L615" s="279"/>
      <c r="M615" s="47">
        <v>1</v>
      </c>
      <c r="N615" s="34"/>
      <c r="O615" s="35">
        <f t="shared" si="107"/>
        <v>0</v>
      </c>
      <c r="P615" s="54">
        <f t="shared" si="108"/>
        <v>0</v>
      </c>
      <c r="Q615" s="46"/>
      <c r="R615" s="34"/>
    </row>
    <row r="616" spans="1:18" x14ac:dyDescent="0.3">
      <c r="A616" s="3" t="str">
        <f>'Selbstbeurteilung Kunde'!A636</f>
        <v>12.6.d</v>
      </c>
      <c r="B616" s="6" t="str">
        <f>'Selbstbeurteilung Kunde'!C636</f>
        <v>kommuniziert ?</v>
      </c>
      <c r="C616" s="49">
        <f>IF(ISBLANK('Selbstbeurteilung Kunde'!D636),0,1)</f>
        <v>0</v>
      </c>
      <c r="D616" s="49" t="str">
        <f>IF(AND('Selbstbeurteilung Kunde'!D636="",'Selbstbeurteilung Kunde'!E636=""),"*","")</f>
        <v>*</v>
      </c>
      <c r="E616" s="50" t="str">
        <f>IF(ISBLANK('Selbstbeurteilung Kunde'!F636),"",'Selbstbeurteilung Kunde'!F636)</f>
        <v/>
      </c>
      <c r="F616" s="287"/>
      <c r="G616" s="287"/>
      <c r="H616" s="287"/>
      <c r="I616" s="287"/>
      <c r="J616" s="287"/>
      <c r="K616" s="287"/>
      <c r="L616" s="279"/>
      <c r="M616" s="47">
        <v>1</v>
      </c>
      <c r="N616" s="34"/>
      <c r="O616" s="35">
        <f t="shared" si="107"/>
        <v>0</v>
      </c>
      <c r="P616" s="54">
        <f t="shared" si="108"/>
        <v>0</v>
      </c>
      <c r="Q616" s="46"/>
      <c r="R616" s="34"/>
    </row>
    <row r="617" spans="1:18" ht="26.4" x14ac:dyDescent="0.3">
      <c r="A617" s="3" t="str">
        <f>'Selbstbeurteilung Kunde'!A637</f>
        <v>12.7.</v>
      </c>
      <c r="B617" s="6" t="str">
        <f>'Selbstbeurteilung Kunde'!C637</f>
        <v>Werden aus den Freizeitunfällen Handlungsschwerpunkte abgeleitet?</v>
      </c>
      <c r="C617" s="49">
        <f>IF(ISBLANK('Selbstbeurteilung Kunde'!D637),0,1)</f>
        <v>0</v>
      </c>
      <c r="D617" s="49" t="str">
        <f>IF(AND('Selbstbeurteilung Kunde'!D637="",'Selbstbeurteilung Kunde'!E637=""),"*","")</f>
        <v>*</v>
      </c>
      <c r="E617" s="50" t="str">
        <f>IF(ISBLANK('Selbstbeurteilung Kunde'!F637),"",'Selbstbeurteilung Kunde'!F637)</f>
        <v/>
      </c>
      <c r="F617" s="287"/>
      <c r="G617" s="287"/>
      <c r="H617" s="287"/>
      <c r="I617" s="287"/>
      <c r="J617" s="287"/>
      <c r="K617" s="287"/>
      <c r="L617" s="279"/>
      <c r="M617" s="47">
        <v>1</v>
      </c>
      <c r="N617" s="34"/>
      <c r="O617" s="35">
        <f t="shared" si="107"/>
        <v>0</v>
      </c>
      <c r="P617" s="54">
        <f t="shared" si="108"/>
        <v>0</v>
      </c>
      <c r="Q617" s="46"/>
      <c r="R617" s="34"/>
    </row>
    <row r="618" spans="1:18" ht="26.4" x14ac:dyDescent="0.3">
      <c r="A618" s="3" t="str">
        <f>'Selbstbeurteilung Kunde'!A638</f>
        <v>12.8.</v>
      </c>
      <c r="B618" s="6" t="str">
        <f>'Selbstbeurteilung Kunde'!C638</f>
        <v>Gibt es Arbeitnehmer-Gruppen (jüngere MA, ältere MA, Männer, Frauen), die besonders viele Unfälle verursachen?</v>
      </c>
      <c r="C618" s="49">
        <f>IF(ISBLANK('Selbstbeurteilung Kunde'!D638),0,1)</f>
        <v>0</v>
      </c>
      <c r="D618" s="49" t="str">
        <f>IF(AND('Selbstbeurteilung Kunde'!D638="",'Selbstbeurteilung Kunde'!E638=""),"*","")</f>
        <v>*</v>
      </c>
      <c r="E618" s="50" t="str">
        <f>IF(ISBLANK('Selbstbeurteilung Kunde'!F638),"",'Selbstbeurteilung Kunde'!F638)</f>
        <v/>
      </c>
      <c r="F618" s="287"/>
      <c r="G618" s="287"/>
      <c r="H618" s="287"/>
      <c r="I618" s="287"/>
      <c r="J618" s="287"/>
      <c r="K618" s="287"/>
      <c r="L618" s="279"/>
      <c r="M618" s="47">
        <v>1</v>
      </c>
      <c r="N618" s="34"/>
      <c r="O618" s="35">
        <f t="shared" si="107"/>
        <v>0</v>
      </c>
      <c r="P618" s="54">
        <f t="shared" si="108"/>
        <v>0</v>
      </c>
      <c r="Q618" s="46"/>
      <c r="R618" s="34"/>
    </row>
    <row r="619" spans="1:18" x14ac:dyDescent="0.3">
      <c r="A619" s="3" t="str">
        <f>'Selbstbeurteilung Kunde'!A639</f>
        <v>12.9.</v>
      </c>
      <c r="B619" s="6" t="str">
        <f>'Selbstbeurteilung Kunde'!C639</f>
        <v>Hat das Unternehmen eigene Firmensportvereine?</v>
      </c>
      <c r="C619" s="49">
        <f>IF(ISBLANK('Selbstbeurteilung Kunde'!D639),0,1)</f>
        <v>0</v>
      </c>
      <c r="D619" s="49" t="str">
        <f>IF(AND('Selbstbeurteilung Kunde'!D639="",'Selbstbeurteilung Kunde'!E639=""),"*","")</f>
        <v>*</v>
      </c>
      <c r="E619" s="50" t="str">
        <f>IF(ISBLANK('Selbstbeurteilung Kunde'!F639),"",'Selbstbeurteilung Kunde'!F639)</f>
        <v/>
      </c>
      <c r="F619" s="287"/>
      <c r="G619" s="287"/>
      <c r="H619" s="287"/>
      <c r="I619" s="287"/>
      <c r="J619" s="287"/>
      <c r="K619" s="287"/>
      <c r="L619" s="279"/>
      <c r="M619" s="47">
        <v>1</v>
      </c>
      <c r="N619" s="34"/>
      <c r="O619" s="35">
        <f t="shared" si="107"/>
        <v>0</v>
      </c>
      <c r="P619" s="54">
        <f t="shared" si="108"/>
        <v>0</v>
      </c>
      <c r="Q619" s="46"/>
      <c r="R619" s="34"/>
    </row>
    <row r="620" spans="1:18" ht="39.6" x14ac:dyDescent="0.3">
      <c r="A620" s="3" t="str">
        <f>'Selbstbeurteilung Kunde'!A640</f>
        <v>12.10.</v>
      </c>
      <c r="B620" s="6" t="str">
        <f>'Selbstbeurteilung Kunde'!C640</f>
        <v>Hat es im Unternehmen Mitarbeitende mit gutem Wissen und Können im Sport (bspw. Fussball-Trainer, Laufgruppen-Leiter, Fitness-Instruktoren usw.) ?</v>
      </c>
      <c r="C620" s="49">
        <f>IF(ISBLANK('Selbstbeurteilung Kunde'!D640),0,1)</f>
        <v>0</v>
      </c>
      <c r="D620" s="49" t="str">
        <f>IF(AND('Selbstbeurteilung Kunde'!D640="",'Selbstbeurteilung Kunde'!E640=""),"*","")</f>
        <v>*</v>
      </c>
      <c r="E620" s="50" t="str">
        <f>IF(ISBLANK('Selbstbeurteilung Kunde'!F640),"",'Selbstbeurteilung Kunde'!F640)</f>
        <v/>
      </c>
      <c r="F620" s="287"/>
      <c r="G620" s="287"/>
      <c r="H620" s="287"/>
      <c r="I620" s="287"/>
      <c r="J620" s="287"/>
      <c r="K620" s="287"/>
      <c r="L620" s="279"/>
      <c r="M620" s="47">
        <v>1</v>
      </c>
      <c r="N620" s="34"/>
      <c r="O620" s="35">
        <f t="shared" si="107"/>
        <v>0</v>
      </c>
      <c r="P620" s="54">
        <f t="shared" si="108"/>
        <v>0</v>
      </c>
      <c r="Q620" s="46"/>
      <c r="R620" s="34"/>
    </row>
    <row r="621" spans="1:18" ht="39.6" x14ac:dyDescent="0.3">
      <c r="A621" s="3" t="str">
        <f>'Selbstbeurteilung Kunde'!A641</f>
        <v>12.11.a</v>
      </c>
      <c r="B621" s="6" t="str">
        <f>'Selbstbeurteilung Kunde'!C641</f>
        <v>Wurden im Unternehmen bereits Projekte/Massnahmen zur Förderung der Freizeitsicherheit durchgeführt? Wenn ja, welche Schwerpunktthemen wurden behandelt?</v>
      </c>
      <c r="C621" s="49">
        <f>IF(ISBLANK('Selbstbeurteilung Kunde'!D641),0,1)</f>
        <v>0</v>
      </c>
      <c r="D621" s="49" t="str">
        <f>IF(AND('Selbstbeurteilung Kunde'!D641="",'Selbstbeurteilung Kunde'!E641=""),"*","")</f>
        <v>*</v>
      </c>
      <c r="E621" s="50" t="str">
        <f>IF(ISBLANK('Selbstbeurteilung Kunde'!F641),"",'Selbstbeurteilung Kunde'!F641)</f>
        <v/>
      </c>
      <c r="F621" s="287"/>
      <c r="G621" s="287"/>
      <c r="H621" s="287"/>
      <c r="I621" s="287"/>
      <c r="J621" s="287"/>
      <c r="K621" s="287"/>
      <c r="L621" s="279"/>
      <c r="M621" s="47"/>
      <c r="N621" s="34"/>
      <c r="O621" s="35">
        <f t="shared" si="107"/>
        <v>0</v>
      </c>
      <c r="P621" s="54">
        <f t="shared" si="108"/>
        <v>0</v>
      </c>
      <c r="Q621" s="46"/>
      <c r="R621" s="34"/>
    </row>
    <row r="622" spans="1:18" x14ac:dyDescent="0.3">
      <c r="A622" s="3" t="str">
        <f>'Selbstbeurteilung Kunde'!A642</f>
        <v>12.11.b</v>
      </c>
      <c r="B622" s="6" t="str">
        <f>'Selbstbeurteilung Kunde'!C642</f>
        <v>Stolpern und Stürzen?</v>
      </c>
      <c r="C622" s="49">
        <f>IF(ISBLANK('Selbstbeurteilung Kunde'!D642),0,1)</f>
        <v>0</v>
      </c>
      <c r="D622" s="49" t="str">
        <f>IF(AND('Selbstbeurteilung Kunde'!D642="",'Selbstbeurteilung Kunde'!E642=""),"*","")</f>
        <v>*</v>
      </c>
      <c r="E622" s="50" t="str">
        <f>IF(ISBLANK('Selbstbeurteilung Kunde'!F642),"",'Selbstbeurteilung Kunde'!F642)</f>
        <v/>
      </c>
      <c r="F622" s="287"/>
      <c r="G622" s="287"/>
      <c r="H622" s="287"/>
      <c r="I622" s="287"/>
      <c r="J622" s="287"/>
      <c r="K622" s="287"/>
      <c r="L622" s="279"/>
      <c r="M622" s="47">
        <v>1</v>
      </c>
      <c r="N622" s="34"/>
      <c r="O622" s="35">
        <f t="shared" si="107"/>
        <v>0</v>
      </c>
      <c r="P622" s="54">
        <f t="shared" si="108"/>
        <v>0</v>
      </c>
      <c r="Q622" s="46"/>
      <c r="R622" s="34"/>
    </row>
    <row r="623" spans="1:18" x14ac:dyDescent="0.3">
      <c r="A623" s="3" t="str">
        <f>'Selbstbeurteilung Kunde'!A643</f>
        <v>12.11.c</v>
      </c>
      <c r="B623" s="6" t="str">
        <f>'Selbstbeurteilung Kunde'!C643</f>
        <v>Ballsport?</v>
      </c>
      <c r="C623" s="49">
        <f>IF(ISBLANK('Selbstbeurteilung Kunde'!D643),0,1)</f>
        <v>0</v>
      </c>
      <c r="D623" s="49" t="str">
        <f>IF(AND('Selbstbeurteilung Kunde'!D643="",'Selbstbeurteilung Kunde'!E643=""),"*","")</f>
        <v>*</v>
      </c>
      <c r="E623" s="50" t="str">
        <f>IF(ISBLANK('Selbstbeurteilung Kunde'!F643),"",'Selbstbeurteilung Kunde'!F643)</f>
        <v/>
      </c>
      <c r="F623" s="287"/>
      <c r="G623" s="287"/>
      <c r="H623" s="287"/>
      <c r="I623" s="287"/>
      <c r="J623" s="287"/>
      <c r="K623" s="287"/>
      <c r="L623" s="279"/>
      <c r="M623" s="47">
        <v>1</v>
      </c>
      <c r="N623" s="34"/>
      <c r="O623" s="35">
        <f t="shared" si="107"/>
        <v>0</v>
      </c>
      <c r="P623" s="54">
        <f t="shared" si="108"/>
        <v>0</v>
      </c>
      <c r="Q623" s="46"/>
      <c r="R623" s="34"/>
    </row>
    <row r="624" spans="1:18" x14ac:dyDescent="0.3">
      <c r="A624" s="3" t="str">
        <f>'Selbstbeurteilung Kunde'!A644</f>
        <v>12.11.d</v>
      </c>
      <c r="B624" s="6" t="str">
        <f>'Selbstbeurteilung Kunde'!C644</f>
        <v>Wintersport?</v>
      </c>
      <c r="C624" s="49">
        <f>IF(ISBLANK('Selbstbeurteilung Kunde'!D644),0,1)</f>
        <v>0</v>
      </c>
      <c r="D624" s="49" t="str">
        <f>IF(AND('Selbstbeurteilung Kunde'!D644="",'Selbstbeurteilung Kunde'!E644=""),"*","")</f>
        <v>*</v>
      </c>
      <c r="E624" s="50" t="str">
        <f>IF(ISBLANK('Selbstbeurteilung Kunde'!F644),"",'Selbstbeurteilung Kunde'!F644)</f>
        <v/>
      </c>
      <c r="F624" s="287"/>
      <c r="G624" s="287"/>
      <c r="H624" s="287"/>
      <c r="I624" s="287"/>
      <c r="J624" s="287"/>
      <c r="K624" s="287"/>
      <c r="L624" s="279"/>
      <c r="M624" s="47">
        <v>1</v>
      </c>
      <c r="N624" s="34"/>
      <c r="O624" s="35">
        <f t="shared" si="107"/>
        <v>0</v>
      </c>
      <c r="P624" s="54">
        <f t="shared" si="108"/>
        <v>0</v>
      </c>
      <c r="Q624" s="46"/>
      <c r="R624" s="34"/>
    </row>
    <row r="625" spans="1:18" x14ac:dyDescent="0.3">
      <c r="A625" s="3" t="str">
        <f>'Selbstbeurteilung Kunde'!A645</f>
        <v>12.11.e</v>
      </c>
      <c r="B625" s="6" t="str">
        <f>'Selbstbeurteilung Kunde'!C645</f>
        <v>Haus und Garten?</v>
      </c>
      <c r="C625" s="49">
        <f>IF(ISBLANK('Selbstbeurteilung Kunde'!D645),0,1)</f>
        <v>0</v>
      </c>
      <c r="D625" s="49" t="str">
        <f>IF(AND('Selbstbeurteilung Kunde'!D645="",'Selbstbeurteilung Kunde'!E645=""),"*","")</f>
        <v>*</v>
      </c>
      <c r="E625" s="50" t="str">
        <f>IF(ISBLANK('Selbstbeurteilung Kunde'!F645),"",'Selbstbeurteilung Kunde'!F645)</f>
        <v/>
      </c>
      <c r="F625" s="287"/>
      <c r="G625" s="287"/>
      <c r="H625" s="287"/>
      <c r="I625" s="287"/>
      <c r="J625" s="287"/>
      <c r="K625" s="287"/>
      <c r="L625" s="279"/>
      <c r="M625" s="47">
        <v>1</v>
      </c>
      <c r="N625" s="34"/>
      <c r="O625" s="35">
        <f t="shared" si="107"/>
        <v>0</v>
      </c>
      <c r="P625" s="54">
        <f t="shared" si="108"/>
        <v>0</v>
      </c>
      <c r="Q625" s="46"/>
      <c r="R625" s="34"/>
    </row>
    <row r="626" spans="1:18" x14ac:dyDescent="0.3">
      <c r="A626" s="3" t="str">
        <f>'Selbstbeurteilung Kunde'!A646</f>
        <v>12.11.f</v>
      </c>
      <c r="B626" s="6" t="str">
        <f>'Selbstbeurteilung Kunde'!C646</f>
        <v>weitere Schwerpunktthemen?</v>
      </c>
      <c r="C626" s="49">
        <f>IF(ISBLANK('Selbstbeurteilung Kunde'!D646),0,1)</f>
        <v>0</v>
      </c>
      <c r="D626" s="49" t="str">
        <f>IF(AND('Selbstbeurteilung Kunde'!D646="",'Selbstbeurteilung Kunde'!E646=""),"*","")</f>
        <v>*</v>
      </c>
      <c r="E626" s="50" t="str">
        <f>IF(ISBLANK('Selbstbeurteilung Kunde'!F646),"",'Selbstbeurteilung Kunde'!F646)</f>
        <v/>
      </c>
      <c r="F626" s="287"/>
      <c r="G626" s="287"/>
      <c r="H626" s="287"/>
      <c r="I626" s="287"/>
      <c r="J626" s="287"/>
      <c r="K626" s="287"/>
      <c r="L626" s="279"/>
      <c r="M626" s="47">
        <v>1</v>
      </c>
      <c r="N626" s="34"/>
      <c r="O626" s="35">
        <f t="shared" si="107"/>
        <v>0</v>
      </c>
      <c r="P626" s="54">
        <f t="shared" si="108"/>
        <v>0</v>
      </c>
      <c r="Q626" s="46"/>
      <c r="R626" s="34"/>
    </row>
    <row r="627" spans="1:18" ht="26.4" x14ac:dyDescent="0.3">
      <c r="A627" s="3" t="str">
        <f>'Selbstbeurteilung Kunde'!A647</f>
        <v>12.12.</v>
      </c>
      <c r="B627" s="6" t="str">
        <f>'Selbstbeurteilung Kunde'!C647</f>
        <v xml:space="preserve">Werden mit den Massnahmen/ Projekten zur Freizeitsicherheit konkrete Ziele verfolgt? Wenn ja, welche? </v>
      </c>
      <c r="C627" s="49">
        <f>IF(ISBLANK('Selbstbeurteilung Kunde'!D647),0,1)</f>
        <v>0</v>
      </c>
      <c r="D627" s="49" t="str">
        <f>IF(AND('Selbstbeurteilung Kunde'!D647="",'Selbstbeurteilung Kunde'!E647=""),"*","")</f>
        <v>*</v>
      </c>
      <c r="E627" s="50" t="str">
        <f>IF(ISBLANK('Selbstbeurteilung Kunde'!F647),"",'Selbstbeurteilung Kunde'!F647)</f>
        <v/>
      </c>
      <c r="F627" s="287"/>
      <c r="G627" s="287"/>
      <c r="H627" s="287"/>
      <c r="I627" s="287"/>
      <c r="J627" s="287"/>
      <c r="K627" s="287"/>
      <c r="L627" s="279"/>
      <c r="M627" s="47">
        <v>1</v>
      </c>
      <c r="N627" s="34"/>
      <c r="O627" s="35">
        <f t="shared" si="107"/>
        <v>0</v>
      </c>
      <c r="P627" s="54">
        <f t="shared" si="108"/>
        <v>0</v>
      </c>
      <c r="Q627" s="46"/>
      <c r="R627" s="34"/>
    </row>
    <row r="628" spans="1:18" ht="39.6" x14ac:dyDescent="0.3">
      <c r="A628" s="3" t="str">
        <f>'Selbstbeurteilung Kunde'!A648</f>
        <v>12.13.</v>
      </c>
      <c r="B628" s="6" t="str">
        <f>'Selbstbeurteilung Kunde'!C648</f>
        <v>Werden die Massnahmen/Projekte evaluiert und Konsequenzen für künftige Massnahmen/Projekte abgeleitet?</v>
      </c>
      <c r="C628" s="49">
        <f>IF(ISBLANK('Selbstbeurteilung Kunde'!D648),0,1)</f>
        <v>0</v>
      </c>
      <c r="D628" s="49" t="str">
        <f>IF(AND('Selbstbeurteilung Kunde'!D648="",'Selbstbeurteilung Kunde'!E648=""),"*","")</f>
        <v>*</v>
      </c>
      <c r="E628" s="50" t="str">
        <f>IF(ISBLANK('Selbstbeurteilung Kunde'!F648),"",'Selbstbeurteilung Kunde'!F648)</f>
        <v/>
      </c>
      <c r="F628" s="287"/>
      <c r="G628" s="287"/>
      <c r="H628" s="287"/>
      <c r="I628" s="287"/>
      <c r="J628" s="287"/>
      <c r="K628" s="287"/>
      <c r="L628" s="279"/>
      <c r="M628" s="47">
        <v>1</v>
      </c>
      <c r="N628" s="34"/>
      <c r="O628" s="35">
        <f t="shared" si="107"/>
        <v>0</v>
      </c>
      <c r="P628" s="54">
        <f t="shared" si="108"/>
        <v>0</v>
      </c>
      <c r="Q628" s="46"/>
      <c r="R628" s="34"/>
    </row>
    <row r="629" spans="1:18" ht="26.4" x14ac:dyDescent="0.3">
      <c r="A629" s="44" t="str">
        <f>'Selbstbeurteilung Kunde'!A650</f>
        <v>13</v>
      </c>
      <c r="B629" s="7" t="str">
        <f>'Selbstbeurteilung Kunde'!B650</f>
        <v xml:space="preserve"> BGM: Betriebliches Gesundheitsmanagement (Fakultativ)</v>
      </c>
      <c r="C629" s="40">
        <f>O629/N629</f>
        <v>0</v>
      </c>
      <c r="D629" s="40"/>
      <c r="E629" s="36"/>
      <c r="F629" s="25"/>
      <c r="G629" s="25"/>
      <c r="H629" s="25"/>
      <c r="I629" s="25"/>
      <c r="J629" s="25"/>
      <c r="K629" s="25"/>
      <c r="L629" s="281">
        <f>P629/N629</f>
        <v>0</v>
      </c>
      <c r="M629" s="5"/>
      <c r="N629" s="5">
        <f>SUM(M630:M656)</f>
        <v>27</v>
      </c>
      <c r="O629" s="4">
        <f>SUM(O630:O656)</f>
        <v>0</v>
      </c>
      <c r="P629" s="4">
        <f>SUM(P630:P656)</f>
        <v>0</v>
      </c>
      <c r="Q629" s="45"/>
      <c r="R629" s="45"/>
    </row>
    <row r="630" spans="1:18" ht="52.8" x14ac:dyDescent="0.3">
      <c r="A630" s="3" t="str">
        <f>'Selbstbeurteilung Kunde'!A652</f>
        <v>13.1.</v>
      </c>
      <c r="B630" s="6" t="str">
        <f>'Selbstbeurteilung Kunde'!C652</f>
        <v>Gibt es eine explizite Willenserklärung der Geschäftsleitung, das betriebliche Gesundheitsmanagement in die Unternehmenspolitik und in den Führungsgrundsätzen zu integrieren?</v>
      </c>
      <c r="C630" s="49">
        <f>IF(ISBLANK('Selbstbeurteilung Kunde'!D652),0,1)</f>
        <v>0</v>
      </c>
      <c r="D630" s="49" t="str">
        <f>IF(AND('Selbstbeurteilung Kunde'!D652="",'Selbstbeurteilung Kunde'!E652=""),"*","")</f>
        <v>*</v>
      </c>
      <c r="E630" s="50" t="str">
        <f>IF(ISBLANK('Selbstbeurteilung Kunde'!F652),"",'Selbstbeurteilung Kunde'!F652)</f>
        <v/>
      </c>
      <c r="F630" s="287"/>
      <c r="G630" s="287"/>
      <c r="H630" s="287"/>
      <c r="I630" s="287"/>
      <c r="J630" s="287"/>
      <c r="K630" s="287"/>
      <c r="L630" s="279"/>
      <c r="M630" s="47">
        <v>1</v>
      </c>
      <c r="N630" s="34"/>
      <c r="O630" s="35">
        <f t="shared" ref="O630:O656" si="109">C630*M630</f>
        <v>0</v>
      </c>
      <c r="P630" s="54">
        <f t="shared" si="108"/>
        <v>0</v>
      </c>
      <c r="Q630" s="46"/>
      <c r="R630" s="34"/>
    </row>
    <row r="631" spans="1:18" ht="26.4" x14ac:dyDescent="0.3">
      <c r="A631" s="3" t="str">
        <f>'Selbstbeurteilung Kunde'!A653</f>
        <v>13.2.a</v>
      </c>
      <c r="B631" s="6" t="str">
        <f>'Selbstbeurteilung Kunde'!C653</f>
        <v>Besteht ein Konzept mit:
Zielen?</v>
      </c>
      <c r="C631" s="49">
        <f>IF(ISBLANK('Selbstbeurteilung Kunde'!D653),0,1)</f>
        <v>0</v>
      </c>
      <c r="D631" s="49" t="str">
        <f>IF(AND('Selbstbeurteilung Kunde'!D653="",'Selbstbeurteilung Kunde'!E653=""),"*","")</f>
        <v>*</v>
      </c>
      <c r="E631" s="50" t="str">
        <f>IF(ISBLANK('Selbstbeurteilung Kunde'!F653),"",'Selbstbeurteilung Kunde'!F653)</f>
        <v/>
      </c>
      <c r="F631" s="287"/>
      <c r="G631" s="287"/>
      <c r="H631" s="287"/>
      <c r="I631" s="287"/>
      <c r="J631" s="287"/>
      <c r="K631" s="287"/>
      <c r="L631" s="279"/>
      <c r="M631" s="47">
        <v>1</v>
      </c>
      <c r="N631" s="34"/>
      <c r="O631" s="35">
        <f t="shared" si="109"/>
        <v>0</v>
      </c>
      <c r="P631" s="54">
        <f t="shared" ref="P631:P653" si="110">L631*M631</f>
        <v>0</v>
      </c>
      <c r="Q631" s="46"/>
      <c r="R631" s="34"/>
    </row>
    <row r="632" spans="1:18" x14ac:dyDescent="0.3">
      <c r="A632" s="3" t="str">
        <f>'Selbstbeurteilung Kunde'!A654</f>
        <v>13.2.b</v>
      </c>
      <c r="B632" s="6" t="str">
        <f>'Selbstbeurteilung Kunde'!C654</f>
        <v>Vorgehens- und Zeitplan?</v>
      </c>
      <c r="C632" s="49">
        <f>IF(ISBLANK('Selbstbeurteilung Kunde'!D654),0,1)</f>
        <v>0</v>
      </c>
      <c r="D632" s="49" t="str">
        <f>IF(AND('Selbstbeurteilung Kunde'!D654="",'Selbstbeurteilung Kunde'!E654=""),"*","")</f>
        <v>*</v>
      </c>
      <c r="E632" s="50" t="str">
        <f>IF(ISBLANK('Selbstbeurteilung Kunde'!F654),"",'Selbstbeurteilung Kunde'!F654)</f>
        <v/>
      </c>
      <c r="F632" s="287"/>
      <c r="G632" s="287"/>
      <c r="H632" s="287"/>
      <c r="I632" s="287"/>
      <c r="J632" s="287"/>
      <c r="K632" s="287"/>
      <c r="L632" s="279"/>
      <c r="M632" s="47">
        <v>1</v>
      </c>
      <c r="N632" s="34"/>
      <c r="O632" s="35">
        <f t="shared" si="109"/>
        <v>0</v>
      </c>
      <c r="P632" s="54">
        <f t="shared" si="110"/>
        <v>0</v>
      </c>
      <c r="Q632" s="46"/>
      <c r="R632" s="34"/>
    </row>
    <row r="633" spans="1:18" x14ac:dyDescent="0.3">
      <c r="A633" s="3" t="str">
        <f>'Selbstbeurteilung Kunde'!A655</f>
        <v>13.2.c</v>
      </c>
      <c r="B633" s="6" t="str">
        <f>'Selbstbeurteilung Kunde'!C655</f>
        <v>Kommunikation an Zielgruppen?</v>
      </c>
      <c r="C633" s="49">
        <f>IF(ISBLANK('Selbstbeurteilung Kunde'!D655),0,1)</f>
        <v>0</v>
      </c>
      <c r="D633" s="49" t="str">
        <f>IF(AND('Selbstbeurteilung Kunde'!D655="",'Selbstbeurteilung Kunde'!E655=""),"*","")</f>
        <v>*</v>
      </c>
      <c r="E633" s="50" t="str">
        <f>IF(ISBLANK('Selbstbeurteilung Kunde'!F655),"",'Selbstbeurteilung Kunde'!F655)</f>
        <v/>
      </c>
      <c r="F633" s="287"/>
      <c r="G633" s="287"/>
      <c r="H633" s="287"/>
      <c r="I633" s="287"/>
      <c r="J633" s="287"/>
      <c r="K633" s="287"/>
      <c r="L633" s="279"/>
      <c r="M633" s="47">
        <v>1</v>
      </c>
      <c r="N633" s="34"/>
      <c r="O633" s="35">
        <f t="shared" si="109"/>
        <v>0</v>
      </c>
      <c r="P633" s="54">
        <f t="shared" si="110"/>
        <v>0</v>
      </c>
      <c r="Q633" s="46"/>
      <c r="R633" s="34"/>
    </row>
    <row r="634" spans="1:18" x14ac:dyDescent="0.3">
      <c r="A634" s="3" t="str">
        <f>'Selbstbeurteilung Kunde'!A656</f>
        <v>13.2.d</v>
      </c>
      <c r="B634" s="6" t="str">
        <f>'Selbstbeurteilung Kunde'!C656</f>
        <v>Budgetrahmen für BGM-Projekte?</v>
      </c>
      <c r="C634" s="49">
        <f>IF(ISBLANK('Selbstbeurteilung Kunde'!D656),0,1)</f>
        <v>0</v>
      </c>
      <c r="D634" s="49" t="str">
        <f>IF(AND('Selbstbeurteilung Kunde'!D656="",'Selbstbeurteilung Kunde'!E656=""),"*","")</f>
        <v>*</v>
      </c>
      <c r="E634" s="50" t="str">
        <f>IF(ISBLANK('Selbstbeurteilung Kunde'!F656),"",'Selbstbeurteilung Kunde'!F656)</f>
        <v/>
      </c>
      <c r="F634" s="287"/>
      <c r="G634" s="287"/>
      <c r="H634" s="287"/>
      <c r="I634" s="287"/>
      <c r="J634" s="287"/>
      <c r="K634" s="287"/>
      <c r="L634" s="279"/>
      <c r="M634" s="47">
        <v>1</v>
      </c>
      <c r="N634" s="34"/>
      <c r="O634" s="35">
        <f t="shared" si="109"/>
        <v>0</v>
      </c>
      <c r="P634" s="54">
        <f t="shared" si="110"/>
        <v>0</v>
      </c>
      <c r="Q634" s="46"/>
      <c r="R634" s="34"/>
    </row>
    <row r="635" spans="1:18" ht="26.4" x14ac:dyDescent="0.3">
      <c r="A635" s="3" t="str">
        <f>'Selbstbeurteilung Kunde'!A657</f>
        <v>13.3.</v>
      </c>
      <c r="B635" s="6" t="str">
        <f>'Selbstbeurteilung Kunde'!C657</f>
        <v>Gibt es eine(n) Verantwortliche(n) oder eine Arbeitsgruppe, die BGM-Massnahmen plant und koordiniert?</v>
      </c>
      <c r="C635" s="49">
        <f>IF(ISBLANK('Selbstbeurteilung Kunde'!D657),0,1)</f>
        <v>0</v>
      </c>
      <c r="D635" s="49" t="str">
        <f>IF(AND('Selbstbeurteilung Kunde'!D657="",'Selbstbeurteilung Kunde'!E657=""),"*","")</f>
        <v>*</v>
      </c>
      <c r="E635" s="50" t="str">
        <f>IF(ISBLANK('Selbstbeurteilung Kunde'!F657),"",'Selbstbeurteilung Kunde'!F657)</f>
        <v/>
      </c>
      <c r="F635" s="287"/>
      <c r="G635" s="287"/>
      <c r="H635" s="287"/>
      <c r="I635" s="287"/>
      <c r="J635" s="287"/>
      <c r="K635" s="287"/>
      <c r="L635" s="279"/>
      <c r="M635" s="47">
        <v>1</v>
      </c>
      <c r="N635" s="34"/>
      <c r="O635" s="35">
        <f t="shared" si="109"/>
        <v>0</v>
      </c>
      <c r="P635" s="54">
        <f t="shared" si="110"/>
        <v>0</v>
      </c>
      <c r="Q635" s="46"/>
      <c r="R635" s="34"/>
    </row>
    <row r="636" spans="1:18" ht="39.6" x14ac:dyDescent="0.3">
      <c r="A636" s="3" t="str">
        <f>'Selbstbeurteilung Kunde'!A658</f>
        <v>13.4.</v>
      </c>
      <c r="B636" s="6" t="str">
        <f>'Selbstbeurteilung Kunde'!C658</f>
        <v>Verfügen diese Verantwortliche bzw. einzelne Mitglieder der Arbeitsgruppe über eine Ausbildung im Bereich BGM und Pävention?</v>
      </c>
      <c r="C636" s="49">
        <f>IF(ISBLANK('Selbstbeurteilung Kunde'!D658),0,1)</f>
        <v>0</v>
      </c>
      <c r="D636" s="49" t="str">
        <f>IF(AND('Selbstbeurteilung Kunde'!D658="",'Selbstbeurteilung Kunde'!E658=""),"*","")</f>
        <v>*</v>
      </c>
      <c r="E636" s="50" t="str">
        <f>IF(ISBLANK('Selbstbeurteilung Kunde'!F658),"",'Selbstbeurteilung Kunde'!F658)</f>
        <v/>
      </c>
      <c r="F636" s="287"/>
      <c r="G636" s="287"/>
      <c r="H636" s="287"/>
      <c r="I636" s="287"/>
      <c r="J636" s="287"/>
      <c r="K636" s="287"/>
      <c r="L636" s="279"/>
      <c r="M636" s="47">
        <v>1</v>
      </c>
      <c r="N636" s="34"/>
      <c r="O636" s="35">
        <f t="shared" si="109"/>
        <v>0</v>
      </c>
      <c r="P636" s="54">
        <f t="shared" si="110"/>
        <v>0</v>
      </c>
      <c r="Q636" s="46"/>
      <c r="R636" s="34"/>
    </row>
    <row r="637" spans="1:18" ht="52.8" x14ac:dyDescent="0.3">
      <c r="A637" s="3" t="str">
        <f>'Selbstbeurteilung Kunde'!A659</f>
        <v>13.5.</v>
      </c>
      <c r="B637" s="6" t="str">
        <f>'Selbstbeurteilung Kunde'!C659</f>
        <v>Basieren Massnahmen und Umsetzungsschwerpunkte auf einer betrieblichen Bedarfs- oder einer Bedürfnisanalyse bei den Mitarbeitenden (z.B. mittels Mitarbeiterbefragung oder durch Gesundheitszirkel)?</v>
      </c>
      <c r="C637" s="49">
        <f>IF(ISBLANK('Selbstbeurteilung Kunde'!D659),0,1)</f>
        <v>0</v>
      </c>
      <c r="D637" s="49" t="str">
        <f>IF(AND('Selbstbeurteilung Kunde'!D659="",'Selbstbeurteilung Kunde'!E659=""),"*","")</f>
        <v>*</v>
      </c>
      <c r="E637" s="50" t="str">
        <f>IF(ISBLANK('Selbstbeurteilung Kunde'!F659),"",'Selbstbeurteilung Kunde'!F659)</f>
        <v/>
      </c>
      <c r="F637" s="287"/>
      <c r="G637" s="287"/>
      <c r="H637" s="287"/>
      <c r="I637" s="287"/>
      <c r="J637" s="287"/>
      <c r="K637" s="287"/>
      <c r="L637" s="279"/>
      <c r="M637" s="47">
        <v>1</v>
      </c>
      <c r="N637" s="34"/>
      <c r="O637" s="35">
        <f t="shared" si="109"/>
        <v>0</v>
      </c>
      <c r="P637" s="54">
        <f t="shared" si="110"/>
        <v>0</v>
      </c>
      <c r="Q637" s="46"/>
      <c r="R637" s="34"/>
    </row>
    <row r="638" spans="1:18" ht="52.8" x14ac:dyDescent="0.3">
      <c r="A638" s="3" t="str">
        <f>'Selbstbeurteilung Kunde'!A660</f>
        <v>13.6.a</v>
      </c>
      <c r="B638" s="6" t="str">
        <f>'Selbstbeurteilung Kunde'!C660</f>
        <v>Werden die Mitarbeitenden in folgenden Themen mit Kursen, Workshops oder Angeboten in ihrer Eigenverantwortung im Gesundheitsverhalten unterstützt:
Genügend Bewegung / Sport?</v>
      </c>
      <c r="C638" s="49">
        <f>IF(ISBLANK('Selbstbeurteilung Kunde'!D660),0,1)</f>
        <v>0</v>
      </c>
      <c r="D638" s="49" t="str">
        <f>IF(AND('Selbstbeurteilung Kunde'!D660="",'Selbstbeurteilung Kunde'!E660=""),"*","")</f>
        <v>*</v>
      </c>
      <c r="E638" s="50" t="str">
        <f>IF(ISBLANK('Selbstbeurteilung Kunde'!F660),"",'Selbstbeurteilung Kunde'!F660)</f>
        <v/>
      </c>
      <c r="F638" s="287"/>
      <c r="G638" s="287"/>
      <c r="H638" s="287"/>
      <c r="I638" s="287"/>
      <c r="J638" s="287"/>
      <c r="K638" s="287"/>
      <c r="L638" s="279"/>
      <c r="M638" s="47">
        <v>1</v>
      </c>
      <c r="N638" s="34"/>
      <c r="O638" s="35">
        <f t="shared" si="109"/>
        <v>0</v>
      </c>
      <c r="P638" s="54">
        <f t="shared" si="110"/>
        <v>0</v>
      </c>
      <c r="Q638" s="46"/>
      <c r="R638" s="34"/>
    </row>
    <row r="639" spans="1:18" x14ac:dyDescent="0.3">
      <c r="A639" s="3" t="str">
        <f>'Selbstbeurteilung Kunde'!A661</f>
        <v>13.6.b</v>
      </c>
      <c r="B639" s="6" t="str">
        <f>'Selbstbeurteilung Kunde'!C661</f>
        <v>Ernährung / gesundes Körpergewicht?</v>
      </c>
      <c r="C639" s="49">
        <f>IF(ISBLANK('Selbstbeurteilung Kunde'!D661),0,1)</f>
        <v>0</v>
      </c>
      <c r="D639" s="49" t="str">
        <f>IF(AND('Selbstbeurteilung Kunde'!D661="",'Selbstbeurteilung Kunde'!E661=""),"*","")</f>
        <v>*</v>
      </c>
      <c r="E639" s="50" t="str">
        <f>IF(ISBLANK('Selbstbeurteilung Kunde'!F661),"",'Selbstbeurteilung Kunde'!F661)</f>
        <v/>
      </c>
      <c r="F639" s="287"/>
      <c r="G639" s="287"/>
      <c r="H639" s="287"/>
      <c r="I639" s="287"/>
      <c r="J639" s="287"/>
      <c r="K639" s="287"/>
      <c r="L639" s="279"/>
      <c r="M639" s="47">
        <v>1</v>
      </c>
      <c r="N639" s="34"/>
      <c r="O639" s="35">
        <f t="shared" si="109"/>
        <v>0</v>
      </c>
      <c r="P639" s="54">
        <f t="shared" si="110"/>
        <v>0</v>
      </c>
      <c r="Q639" s="46"/>
      <c r="R639" s="34"/>
    </row>
    <row r="640" spans="1:18" ht="39.6" x14ac:dyDescent="0.3">
      <c r="A640" s="3" t="str">
        <f>'Selbstbeurteilung Kunde'!A662</f>
        <v>13.6.c</v>
      </c>
      <c r="B640" s="6" t="str">
        <f>'Selbstbeurteilung Kunde'!C662</f>
        <v>Strategien gegen Stress und Burnout (Stressmanagement / Entspannungsmethoden und –möglichkeiten, Zeitmanagement, Umgang mit Veränderung?</v>
      </c>
      <c r="C640" s="49">
        <f>IF(ISBLANK('Selbstbeurteilung Kunde'!D662),0,1)</f>
        <v>0</v>
      </c>
      <c r="D640" s="49" t="str">
        <f>IF(AND('Selbstbeurteilung Kunde'!D662="",'Selbstbeurteilung Kunde'!E662=""),"*","")</f>
        <v>*</v>
      </c>
      <c r="E640" s="50" t="str">
        <f>IF(ISBLANK('Selbstbeurteilung Kunde'!F662),"",'Selbstbeurteilung Kunde'!F662)</f>
        <v/>
      </c>
      <c r="F640" s="287"/>
      <c r="G640" s="287"/>
      <c r="H640" s="287"/>
      <c r="I640" s="287"/>
      <c r="J640" s="287"/>
      <c r="K640" s="287"/>
      <c r="L640" s="279"/>
      <c r="M640" s="47">
        <v>1</v>
      </c>
      <c r="N640" s="34"/>
      <c r="O640" s="35">
        <f t="shared" si="109"/>
        <v>0</v>
      </c>
      <c r="P640" s="54">
        <f t="shared" si="110"/>
        <v>0</v>
      </c>
      <c r="Q640" s="46"/>
      <c r="R640" s="34"/>
    </row>
    <row r="641" spans="1:18" ht="26.4" x14ac:dyDescent="0.3">
      <c r="A641" s="3" t="str">
        <f>'Selbstbeurteilung Kunde'!A663</f>
        <v>13.6.d</v>
      </c>
      <c r="B641" s="6" t="str">
        <f>'Selbstbeurteilung Kunde'!C663</f>
        <v>Umgang mit besonderen organisatorischen Rahmenbedingungen wie Schicht-/ Nachtarbeit?</v>
      </c>
      <c r="C641" s="49">
        <f>IF(ISBLANK('Selbstbeurteilung Kunde'!D663),0,1)</f>
        <v>0</v>
      </c>
      <c r="D641" s="49" t="str">
        <f>IF(AND('Selbstbeurteilung Kunde'!D663="",'Selbstbeurteilung Kunde'!E663=""),"*","")</f>
        <v>*</v>
      </c>
      <c r="E641" s="50" t="str">
        <f>IF(ISBLANK('Selbstbeurteilung Kunde'!F663),"",'Selbstbeurteilung Kunde'!F663)</f>
        <v/>
      </c>
      <c r="F641" s="287"/>
      <c r="G641" s="287"/>
      <c r="H641" s="287"/>
      <c r="I641" s="287"/>
      <c r="J641" s="287"/>
      <c r="K641" s="287"/>
      <c r="L641" s="279"/>
      <c r="M641" s="47">
        <v>1</v>
      </c>
      <c r="N641" s="34"/>
      <c r="O641" s="35">
        <f t="shared" si="109"/>
        <v>0</v>
      </c>
      <c r="P641" s="54">
        <f t="shared" si="110"/>
        <v>0</v>
      </c>
      <c r="Q641" s="46"/>
      <c r="R641" s="34"/>
    </row>
    <row r="642" spans="1:18" x14ac:dyDescent="0.3">
      <c r="A642" s="3" t="str">
        <f>'Selbstbeurteilung Kunde'!A664</f>
        <v>13.6.e</v>
      </c>
      <c r="B642" s="6" t="str">
        <f>'Selbstbeurteilung Kunde'!C664</f>
        <v>Work-Life Balance?</v>
      </c>
      <c r="C642" s="49">
        <f>IF(ISBLANK('Selbstbeurteilung Kunde'!D664),0,1)</f>
        <v>0</v>
      </c>
      <c r="D642" s="49" t="str">
        <f>IF(AND('Selbstbeurteilung Kunde'!D664="",'Selbstbeurteilung Kunde'!E664=""),"*","")</f>
        <v>*</v>
      </c>
      <c r="E642" s="50" t="str">
        <f>IF(ISBLANK('Selbstbeurteilung Kunde'!F664),"",'Selbstbeurteilung Kunde'!F664)</f>
        <v/>
      </c>
      <c r="F642" s="287"/>
      <c r="G642" s="287"/>
      <c r="H642" s="287"/>
      <c r="I642" s="287"/>
      <c r="J642" s="287"/>
      <c r="K642" s="287"/>
      <c r="L642" s="279"/>
      <c r="M642" s="47">
        <v>1</v>
      </c>
      <c r="N642" s="34"/>
      <c r="O642" s="35">
        <f t="shared" si="109"/>
        <v>0</v>
      </c>
      <c r="P642" s="54">
        <f t="shared" ref="P642" si="111">L642*M642</f>
        <v>0</v>
      </c>
      <c r="Q642" s="46"/>
      <c r="R642" s="34"/>
    </row>
    <row r="643" spans="1:18" x14ac:dyDescent="0.3">
      <c r="A643" s="3" t="str">
        <f>'Selbstbeurteilung Kunde'!A665</f>
        <v>13.6.f</v>
      </c>
      <c r="B643" s="6" t="str">
        <f>'Selbstbeurteilung Kunde'!C665</f>
        <v>Schlaf und Erholung?</v>
      </c>
      <c r="C643" s="49">
        <f>IF(ISBLANK('Selbstbeurteilung Kunde'!D665),0,1)</f>
        <v>0</v>
      </c>
      <c r="D643" s="49" t="str">
        <f>IF(AND('Selbstbeurteilung Kunde'!D665="",'Selbstbeurteilung Kunde'!E665=""),"*","")</f>
        <v>*</v>
      </c>
      <c r="E643" s="50" t="str">
        <f>IF(ISBLANK('Selbstbeurteilung Kunde'!F665),"",'Selbstbeurteilung Kunde'!F665)</f>
        <v/>
      </c>
      <c r="F643" s="287"/>
      <c r="G643" s="287"/>
      <c r="H643" s="287"/>
      <c r="I643" s="287"/>
      <c r="J643" s="287"/>
      <c r="K643" s="287"/>
      <c r="L643" s="279"/>
      <c r="M643" s="47">
        <v>1</v>
      </c>
      <c r="N643" s="34"/>
      <c r="O643" s="35">
        <f t="shared" si="109"/>
        <v>0</v>
      </c>
      <c r="P643" s="54">
        <f t="shared" si="110"/>
        <v>0</v>
      </c>
      <c r="Q643" s="46"/>
      <c r="R643" s="34"/>
    </row>
    <row r="644" spans="1:18" x14ac:dyDescent="0.3">
      <c r="A644" s="3" t="str">
        <f>'Selbstbeurteilung Kunde'!A666</f>
        <v>13.6.g</v>
      </c>
      <c r="B644" s="6" t="str">
        <f>'Selbstbeurteilung Kunde'!C666</f>
        <v>Suchtprävention?</v>
      </c>
      <c r="C644" s="49">
        <f>IF(ISBLANK('Selbstbeurteilung Kunde'!D666),0,1)</f>
        <v>0</v>
      </c>
      <c r="D644" s="49" t="str">
        <f>IF(AND('Selbstbeurteilung Kunde'!D666="",'Selbstbeurteilung Kunde'!E666=""),"*","")</f>
        <v>*</v>
      </c>
      <c r="E644" s="50" t="str">
        <f>IF(ISBLANK('Selbstbeurteilung Kunde'!F666),"",'Selbstbeurteilung Kunde'!F666)</f>
        <v/>
      </c>
      <c r="F644" s="287"/>
      <c r="G644" s="287"/>
      <c r="H644" s="287"/>
      <c r="I644" s="287"/>
      <c r="J644" s="287"/>
      <c r="K644" s="287"/>
      <c r="L644" s="279"/>
      <c r="M644" s="47">
        <v>1</v>
      </c>
      <c r="N644" s="34"/>
      <c r="O644" s="35">
        <f t="shared" si="109"/>
        <v>0</v>
      </c>
      <c r="P644" s="54">
        <f t="shared" si="110"/>
        <v>0</v>
      </c>
      <c r="Q644" s="46"/>
      <c r="R644" s="34"/>
    </row>
    <row r="645" spans="1:18" ht="79.2" x14ac:dyDescent="0.3">
      <c r="A645" s="3" t="str">
        <f>'Selbstbeurteilung Kunde'!A668</f>
        <v>13.7.a</v>
      </c>
      <c r="B645" s="6" t="str">
        <f>'Selbstbeurteilung Kunde'!C668</f>
        <v>Werden folgende arbeitsbezogenen Ressourcen gefördert:
Führungsschulungen (Bedeutung/Rolle der Führungskräfte im BGM, Pflege einer Anerkennungs- und Wertschätzungskultur, Förderung der Teamzusammenarbeit, Vorgehen im Konflikt- oder Suchtfall etc.)?</v>
      </c>
      <c r="C645" s="49">
        <f>IF(ISBLANK('Selbstbeurteilung Kunde'!D668),0,1)</f>
        <v>0</v>
      </c>
      <c r="D645" s="49" t="str">
        <f>IF(AND('Selbstbeurteilung Kunde'!D668="",'Selbstbeurteilung Kunde'!E668=""),"*","")</f>
        <v>*</v>
      </c>
      <c r="E645" s="50" t="str">
        <f>IF(ISBLANK('Selbstbeurteilung Kunde'!F668),"",'Selbstbeurteilung Kunde'!F668)</f>
        <v/>
      </c>
      <c r="F645" s="287"/>
      <c r="G645" s="287"/>
      <c r="H645" s="287"/>
      <c r="I645" s="287"/>
      <c r="J645" s="287"/>
      <c r="K645" s="287"/>
      <c r="L645" s="279"/>
      <c r="M645" s="47">
        <v>1</v>
      </c>
      <c r="N645" s="34"/>
      <c r="O645" s="35">
        <f t="shared" si="109"/>
        <v>0</v>
      </c>
      <c r="P645" s="54">
        <f t="shared" si="110"/>
        <v>0</v>
      </c>
      <c r="Q645" s="46"/>
      <c r="R645" s="34"/>
    </row>
    <row r="646" spans="1:18" ht="39.6" x14ac:dyDescent="0.3">
      <c r="A646" s="3" t="str">
        <f>'Selbstbeurteilung Kunde'!A669</f>
        <v>13.7.b</v>
      </c>
      <c r="B646" s="6" t="str">
        <f>'Selbstbeurteilung Kunde'!C669</f>
        <v>Gesundheitsbezogene Infrastruktur wie Aufenthaltsräume, Pausenräume, Verpflegungsmöglichkeiten, Duschen, Ruheräume?</v>
      </c>
      <c r="C646" s="49">
        <f>IF(ISBLANK('Selbstbeurteilung Kunde'!D669),0,1)</f>
        <v>0</v>
      </c>
      <c r="D646" s="49" t="str">
        <f>IF(AND('Selbstbeurteilung Kunde'!D669="",'Selbstbeurteilung Kunde'!E669=""),"*","")</f>
        <v>*</v>
      </c>
      <c r="E646" s="50" t="str">
        <f>IF(ISBLANK('Selbstbeurteilung Kunde'!F669),"",'Selbstbeurteilung Kunde'!F669)</f>
        <v/>
      </c>
      <c r="F646" s="287"/>
      <c r="G646" s="287"/>
      <c r="H646" s="287"/>
      <c r="I646" s="287"/>
      <c r="J646" s="287"/>
      <c r="K646" s="287"/>
      <c r="L646" s="279"/>
      <c r="M646" s="47">
        <v>1</v>
      </c>
      <c r="N646" s="34"/>
      <c r="O646" s="35">
        <f t="shared" si="109"/>
        <v>0</v>
      </c>
      <c r="P646" s="54">
        <f t="shared" si="110"/>
        <v>0</v>
      </c>
      <c r="Q646" s="46"/>
      <c r="R646" s="34"/>
    </row>
    <row r="647" spans="1:18" ht="52.8" x14ac:dyDescent="0.3">
      <c r="A647" s="3" t="str">
        <f>'Selbstbeurteilung Kunde'!A670</f>
        <v>13.7.c</v>
      </c>
      <c r="B647" s="6" t="str">
        <f>'Selbstbeurteilung Kunde'!C670</f>
        <v>Gesundheitsförderliche und ergonomische Gestaltung von Arbeitsräumen und Arbeitsplätzen z.B. periodische Überprüfung und systematische Beurteilung bei Veränderungen und Neubeschaffungen?</v>
      </c>
      <c r="C647" s="49">
        <f>IF(ISBLANK('Selbstbeurteilung Kunde'!D670),0,1)</f>
        <v>0</v>
      </c>
      <c r="D647" s="49" t="str">
        <f>IF(AND('Selbstbeurteilung Kunde'!D670="",'Selbstbeurteilung Kunde'!E670=""),"*","")</f>
        <v>*</v>
      </c>
      <c r="E647" s="50" t="str">
        <f>IF(ISBLANK('Selbstbeurteilung Kunde'!F670),"",'Selbstbeurteilung Kunde'!F670)</f>
        <v/>
      </c>
      <c r="F647" s="287"/>
      <c r="G647" s="287"/>
      <c r="H647" s="287"/>
      <c r="I647" s="287"/>
      <c r="J647" s="287"/>
      <c r="K647" s="287"/>
      <c r="L647" s="279"/>
      <c r="M647" s="47">
        <v>1</v>
      </c>
      <c r="N647" s="34"/>
      <c r="O647" s="35">
        <f t="shared" si="109"/>
        <v>0</v>
      </c>
      <c r="P647" s="54">
        <f t="shared" si="110"/>
        <v>0</v>
      </c>
      <c r="Q647" s="46"/>
      <c r="R647" s="34"/>
    </row>
    <row r="648" spans="1:18" ht="39.6" x14ac:dyDescent="0.3">
      <c r="A648" s="3" t="str">
        <f>'Selbstbeurteilung Kunde'!A671</f>
        <v>13.7.d</v>
      </c>
      <c r="B648" s="6" t="str">
        <f>'Selbstbeurteilung Kunde'!C671</f>
        <v>Schulung zu körperschonender Haltung und Verhalten bei der Arbeit z.B. durch Schulung zu richtig heben &amp; tragen von Lasten, Bildschirmergonomie?</v>
      </c>
      <c r="C648" s="49">
        <f>IF(ISBLANK('Selbstbeurteilung Kunde'!D671),0,1)</f>
        <v>0</v>
      </c>
      <c r="D648" s="49" t="str">
        <f>IF(AND('Selbstbeurteilung Kunde'!D671="",'Selbstbeurteilung Kunde'!E671=""),"*","")</f>
        <v>*</v>
      </c>
      <c r="E648" s="50" t="str">
        <f>IF(ISBLANK('Selbstbeurteilung Kunde'!F671),"",'Selbstbeurteilung Kunde'!F671)</f>
        <v/>
      </c>
      <c r="F648" s="287"/>
      <c r="G648" s="287"/>
      <c r="H648" s="287"/>
      <c r="I648" s="287"/>
      <c r="J648" s="287"/>
      <c r="K648" s="287"/>
      <c r="L648" s="279"/>
      <c r="M648" s="47">
        <v>1</v>
      </c>
      <c r="N648" s="34"/>
      <c r="O648" s="35">
        <f t="shared" si="109"/>
        <v>0</v>
      </c>
      <c r="P648" s="54">
        <f t="shared" si="110"/>
        <v>0</v>
      </c>
      <c r="Q648" s="46"/>
      <c r="R648" s="34"/>
    </row>
    <row r="649" spans="1:18" ht="26.4" x14ac:dyDescent="0.3">
      <c r="A649" s="3" t="str">
        <f>'Selbstbeurteilung Kunde'!A672</f>
        <v>13.7.e</v>
      </c>
      <c r="B649" s="6" t="str">
        <f>'Selbstbeurteilung Kunde'!C672</f>
        <v>Integration neuer Mitarbeiter/innen (z.B. durch ein systematisches Einführungskonzept, Göttisystem)?</v>
      </c>
      <c r="C649" s="49">
        <f>IF(ISBLANK('Selbstbeurteilung Kunde'!D672),0,1)</f>
        <v>0</v>
      </c>
      <c r="D649" s="49" t="str">
        <f>IF(AND('Selbstbeurteilung Kunde'!D672="",'Selbstbeurteilung Kunde'!E672=""),"*","")</f>
        <v>*</v>
      </c>
      <c r="E649" s="50" t="str">
        <f>IF(ISBLANK('Selbstbeurteilung Kunde'!F672),"",'Selbstbeurteilung Kunde'!F672)</f>
        <v/>
      </c>
      <c r="F649" s="287"/>
      <c r="G649" s="287"/>
      <c r="H649" s="287"/>
      <c r="I649" s="287"/>
      <c r="J649" s="287"/>
      <c r="K649" s="287"/>
      <c r="L649" s="279"/>
      <c r="M649" s="47">
        <v>1</v>
      </c>
      <c r="N649" s="34"/>
      <c r="O649" s="35">
        <f t="shared" si="109"/>
        <v>0</v>
      </c>
      <c r="P649" s="54">
        <f t="shared" si="110"/>
        <v>0</v>
      </c>
      <c r="Q649" s="46"/>
      <c r="R649" s="34"/>
    </row>
    <row r="650" spans="1:18" ht="26.4" x14ac:dyDescent="0.3">
      <c r="A650" s="3" t="str">
        <f>'Selbstbeurteilung Kunde'!A673</f>
        <v>13.7.f</v>
      </c>
      <c r="B650" s="6" t="str">
        <f>'Selbstbeurteilung Kunde'!C673</f>
        <v>Regelmässige Weiterbildung auch in Persönlichkeits- und Sozialkompetenz?</v>
      </c>
      <c r="C650" s="49">
        <f>IF(ISBLANK('Selbstbeurteilung Kunde'!D673),0,1)</f>
        <v>0</v>
      </c>
      <c r="D650" s="49" t="str">
        <f>IF(AND('Selbstbeurteilung Kunde'!D673="",'Selbstbeurteilung Kunde'!E673=""),"*","")</f>
        <v>*</v>
      </c>
      <c r="E650" s="50" t="str">
        <f>IF(ISBLANK('Selbstbeurteilung Kunde'!F673),"",'Selbstbeurteilung Kunde'!F673)</f>
        <v/>
      </c>
      <c r="F650" s="287"/>
      <c r="G650" s="287"/>
      <c r="H650" s="287"/>
      <c r="I650" s="287"/>
      <c r="J650" s="287"/>
      <c r="K650" s="287"/>
      <c r="L650" s="279"/>
      <c r="M650" s="47">
        <v>1</v>
      </c>
      <c r="N650" s="34"/>
      <c r="O650" s="35">
        <f t="shared" si="109"/>
        <v>0</v>
      </c>
      <c r="P650" s="54">
        <f t="shared" si="110"/>
        <v>0</v>
      </c>
      <c r="Q650" s="46"/>
      <c r="R650" s="34"/>
    </row>
    <row r="651" spans="1:18" ht="39.6" x14ac:dyDescent="0.3">
      <c r="A651" s="3" t="str">
        <f>'Selbstbeurteilung Kunde'!A674</f>
        <v>13.7.g</v>
      </c>
      <c r="B651" s="6" t="str">
        <f>'Selbstbeurteilung Kunde'!C674</f>
        <v>Förderung der guten Zusammenarbeit im Team (gemeinsame Projekte, Teamsitzungen, informelle Anlässe)?</v>
      </c>
      <c r="C651" s="49">
        <f>IF(ISBLANK('Selbstbeurteilung Kunde'!D674),0,1)</f>
        <v>0</v>
      </c>
      <c r="D651" s="49" t="str">
        <f>IF(AND('Selbstbeurteilung Kunde'!D674="",'Selbstbeurteilung Kunde'!E674=""),"*","")</f>
        <v>*</v>
      </c>
      <c r="E651" s="50" t="str">
        <f>IF(ISBLANK('Selbstbeurteilung Kunde'!F674),"",'Selbstbeurteilung Kunde'!F674)</f>
        <v/>
      </c>
      <c r="F651" s="287"/>
      <c r="G651" s="287"/>
      <c r="H651" s="287"/>
      <c r="I651" s="287"/>
      <c r="J651" s="287"/>
      <c r="K651" s="287"/>
      <c r="L651" s="279"/>
      <c r="M651" s="47">
        <v>1</v>
      </c>
      <c r="N651" s="34"/>
      <c r="O651" s="35">
        <f t="shared" si="109"/>
        <v>0</v>
      </c>
      <c r="P651" s="54">
        <f t="shared" si="110"/>
        <v>0</v>
      </c>
      <c r="Q651" s="46"/>
      <c r="R651" s="34"/>
    </row>
    <row r="652" spans="1:18" ht="26.4" x14ac:dyDescent="0.3">
      <c r="A652" s="3" t="str">
        <f>'Selbstbeurteilung Kunde'!A675</f>
        <v>13.7.h</v>
      </c>
      <c r="B652" s="6" t="str">
        <f>'Selbstbeurteilung Kunde'!C675</f>
        <v>Förderung der abteilungs- und hierarchieübergreifenden Zusammenarbeit und Kommunikation?</v>
      </c>
      <c r="C652" s="49">
        <f>IF(ISBLANK('Selbstbeurteilung Kunde'!D675),0,1)</f>
        <v>0</v>
      </c>
      <c r="D652" s="49" t="str">
        <f>IF(AND('Selbstbeurteilung Kunde'!D675="",'Selbstbeurteilung Kunde'!E675=""),"*","")</f>
        <v>*</v>
      </c>
      <c r="E652" s="50" t="str">
        <f>IF(ISBLANK('Selbstbeurteilung Kunde'!F675),"",'Selbstbeurteilung Kunde'!F675)</f>
        <v/>
      </c>
      <c r="F652" s="287"/>
      <c r="G652" s="287"/>
      <c r="H652" s="287"/>
      <c r="I652" s="287"/>
      <c r="J652" s="287"/>
      <c r="K652" s="287"/>
      <c r="L652" s="279"/>
      <c r="M652" s="47">
        <v>1</v>
      </c>
      <c r="N652" s="34"/>
      <c r="O652" s="35">
        <f t="shared" si="109"/>
        <v>0</v>
      </c>
      <c r="P652" s="54">
        <f t="shared" si="110"/>
        <v>0</v>
      </c>
      <c r="Q652" s="46"/>
      <c r="R652" s="34"/>
    </row>
    <row r="653" spans="1:18" ht="26.4" x14ac:dyDescent="0.3">
      <c r="A653" s="3" t="str">
        <f>'Selbstbeurteilung Kunde'!A676</f>
        <v>13.7.i</v>
      </c>
      <c r="B653" s="6" t="str">
        <f>'Selbstbeurteilung Kunde'!C676</f>
        <v>Angebote und Massnahmen zur Vereinbarkeit von Beruf, Familie/ Freizeit?</v>
      </c>
      <c r="C653" s="49">
        <f>IF(ISBLANK('Selbstbeurteilung Kunde'!D676),0,1)</f>
        <v>0</v>
      </c>
      <c r="D653" s="49" t="str">
        <f>IF(AND('Selbstbeurteilung Kunde'!D676="",'Selbstbeurteilung Kunde'!E676=""),"*","")</f>
        <v>*</v>
      </c>
      <c r="E653" s="50" t="str">
        <f>IF(ISBLANK('Selbstbeurteilung Kunde'!F676),"",'Selbstbeurteilung Kunde'!F676)</f>
        <v/>
      </c>
      <c r="F653" s="287"/>
      <c r="G653" s="287"/>
      <c r="H653" s="287"/>
      <c r="I653" s="287"/>
      <c r="J653" s="287"/>
      <c r="K653" s="287"/>
      <c r="L653" s="279"/>
      <c r="M653" s="47">
        <v>1</v>
      </c>
      <c r="N653" s="34"/>
      <c r="O653" s="35">
        <f t="shared" si="109"/>
        <v>0</v>
      </c>
      <c r="P653" s="54">
        <f t="shared" si="110"/>
        <v>0</v>
      </c>
      <c r="Q653" s="46"/>
      <c r="R653" s="34"/>
    </row>
    <row r="654" spans="1:18" ht="26.4" x14ac:dyDescent="0.3">
      <c r="A654" s="3" t="str">
        <f>'Selbstbeurteilung Kunde'!A677</f>
        <v>13.7.j</v>
      </c>
      <c r="B654" s="6" t="str">
        <f>'Selbstbeurteilung Kunde'!C677</f>
        <v>Angebot einer neutralen Ansprechstelle in Konfliktsituationen oder bei persönlichen Problemen?</v>
      </c>
      <c r="C654" s="49">
        <f>IF(ISBLANK('Selbstbeurteilung Kunde'!D677),0,1)</f>
        <v>0</v>
      </c>
      <c r="D654" s="49" t="str">
        <f>IF(AND('Selbstbeurteilung Kunde'!D677="",'Selbstbeurteilung Kunde'!E677=""),"*","")</f>
        <v>*</v>
      </c>
      <c r="E654" s="50" t="str">
        <f>IF(ISBLANK('Selbstbeurteilung Kunde'!F677),"",'Selbstbeurteilung Kunde'!F677)</f>
        <v/>
      </c>
      <c r="F654" s="287"/>
      <c r="G654" s="287"/>
      <c r="H654" s="287"/>
      <c r="I654" s="287"/>
      <c r="J654" s="287"/>
      <c r="K654" s="287"/>
      <c r="L654" s="279"/>
      <c r="M654" s="47">
        <v>1</v>
      </c>
      <c r="N654" s="34"/>
      <c r="O654" s="35">
        <f t="shared" si="109"/>
        <v>0</v>
      </c>
      <c r="P654" s="54">
        <f t="shared" ref="P654:P656" si="112">L654*M654</f>
        <v>0</v>
      </c>
      <c r="Q654" s="46"/>
      <c r="R654" s="34"/>
    </row>
    <row r="655" spans="1:18" ht="39.6" x14ac:dyDescent="0.3">
      <c r="A655" s="3" t="str">
        <f>'Selbstbeurteilung Kunde'!A678</f>
        <v>13.8.</v>
      </c>
      <c r="B655" s="6" t="str">
        <f>'Selbstbeurteilung Kunde'!C678</f>
        <v>Werden im Unternehmen aktuell BGM-Projekte durchgeführt? 
Wenn ja, seit wann und zu welchen Themen?</v>
      </c>
      <c r="C655" s="49">
        <f>IF(ISBLANK('Selbstbeurteilung Kunde'!D678),0,1)</f>
        <v>0</v>
      </c>
      <c r="D655" s="49" t="str">
        <f>IF(AND('Selbstbeurteilung Kunde'!D678="",'Selbstbeurteilung Kunde'!E678=""),"*","")</f>
        <v>*</v>
      </c>
      <c r="E655" s="50" t="str">
        <f>IF(ISBLANK('Selbstbeurteilung Kunde'!F678),"",'Selbstbeurteilung Kunde'!F678)</f>
        <v/>
      </c>
      <c r="F655" s="287"/>
      <c r="G655" s="287"/>
      <c r="H655" s="287"/>
      <c r="I655" s="287"/>
      <c r="J655" s="287"/>
      <c r="K655" s="287"/>
      <c r="L655" s="279"/>
      <c r="M655" s="47">
        <v>1</v>
      </c>
      <c r="N655" s="34"/>
      <c r="O655" s="35">
        <f t="shared" si="109"/>
        <v>0</v>
      </c>
      <c r="P655" s="54">
        <f t="shared" si="112"/>
        <v>0</v>
      </c>
      <c r="Q655" s="46"/>
      <c r="R655" s="34"/>
    </row>
    <row r="656" spans="1:18" ht="39.6" x14ac:dyDescent="0.3">
      <c r="A656" s="3" t="str">
        <f>'Selbstbeurteilung Kunde'!A679</f>
        <v>13.9.</v>
      </c>
      <c r="B656" s="6" t="str">
        <f>'Selbstbeurteilung Kunde'!C679</f>
        <v>Wird die Qualität und Wirkung der Massnahmen und der Projekte im BGM evaluiert und Konsequenzen für künftige Massnahmen/Projekte abgeleitet?</v>
      </c>
      <c r="C656" s="49">
        <f>IF(ISBLANK('Selbstbeurteilung Kunde'!D679),0,1)</f>
        <v>0</v>
      </c>
      <c r="D656" s="49" t="str">
        <f>IF(AND('Selbstbeurteilung Kunde'!D679="",'Selbstbeurteilung Kunde'!E679=""),"*","")</f>
        <v>*</v>
      </c>
      <c r="E656" s="50" t="str">
        <f>IF(ISBLANK('Selbstbeurteilung Kunde'!F679),"",'Selbstbeurteilung Kunde'!F679)</f>
        <v/>
      </c>
      <c r="F656" s="287"/>
      <c r="G656" s="287"/>
      <c r="H656" s="287"/>
      <c r="I656" s="287"/>
      <c r="J656" s="287"/>
      <c r="K656" s="287"/>
      <c r="L656" s="279"/>
      <c r="M656" s="47">
        <v>1</v>
      </c>
      <c r="N656" s="34"/>
      <c r="O656" s="35">
        <f t="shared" si="109"/>
        <v>0</v>
      </c>
      <c r="P656" s="54">
        <f t="shared" si="112"/>
        <v>0</v>
      </c>
      <c r="Q656" s="46"/>
      <c r="R656" s="34"/>
    </row>
    <row r="657" spans="1:21" x14ac:dyDescent="0.3">
      <c r="A657" s="44" t="str">
        <f>'Selbstbeurteilung Kunde'!A681</f>
        <v>14</v>
      </c>
      <c r="B657" s="7" t="str">
        <f>'Selbstbeurteilung Kunde'!B681</f>
        <v>Erweiterung für ISO 45001 (Fakultativ)</v>
      </c>
      <c r="C657" s="40">
        <f>O657/N657</f>
        <v>0</v>
      </c>
      <c r="D657" s="40"/>
      <c r="E657" s="36"/>
      <c r="F657" s="25"/>
      <c r="G657" s="25"/>
      <c r="H657" s="25"/>
      <c r="I657" s="25"/>
      <c r="J657" s="25"/>
      <c r="K657" s="25"/>
      <c r="L657" s="281">
        <f>P657/N657</f>
        <v>0</v>
      </c>
      <c r="M657" s="5"/>
      <c r="N657" s="5">
        <f>SUM(M658,M662,M664,M667,M669, M673,M675)</f>
        <v>7</v>
      </c>
      <c r="O657" s="4">
        <f>SUM(Q658:Q679)</f>
        <v>0</v>
      </c>
      <c r="P657" s="4">
        <f>SUM(R658:R679)</f>
        <v>0</v>
      </c>
      <c r="Q657" s="45"/>
      <c r="R657" s="45"/>
    </row>
    <row r="658" spans="1:21" ht="37.5" customHeight="1" x14ac:dyDescent="0.3">
      <c r="A658" s="27" t="str">
        <f>'Selbstbeurteilung Kunde'!A685</f>
        <v>14.1.</v>
      </c>
      <c r="B658" s="27" t="str">
        <f>'Selbstbeurteilung Kunde'!B685</f>
        <v>Verstehen der Erfordernisse und Erwartungen von Beschäftigten und anderen interessierten Parteien (4.2)</v>
      </c>
      <c r="C658" s="28">
        <f>O658/N658</f>
        <v>0</v>
      </c>
      <c r="D658" s="350"/>
      <c r="E658" s="37"/>
      <c r="F658" s="282"/>
      <c r="G658" s="282"/>
      <c r="H658" s="282"/>
      <c r="I658" s="282"/>
      <c r="J658" s="282"/>
      <c r="K658" s="282"/>
      <c r="L658" s="63">
        <f>P658/N658</f>
        <v>0</v>
      </c>
      <c r="M658" s="29">
        <v>1</v>
      </c>
      <c r="N658" s="29">
        <f>SUM(M659:M661)</f>
        <v>3</v>
      </c>
      <c r="O658" s="31">
        <f>SUM(O659:O661)</f>
        <v>0</v>
      </c>
      <c r="P658" s="31">
        <f>SUM(P659:P661)</f>
        <v>0</v>
      </c>
      <c r="Q658" s="65">
        <f>O658/$N658*$M658</f>
        <v>0</v>
      </c>
      <c r="R658" s="65">
        <f>P658/$N658*$M658</f>
        <v>0</v>
      </c>
    </row>
    <row r="659" spans="1:21" ht="82.5" customHeight="1" x14ac:dyDescent="0.3">
      <c r="A659" s="3" t="str">
        <f>'Selbstbeurteilung Kunde'!A686</f>
        <v>14.1.1.</v>
      </c>
      <c r="B659" s="6" t="str">
        <f>'Selbstbeurteilung Kunde'!C686</f>
        <v>Sind die interessierten Parteien, die zusätzlich zu ihren Beschäftigten für ihr Sicherheits- und Gesundheitsmanegementsystem relevant sind, bestimmt?  (z.B. Behörden,  Lieferanten, Arbeitnehmerorganisationen, Besucher, allgemeine Öffentlichkeit, Kunden, Medien, Nichtregierungsorganisationen (NGO))</v>
      </c>
      <c r="C659" s="49">
        <f>IF(ISBLANK('Selbstbeurteilung Kunde'!D686),0,1)</f>
        <v>0</v>
      </c>
      <c r="D659" s="49" t="str">
        <f>IF(AND('Selbstbeurteilung Kunde'!D686="",'Selbstbeurteilung Kunde'!E686=""),"*","")</f>
        <v>*</v>
      </c>
      <c r="E659" s="50" t="str">
        <f>IF(ISBLANK('Selbstbeurteilung Kunde'!F686),"",'Selbstbeurteilung Kunde'!F686)</f>
        <v/>
      </c>
      <c r="F659" s="287"/>
      <c r="G659" s="287"/>
      <c r="H659" s="287"/>
      <c r="I659" s="287"/>
      <c r="J659" s="287"/>
      <c r="K659" s="287"/>
      <c r="L659" s="279"/>
      <c r="M659" s="47">
        <v>1</v>
      </c>
      <c r="N659" s="34"/>
      <c r="O659" s="35">
        <f>C659*M659</f>
        <v>0</v>
      </c>
      <c r="P659" s="54">
        <f t="shared" ref="P659" si="113">L659*M659</f>
        <v>0</v>
      </c>
      <c r="Q659" s="46"/>
      <c r="R659" s="34"/>
    </row>
    <row r="660" spans="1:21" ht="92.4" x14ac:dyDescent="0.3">
      <c r="A660" s="3" t="str">
        <f>'Selbstbeurteilung Kunde'!A687</f>
        <v>14.1.2.</v>
      </c>
      <c r="B660" s="6" t="str">
        <f>'Selbstbeurteilung Kunde'!C687</f>
        <v>Sind die relevanten Erfordernisse und Erwartungen (Anforderungen) von Beschäftigten als auch weiteren interessierten Parteien bestimmt? (z.B. Tabelle mit Beschäftigten und relevanten interessierten Parteien bezogen auf das SGA-MS mit ermittelten Anforderungen und Erwartungen, Chancen und Risiken und Zielsetzungen/Massnahmen)</v>
      </c>
      <c r="C660" s="49">
        <f>IF(ISBLANK('Selbstbeurteilung Kunde'!D687),0,1)</f>
        <v>0</v>
      </c>
      <c r="D660" s="49" t="str">
        <f>IF(AND('Selbstbeurteilung Kunde'!D687="",'Selbstbeurteilung Kunde'!E687=""),"*","")</f>
        <v>*</v>
      </c>
      <c r="E660" s="50" t="str">
        <f>IF(ISBLANK('Selbstbeurteilung Kunde'!F687),"",'Selbstbeurteilung Kunde'!F687)</f>
        <v/>
      </c>
      <c r="F660" s="287"/>
      <c r="G660" s="287"/>
      <c r="H660" s="287"/>
      <c r="I660" s="287"/>
      <c r="J660" s="287"/>
      <c r="K660" s="287"/>
      <c r="L660" s="279"/>
      <c r="M660" s="47">
        <v>1</v>
      </c>
      <c r="N660" s="34"/>
      <c r="O660" s="35">
        <f t="shared" ref="O660:O661" si="114">C660*M660</f>
        <v>0</v>
      </c>
      <c r="P660" s="54">
        <f t="shared" ref="P660:P661" si="115">L660*M660</f>
        <v>0</v>
      </c>
      <c r="Q660" s="46"/>
      <c r="R660" s="34"/>
    </row>
    <row r="661" spans="1:21" ht="26.4" x14ac:dyDescent="0.3">
      <c r="A661" s="3" t="str">
        <f>'Selbstbeurteilung Kunde'!A688</f>
        <v>14.1.3.</v>
      </c>
      <c r="B661" s="6" t="str">
        <f>'Selbstbeurteilung Kunde'!C688</f>
        <v>Werden die relevanten Erfordernisse und Erwartungen bewertet und überwacht?</v>
      </c>
      <c r="C661" s="49">
        <f>IF(ISBLANK('Selbstbeurteilung Kunde'!D688),0,1)</f>
        <v>0</v>
      </c>
      <c r="D661" s="49" t="str">
        <f>IF(AND('Selbstbeurteilung Kunde'!D688="",'Selbstbeurteilung Kunde'!E688=""),"*","")</f>
        <v>*</v>
      </c>
      <c r="E661" s="50" t="str">
        <f>IF(ISBLANK('Selbstbeurteilung Kunde'!F688),"",'Selbstbeurteilung Kunde'!F688)</f>
        <v/>
      </c>
      <c r="F661" s="287"/>
      <c r="G661" s="287"/>
      <c r="H661" s="287"/>
      <c r="I661" s="287"/>
      <c r="J661" s="287"/>
      <c r="K661" s="287"/>
      <c r="L661" s="279"/>
      <c r="M661" s="47">
        <v>1</v>
      </c>
      <c r="N661" s="34"/>
      <c r="O661" s="35">
        <f t="shared" si="114"/>
        <v>0</v>
      </c>
      <c r="P661" s="54">
        <f t="shared" si="115"/>
        <v>0</v>
      </c>
      <c r="Q661" s="46"/>
      <c r="R661" s="34"/>
    </row>
    <row r="662" spans="1:21" x14ac:dyDescent="0.3">
      <c r="A662" s="27" t="str">
        <f>'Selbstbeurteilung Kunde'!A689</f>
        <v>14.2.</v>
      </c>
      <c r="B662" s="27" t="str">
        <f>'Selbstbeurteilung Kunde'!B689</f>
        <v>SGA-Managementsystem (4.4.)</v>
      </c>
      <c r="C662" s="28">
        <f>O662/N662</f>
        <v>0</v>
      </c>
      <c r="D662" s="350"/>
      <c r="E662" s="37"/>
      <c r="F662" s="37"/>
      <c r="G662" s="37"/>
      <c r="H662" s="37"/>
      <c r="I662" s="37"/>
      <c r="J662" s="37"/>
      <c r="K662" s="37"/>
      <c r="L662" s="63">
        <f>P662/N662</f>
        <v>0</v>
      </c>
      <c r="M662" s="29">
        <v>1</v>
      </c>
      <c r="N662" s="29">
        <f>SUM(M663:M663)</f>
        <v>1</v>
      </c>
      <c r="O662" s="31">
        <f>SUM(O663:O663)</f>
        <v>0</v>
      </c>
      <c r="P662" s="31">
        <f>SUM(P663:P663)</f>
        <v>0</v>
      </c>
      <c r="Q662" s="65">
        <f>O662/$N662*$M662</f>
        <v>0</v>
      </c>
      <c r="R662" s="65">
        <f>P662/$N662*$M662</f>
        <v>0</v>
      </c>
    </row>
    <row r="663" spans="1:21" ht="66" x14ac:dyDescent="0.3">
      <c r="A663" s="3" t="str">
        <f>'Selbstbeurteilung Kunde'!A690</f>
        <v>14.2.1.</v>
      </c>
      <c r="B663" s="2" t="str">
        <f>'Selbstbeurteilung Kunde'!C690</f>
        <v>Werden dokumentierte Informationen im erforderlichen Umfang aufbewahrt, sodass darauf vertraut werden kann, dass die Prozesse wie geplant durchgeführt werden? (z.B. Aufzeichnungen aus den Prozessen, Änderungsnachweise, Berichte, Protokolle etc.)</v>
      </c>
      <c r="C663" s="49">
        <f>IF(ISBLANK('Selbstbeurteilung Kunde'!D690),0,1)</f>
        <v>0</v>
      </c>
      <c r="D663" s="49" t="str">
        <f>IF(AND('Selbstbeurteilung Kunde'!D690="",'Selbstbeurteilung Kunde'!E690=""),"*","")</f>
        <v>*</v>
      </c>
      <c r="E663" s="50" t="str">
        <f>IF(ISBLANK('Selbstbeurteilung Kunde'!F690),"",'Selbstbeurteilung Kunde'!F690)</f>
        <v/>
      </c>
      <c r="F663" s="287"/>
      <c r="G663" s="287"/>
      <c r="H663" s="287"/>
      <c r="I663" s="287"/>
      <c r="J663" s="287"/>
      <c r="K663" s="287"/>
      <c r="L663" s="279"/>
      <c r="M663" s="47">
        <v>1</v>
      </c>
      <c r="N663" s="34"/>
      <c r="O663" s="35">
        <f>C663*M663</f>
        <v>0</v>
      </c>
      <c r="P663" s="54">
        <f t="shared" ref="P663" si="116">L663*M663</f>
        <v>0</v>
      </c>
      <c r="Q663" s="46"/>
      <c r="R663" s="34"/>
    </row>
    <row r="664" spans="1:21" ht="25.5" customHeight="1" x14ac:dyDescent="0.3">
      <c r="A664" s="27" t="str">
        <f>'Selbstbeurteilung Kunde'!A691</f>
        <v>14.3.</v>
      </c>
      <c r="B664" s="27" t="str">
        <f>'Selbstbeurteilung Kunde'!B691</f>
        <v>Massnahmen zum Umgang mit Risiken und Chancen (6.1.)</v>
      </c>
      <c r="C664" s="28">
        <f>O664/N664</f>
        <v>0</v>
      </c>
      <c r="D664" s="350"/>
      <c r="E664" s="37"/>
      <c r="F664" s="282"/>
      <c r="G664" s="282"/>
      <c r="H664" s="282"/>
      <c r="I664" s="282"/>
      <c r="J664" s="282"/>
      <c r="K664" s="282"/>
      <c r="L664" s="63">
        <f>P664/N664</f>
        <v>0</v>
      </c>
      <c r="M664" s="29">
        <v>1</v>
      </c>
      <c r="N664" s="29">
        <f>SUM(M665:M666)</f>
        <v>2</v>
      </c>
      <c r="O664" s="31">
        <f>SUM(O665:O666)</f>
        <v>0</v>
      </c>
      <c r="P664" s="31">
        <f>SUM(P665:P666)</f>
        <v>0</v>
      </c>
      <c r="Q664" s="65">
        <f>O664/$N664*$M664</f>
        <v>0</v>
      </c>
      <c r="R664" s="65">
        <f>P664/$N664*$M664</f>
        <v>0</v>
      </c>
    </row>
    <row r="665" spans="1:21" ht="52.8" x14ac:dyDescent="0.3">
      <c r="A665" s="3" t="str">
        <f>'Selbstbeurteilung Kunde'!A692</f>
        <v>14.3.1.</v>
      </c>
      <c r="B665" s="2" t="str">
        <f>'Selbstbeurteilung Kunde'!C692</f>
        <v>Ist für die Organisation ein Verfahren zur Bestimmung von Risiken und Chancen festgelegt? (z.B. durch Gefährdungsanalysen, Erstellung einer Risiko-Matrix, SWOT-Analyse mit Handlungsbedarf)</v>
      </c>
      <c r="C665" s="49">
        <f>IF(ISBLANK('Selbstbeurteilung Kunde'!D692),0,1)</f>
        <v>0</v>
      </c>
      <c r="D665" s="49" t="str">
        <f>IF(AND('Selbstbeurteilung Kunde'!D692="",'Selbstbeurteilung Kunde'!E692=""),"*","")</f>
        <v>*</v>
      </c>
      <c r="E665" s="50" t="str">
        <f>IF(ISBLANK('Selbstbeurteilung Kunde'!F692),"",'Selbstbeurteilung Kunde'!F692)</f>
        <v/>
      </c>
      <c r="F665" s="287"/>
      <c r="G665" s="287"/>
      <c r="H665" s="287"/>
      <c r="I665" s="287"/>
      <c r="J665" s="287"/>
      <c r="K665" s="287"/>
      <c r="L665" s="279"/>
      <c r="M665" s="47">
        <v>1</v>
      </c>
      <c r="N665" s="34"/>
      <c r="O665" s="35">
        <f>C665*M665</f>
        <v>0</v>
      </c>
      <c r="P665" s="54">
        <f t="shared" ref="P665" si="117">L665*M665</f>
        <v>0</v>
      </c>
      <c r="Q665" s="46"/>
      <c r="R665" s="34"/>
      <c r="T665" s="24"/>
      <c r="U665" s="24"/>
    </row>
    <row r="666" spans="1:21" ht="43.2" customHeight="1" x14ac:dyDescent="0.3">
      <c r="A666" s="3" t="str">
        <f>'Selbstbeurteilung Kunde'!A693</f>
        <v>14.3.2.</v>
      </c>
      <c r="B666" s="2" t="str">
        <f>'Selbstbeurteilung Kunde'!C693</f>
        <v>Werden die zu berücksichtigenden SGA-Risiken und Chancen als dokumentierte Information gepflegt und entsprechend aufrechterhalten?</v>
      </c>
      <c r="C666" s="49">
        <f>IF(ISBLANK('Selbstbeurteilung Kunde'!D693),0,1)</f>
        <v>0</v>
      </c>
      <c r="D666" s="49" t="str">
        <f>IF(AND('Selbstbeurteilung Kunde'!D693="",'Selbstbeurteilung Kunde'!E693=""),"*","")</f>
        <v>*</v>
      </c>
      <c r="E666" s="50" t="str">
        <f>IF(ISBLANK('Selbstbeurteilung Kunde'!F693),"",'Selbstbeurteilung Kunde'!F693)</f>
        <v/>
      </c>
      <c r="F666" s="287"/>
      <c r="G666" s="287"/>
      <c r="H666" s="287"/>
      <c r="I666" s="287"/>
      <c r="J666" s="287"/>
      <c r="K666" s="287"/>
      <c r="L666" s="279"/>
      <c r="M666" s="47">
        <v>1</v>
      </c>
      <c r="N666" s="34"/>
      <c r="O666" s="35">
        <f>C666*M666</f>
        <v>0</v>
      </c>
      <c r="P666" s="54">
        <f t="shared" ref="P666" si="118">L666*M666</f>
        <v>0</v>
      </c>
      <c r="Q666" s="46"/>
      <c r="R666" s="34"/>
      <c r="T666" s="24"/>
      <c r="U666" s="24"/>
    </row>
    <row r="667" spans="1:21" ht="25.5" customHeight="1" x14ac:dyDescent="0.3">
      <c r="A667" s="27" t="str">
        <f>'Selbstbeurteilung Kunde'!A694</f>
        <v>14.4.</v>
      </c>
      <c r="B667" s="27" t="str">
        <f>'Selbstbeurteilung Kunde'!B694</f>
        <v>Bestimmung rechtlicher Verpflichtungen und anderer Anforderungen (6.1.3.)</v>
      </c>
      <c r="C667" s="28">
        <f>O667/N667</f>
        <v>0</v>
      </c>
      <c r="D667" s="350"/>
      <c r="E667" s="37"/>
      <c r="F667" s="282"/>
      <c r="G667" s="282"/>
      <c r="H667" s="282"/>
      <c r="I667" s="282"/>
      <c r="J667" s="282"/>
      <c r="K667" s="282"/>
      <c r="L667" s="63">
        <f>P667/N667</f>
        <v>0</v>
      </c>
      <c r="M667" s="29">
        <v>1</v>
      </c>
      <c r="N667" s="29">
        <f>SUM(M668:M668)</f>
        <v>1</v>
      </c>
      <c r="O667" s="31">
        <f>SUM(O668:O668)</f>
        <v>0</v>
      </c>
      <c r="P667" s="31">
        <f>SUM(P668:P668)</f>
        <v>0</v>
      </c>
      <c r="Q667" s="65">
        <f>O667/$N667*$M667</f>
        <v>0</v>
      </c>
      <c r="R667" s="65">
        <f>P667/$N667*$M667</f>
        <v>0</v>
      </c>
    </row>
    <row r="668" spans="1:21" ht="52.8" x14ac:dyDescent="0.3">
      <c r="A668" s="3" t="str">
        <f>'Selbstbeurteilung Kunde'!A695</f>
        <v>14.4.1.</v>
      </c>
      <c r="B668" s="2" t="str">
        <f>'Selbstbeurteilung Kunde'!C695</f>
        <v>Erfolgen Informationen über Änderungen rechtlicher Verpflichtungen und anderer Anforderungen so, dass deren Weitergabe entsprechend dokumentiert und dadurch zweifelsfrei nachgewiesen werden kann?</v>
      </c>
      <c r="C668" s="49">
        <f>IF(ISBLANK('Selbstbeurteilung Kunde'!D695),0,1)</f>
        <v>0</v>
      </c>
      <c r="D668" s="49" t="str">
        <f>IF(AND('Selbstbeurteilung Kunde'!D695="",'Selbstbeurteilung Kunde'!E695=""),"*","")</f>
        <v>*</v>
      </c>
      <c r="E668" s="50" t="str">
        <f>IF(ISBLANK('Selbstbeurteilung Kunde'!F695),"",'Selbstbeurteilung Kunde'!F695)</f>
        <v/>
      </c>
      <c r="F668" s="287"/>
      <c r="G668" s="287"/>
      <c r="H668" s="287"/>
      <c r="I668" s="287"/>
      <c r="J668" s="287"/>
      <c r="K668" s="287"/>
      <c r="L668" s="279"/>
      <c r="M668" s="47">
        <v>1</v>
      </c>
      <c r="N668" s="34"/>
      <c r="O668" s="35">
        <f>C668*M668</f>
        <v>0</v>
      </c>
      <c r="P668" s="54">
        <f t="shared" ref="P668" si="119">L668*M668</f>
        <v>0</v>
      </c>
      <c r="Q668" s="46"/>
      <c r="R668" s="34"/>
      <c r="T668" s="24"/>
      <c r="U668" s="24"/>
    </row>
    <row r="669" spans="1:21" ht="14.25" customHeight="1" x14ac:dyDescent="0.3">
      <c r="A669" s="27" t="str">
        <f>'Selbstbeurteilung Kunde'!A696</f>
        <v>14.5.</v>
      </c>
      <c r="B669" s="27" t="str">
        <f>'Selbstbeurteilung Kunde'!B696</f>
        <v>Dokumentierte Informationen (7.5.)</v>
      </c>
      <c r="C669" s="28">
        <f>O669/N669</f>
        <v>0</v>
      </c>
      <c r="D669" s="350"/>
      <c r="E669" s="37"/>
      <c r="F669" s="282"/>
      <c r="G669" s="282"/>
      <c r="H669" s="282"/>
      <c r="I669" s="282"/>
      <c r="J669" s="282"/>
      <c r="K669" s="282"/>
      <c r="L669" s="63">
        <f>P669/N669</f>
        <v>0</v>
      </c>
      <c r="M669" s="29">
        <v>1</v>
      </c>
      <c r="N669" s="29">
        <f>SUM(M670:M672)</f>
        <v>3</v>
      </c>
      <c r="O669" s="31">
        <f>SUM(O670:O672)</f>
        <v>0</v>
      </c>
      <c r="P669" s="31">
        <f>SUM(P670:P672)</f>
        <v>0</v>
      </c>
      <c r="Q669" s="65">
        <f>O669/$N669*$M669</f>
        <v>0</v>
      </c>
      <c r="R669" s="65">
        <f>P669/$N669*$M669</f>
        <v>0</v>
      </c>
    </row>
    <row r="670" spans="1:21" ht="129.75" customHeight="1" x14ac:dyDescent="0.3">
      <c r="A670" s="3" t="str">
        <f>'Selbstbeurteilung Kunde'!A697</f>
        <v>14.5.1.</v>
      </c>
      <c r="B670" s="2" t="str">
        <f>'Selbstbeurteilung Kunde'!C697</f>
        <v>Liegen die für das SGA-MS geforderten dokumentierten Informationen vor? (u.a. dokumentierte Information zu
• Anwendungsbereich
• SGA-Politik und SGA-Ziele
• Rechtliche Verpflichtungen oder andere Anforderungen 
• Kompetenzen 
• SGA-Risiken und -Chancen
• Informationen, die für den Betrieb der Organisation geschaffen werden
• Nachweis erreichter Ergebnisse usw.)</v>
      </c>
      <c r="C670" s="49">
        <f>IF(ISBLANK('Selbstbeurteilung Kunde'!D697),0,1)</f>
        <v>0</v>
      </c>
      <c r="D670" s="49" t="str">
        <f>IF(AND('Selbstbeurteilung Kunde'!D697="",'Selbstbeurteilung Kunde'!E697=""),"*","")</f>
        <v>*</v>
      </c>
      <c r="E670" s="50" t="str">
        <f>IF(ISBLANK('Selbstbeurteilung Kunde'!F697),"",'Selbstbeurteilung Kunde'!F697)</f>
        <v/>
      </c>
      <c r="F670" s="287"/>
      <c r="G670" s="287"/>
      <c r="H670" s="287"/>
      <c r="I670" s="287"/>
      <c r="J670" s="287"/>
      <c r="K670" s="287"/>
      <c r="L670" s="279"/>
      <c r="M670" s="47">
        <v>1</v>
      </c>
      <c r="N670" s="34"/>
      <c r="O670" s="35">
        <f>C670*M670</f>
        <v>0</v>
      </c>
      <c r="P670" s="54">
        <f t="shared" ref="P670:P671" si="120">L670*M670</f>
        <v>0</v>
      </c>
      <c r="Q670" s="46"/>
      <c r="R670" s="34"/>
      <c r="T670" s="24"/>
      <c r="U670" s="24"/>
    </row>
    <row r="671" spans="1:21" ht="52.5" customHeight="1" x14ac:dyDescent="0.3">
      <c r="A671" s="3" t="str">
        <f>'Selbstbeurteilung Kunde'!A698</f>
        <v>14.5.2.</v>
      </c>
      <c r="B671" s="2" t="str">
        <f>'Selbstbeurteilung Kunde'!C698</f>
        <v>Wird beim Erstellen und Aktualisieren dokumentierter Informationen eine angemessene Kennzeichnung und Beschreibung sichergestellt? (z.B. Titel, Datum, Autor, Referenznummer, aktuelle Revisionsstand )</v>
      </c>
      <c r="C671" s="49">
        <f>IF(ISBLANK('Selbstbeurteilung Kunde'!D698),0,1)</f>
        <v>0</v>
      </c>
      <c r="D671" s="49" t="str">
        <f>IF(AND('Selbstbeurteilung Kunde'!D698="",'Selbstbeurteilung Kunde'!E698=""),"*","")</f>
        <v>*</v>
      </c>
      <c r="E671" s="50" t="str">
        <f>IF(ISBLANK('Selbstbeurteilung Kunde'!F698),"",'Selbstbeurteilung Kunde'!F698)</f>
        <v/>
      </c>
      <c r="F671" s="287"/>
      <c r="G671" s="287"/>
      <c r="H671" s="287"/>
      <c r="I671" s="287"/>
      <c r="J671" s="287"/>
      <c r="K671" s="287"/>
      <c r="L671" s="279"/>
      <c r="M671" s="47">
        <v>1</v>
      </c>
      <c r="N671" s="34"/>
      <c r="O671" s="35">
        <f>C671*M671</f>
        <v>0</v>
      </c>
      <c r="P671" s="54">
        <f t="shared" si="120"/>
        <v>0</v>
      </c>
      <c r="Q671" s="46"/>
      <c r="R671" s="34"/>
      <c r="T671" s="24"/>
      <c r="U671" s="24"/>
    </row>
    <row r="672" spans="1:21" ht="52.8" x14ac:dyDescent="0.3">
      <c r="A672" s="3" t="str">
        <f>'Selbstbeurteilung Kunde'!A699</f>
        <v>14.5.3.</v>
      </c>
      <c r="B672" s="2" t="str">
        <f>'Selbstbeurteilung Kunde'!C699</f>
        <v>Ist ein Prozess für die Lenkung der dokumentierten Informationen festgelegt? (Erstellung, Zuordnung, Klassifizierung, Genehmigung, Verteilung, Anwendung, Revision, Rückzug, Ablage, Entsorgung)</v>
      </c>
      <c r="C672" s="49">
        <f>IF(ISBLANK('Selbstbeurteilung Kunde'!D699),0,1)</f>
        <v>0</v>
      </c>
      <c r="D672" s="49" t="str">
        <f>IF(AND('Selbstbeurteilung Kunde'!D699="",'Selbstbeurteilung Kunde'!E699=""),"*","")</f>
        <v>*</v>
      </c>
      <c r="E672" s="50" t="str">
        <f>IF(ISBLANK('Selbstbeurteilung Kunde'!F699),"",'Selbstbeurteilung Kunde'!F699)</f>
        <v/>
      </c>
      <c r="F672" s="287"/>
      <c r="G672" s="287"/>
      <c r="H672" s="287"/>
      <c r="I672" s="287"/>
      <c r="J672" s="287"/>
      <c r="K672" s="287"/>
      <c r="L672" s="279"/>
      <c r="M672" s="47">
        <v>1</v>
      </c>
      <c r="N672" s="34"/>
      <c r="O672" s="35">
        <f>C672*M672</f>
        <v>0</v>
      </c>
      <c r="P672" s="54">
        <f t="shared" ref="P672" si="121">L672*M672</f>
        <v>0</v>
      </c>
      <c r="Q672" s="46"/>
      <c r="R672" s="34"/>
      <c r="T672" s="24"/>
      <c r="U672" s="24"/>
    </row>
    <row r="673" spans="1:21" ht="14.25" customHeight="1" x14ac:dyDescent="0.3">
      <c r="A673" s="27" t="str">
        <f>'Selbstbeurteilung Kunde'!A700</f>
        <v>14.6.</v>
      </c>
      <c r="B673" s="27" t="str">
        <f>'Selbstbeurteilung Kunde'!B700</f>
        <v>Beschaffung (8.1.4.)</v>
      </c>
      <c r="C673" s="28">
        <f>O673/N673</f>
        <v>0</v>
      </c>
      <c r="D673" s="350"/>
      <c r="E673" s="37"/>
      <c r="F673" s="282"/>
      <c r="G673" s="282"/>
      <c r="H673" s="282"/>
      <c r="I673" s="282"/>
      <c r="J673" s="282"/>
      <c r="K673" s="282"/>
      <c r="L673" s="63">
        <f>P673/N673</f>
        <v>0</v>
      </c>
      <c r="M673" s="29">
        <v>1</v>
      </c>
      <c r="N673" s="29">
        <f>SUM(M674:M674)</f>
        <v>1</v>
      </c>
      <c r="O673" s="31">
        <f>SUM(O674:O674)</f>
        <v>0</v>
      </c>
      <c r="P673" s="31">
        <f>SUM(P674:P674)</f>
        <v>0</v>
      </c>
      <c r="Q673" s="65">
        <f>O673/$N673*$M673</f>
        <v>0</v>
      </c>
      <c r="R673" s="65">
        <f>P673/$N673*$M673</f>
        <v>0</v>
      </c>
    </row>
    <row r="674" spans="1:21" ht="39.6" x14ac:dyDescent="0.3">
      <c r="A674" s="3" t="str">
        <f>'Selbstbeurteilung Kunde'!A701</f>
        <v>14.6.1</v>
      </c>
      <c r="B674" s="2" t="str">
        <f>'Selbstbeurteilung Kunde'!C701</f>
        <v>Wird sichergestellt, dass ausgegliederte Funktionen und Prozesse, die sich auf das SGA-MS auswirken, gesteuert werden?</v>
      </c>
      <c r="C674" s="49">
        <f>IF(ISBLANK('Selbstbeurteilung Kunde'!D701),0,1)</f>
        <v>0</v>
      </c>
      <c r="D674" s="49" t="str">
        <f>IF(AND('Selbstbeurteilung Kunde'!D701="",'Selbstbeurteilung Kunde'!E701=""),"*","")</f>
        <v>*</v>
      </c>
      <c r="E674" s="50" t="str">
        <f>IF(ISBLANK('Selbstbeurteilung Kunde'!F701),"",'Selbstbeurteilung Kunde'!F701)</f>
        <v/>
      </c>
      <c r="F674" s="287"/>
      <c r="G674" s="287"/>
      <c r="H674" s="287"/>
      <c r="I674" s="287"/>
      <c r="J674" s="287"/>
      <c r="K674" s="287"/>
      <c r="L674" s="279"/>
      <c r="M674" s="47">
        <v>1</v>
      </c>
      <c r="N674" s="34"/>
      <c r="O674" s="35">
        <f>C674*M674</f>
        <v>0</v>
      </c>
      <c r="P674" s="54">
        <f t="shared" ref="P674" si="122">L674*M674</f>
        <v>0</v>
      </c>
      <c r="Q674" s="46"/>
      <c r="R674" s="34"/>
      <c r="T674" s="24"/>
      <c r="U674" s="24"/>
    </row>
    <row r="675" spans="1:21" ht="14.25" customHeight="1" x14ac:dyDescent="0.3">
      <c r="A675" s="27" t="str">
        <f>'Selbstbeurteilung Kunde'!A702</f>
        <v>14.7.</v>
      </c>
      <c r="B675" s="27" t="str">
        <f>'Selbstbeurteilung Kunde'!B702</f>
        <v>Bewertung der Leistung (9.)</v>
      </c>
      <c r="C675" s="28">
        <f>O675/N675</f>
        <v>0</v>
      </c>
      <c r="D675" s="350"/>
      <c r="E675" s="37"/>
      <c r="F675" s="282"/>
      <c r="G675" s="282"/>
      <c r="H675" s="282"/>
      <c r="I675" s="282"/>
      <c r="J675" s="282"/>
      <c r="K675" s="282"/>
      <c r="L675" s="63">
        <f>P675/N675</f>
        <v>0</v>
      </c>
      <c r="M675" s="29">
        <v>1</v>
      </c>
      <c r="N675" s="29">
        <f>SUM(M676:M679)</f>
        <v>4</v>
      </c>
      <c r="O675" s="31">
        <f>SUM(O676:O679)</f>
        <v>0</v>
      </c>
      <c r="P675" s="31">
        <f>SUM(P676:P679)</f>
        <v>0</v>
      </c>
      <c r="Q675" s="65">
        <f>O675/$N675*$M675</f>
        <v>0</v>
      </c>
      <c r="R675" s="65">
        <f>P675/$N675*$M675</f>
        <v>0</v>
      </c>
    </row>
    <row r="676" spans="1:21" ht="38.25" customHeight="1" x14ac:dyDescent="0.3">
      <c r="A676" s="3" t="str">
        <f>'Selbstbeurteilung Kunde'!A703</f>
        <v>14.7.1.</v>
      </c>
      <c r="B676" s="2" t="str">
        <f>'Selbstbeurteilung Kunde'!C703</f>
        <v>Werden Prozesse zur Überwachung, Messung, Analyse und SGA-Leistungsbewertung festgelegt, umgesetzt und aufrechterhalten?</v>
      </c>
      <c r="C676" s="49">
        <f>IF(ISBLANK('Selbstbeurteilung Kunde'!D703),0,1)</f>
        <v>0</v>
      </c>
      <c r="D676" s="49" t="str">
        <f>IF(AND('Selbstbeurteilung Kunde'!D703="",'Selbstbeurteilung Kunde'!E703=""),"*","")</f>
        <v>*</v>
      </c>
      <c r="E676" s="50" t="str">
        <f>IF(ISBLANK('Selbstbeurteilung Kunde'!F703),"",'Selbstbeurteilung Kunde'!F703)</f>
        <v/>
      </c>
      <c r="F676" s="287"/>
      <c r="G676" s="287"/>
      <c r="H676" s="287"/>
      <c r="I676" s="287"/>
      <c r="J676" s="287"/>
      <c r="K676" s="287"/>
      <c r="L676" s="279"/>
      <c r="M676" s="47">
        <v>1</v>
      </c>
      <c r="N676" s="34"/>
      <c r="O676" s="35">
        <f>C676*M676</f>
        <v>0</v>
      </c>
      <c r="P676" s="54">
        <f t="shared" ref="P676:P678" si="123">L676*M676</f>
        <v>0</v>
      </c>
      <c r="Q676" s="46"/>
      <c r="R676" s="34"/>
      <c r="T676" s="24"/>
      <c r="U676" s="24"/>
    </row>
    <row r="677" spans="1:21" ht="41.25" customHeight="1" x14ac:dyDescent="0.3">
      <c r="A677" s="3" t="str">
        <f>'Selbstbeurteilung Kunde'!A704</f>
        <v>14.7.2.</v>
      </c>
      <c r="B677" s="2" t="str">
        <f>'Selbstbeurteilung Kunde'!C704</f>
        <v>Sind die zur Bewertung der Compliance mit rechtlichen Verpflichtungen und anderen Anforderungen notwendigen Prozesse, festgelegt, umgesetzt und aufrechterhalten?</v>
      </c>
      <c r="C677" s="49">
        <f>IF(ISBLANK('Selbstbeurteilung Kunde'!D704),0,1)</f>
        <v>0</v>
      </c>
      <c r="D677" s="49" t="str">
        <f>IF(AND('Selbstbeurteilung Kunde'!D704="",'Selbstbeurteilung Kunde'!E704=""),"*","")</f>
        <v>*</v>
      </c>
      <c r="E677" s="50" t="str">
        <f>IF(ISBLANK('Selbstbeurteilung Kunde'!F704),"",'Selbstbeurteilung Kunde'!F704)</f>
        <v/>
      </c>
      <c r="F677" s="287"/>
      <c r="G677" s="287"/>
      <c r="H677" s="287"/>
      <c r="I677" s="287"/>
      <c r="J677" s="287"/>
      <c r="K677" s="287"/>
      <c r="L677" s="279"/>
      <c r="M677" s="47">
        <v>1</v>
      </c>
      <c r="N677" s="34"/>
      <c r="O677" s="35">
        <f>C677*M677</f>
        <v>0</v>
      </c>
      <c r="P677" s="54">
        <f t="shared" si="123"/>
        <v>0</v>
      </c>
      <c r="Q677" s="46"/>
      <c r="R677" s="34"/>
      <c r="T677" s="24"/>
      <c r="U677" s="24"/>
    </row>
    <row r="678" spans="1:21" ht="26.4" x14ac:dyDescent="0.3">
      <c r="A678" s="3" t="str">
        <f>'Selbstbeurteilung Kunde'!A705</f>
        <v>14.7.3.</v>
      </c>
      <c r="B678" s="2" t="str">
        <f>'Selbstbeurteilung Kunde'!C705</f>
        <v>Sind die Auditoren zur Durchführung von Systemaudits ausgebildet?</v>
      </c>
      <c r="C678" s="49">
        <f>IF(ISBLANK('Selbstbeurteilung Kunde'!D705),0,1)</f>
        <v>0</v>
      </c>
      <c r="D678" s="49" t="str">
        <f>IF(AND('Selbstbeurteilung Kunde'!D705="",'Selbstbeurteilung Kunde'!E705=""),"*","")</f>
        <v>*</v>
      </c>
      <c r="E678" s="50" t="str">
        <f>IF(ISBLANK('Selbstbeurteilung Kunde'!F705),"",'Selbstbeurteilung Kunde'!F705)</f>
        <v/>
      </c>
      <c r="F678" s="287"/>
      <c r="G678" s="287"/>
      <c r="H678" s="287"/>
      <c r="I678" s="287"/>
      <c r="J678" s="287"/>
      <c r="K678" s="287"/>
      <c r="L678" s="279"/>
      <c r="M678" s="47">
        <v>1</v>
      </c>
      <c r="N678" s="34"/>
      <c r="O678" s="35">
        <f>C678*M678</f>
        <v>0</v>
      </c>
      <c r="P678" s="54">
        <f t="shared" si="123"/>
        <v>0</v>
      </c>
      <c r="Q678" s="46"/>
      <c r="R678" s="34"/>
      <c r="T678" s="24"/>
      <c r="U678" s="24"/>
    </row>
    <row r="679" spans="1:21" ht="26.4" x14ac:dyDescent="0.3">
      <c r="A679" s="3" t="str">
        <f>'Selbstbeurteilung Kunde'!A706</f>
        <v>14.7.4.</v>
      </c>
      <c r="B679" s="2" t="str">
        <f>'Selbstbeurteilung Kunde'!C706</f>
        <v>Wird durch die internen Audits festgestellt, dass die Anforderungen an die ISO 45001 erfüllt werden?</v>
      </c>
      <c r="C679" s="49">
        <f>IF(ISBLANK('Selbstbeurteilung Kunde'!D706),0,1)</f>
        <v>0</v>
      </c>
      <c r="D679" s="49" t="str">
        <f>IF(AND('Selbstbeurteilung Kunde'!D706="",'Selbstbeurteilung Kunde'!E706=""),"*","")</f>
        <v>*</v>
      </c>
      <c r="E679" s="50" t="str">
        <f>IF(ISBLANK('Selbstbeurteilung Kunde'!F706),"",'Selbstbeurteilung Kunde'!F706)</f>
        <v/>
      </c>
      <c r="F679" s="287"/>
      <c r="G679" s="287"/>
      <c r="H679" s="287"/>
      <c r="I679" s="287"/>
      <c r="J679" s="287"/>
      <c r="K679" s="287"/>
      <c r="L679" s="346"/>
      <c r="M679" s="47">
        <v>1</v>
      </c>
      <c r="N679" s="34"/>
      <c r="O679" s="35">
        <f>C679*M679</f>
        <v>0</v>
      </c>
      <c r="P679" s="54">
        <f t="shared" ref="P679" si="124">L679*M679</f>
        <v>0</v>
      </c>
      <c r="Q679" s="46"/>
      <c r="R679" s="34"/>
      <c r="T679" s="24"/>
      <c r="U679" s="24"/>
    </row>
    <row r="680" spans="1:21" x14ac:dyDescent="0.3">
      <c r="L680" s="293"/>
    </row>
    <row r="681" spans="1:21" x14ac:dyDescent="0.3">
      <c r="L681" s="293"/>
    </row>
    <row r="682" spans="1:21" x14ac:dyDescent="0.3">
      <c r="L682" s="293"/>
    </row>
    <row r="683" spans="1:21" x14ac:dyDescent="0.3">
      <c r="L683" s="293"/>
    </row>
    <row r="684" spans="1:21" x14ac:dyDescent="0.3">
      <c r="L684" s="293"/>
    </row>
    <row r="685" spans="1:21" x14ac:dyDescent="0.3">
      <c r="L685" s="293"/>
    </row>
    <row r="686" spans="1:21" x14ac:dyDescent="0.3">
      <c r="L686" s="293"/>
    </row>
    <row r="687" spans="1:21" x14ac:dyDescent="0.3">
      <c r="L687" s="293"/>
    </row>
    <row r="688" spans="1:21" x14ac:dyDescent="0.3">
      <c r="L688" s="293"/>
    </row>
    <row r="689" spans="12:12" x14ac:dyDescent="0.3">
      <c r="L689" s="293"/>
    </row>
    <row r="690" spans="12:12" x14ac:dyDescent="0.3">
      <c r="L690" s="293"/>
    </row>
    <row r="691" spans="12:12" x14ac:dyDescent="0.3">
      <c r="L691" s="293"/>
    </row>
    <row r="692" spans="12:12" x14ac:dyDescent="0.3">
      <c r="L692" s="293"/>
    </row>
    <row r="693" spans="12:12" x14ac:dyDescent="0.3">
      <c r="L693" s="293"/>
    </row>
    <row r="694" spans="12:12" x14ac:dyDescent="0.3">
      <c r="L694" s="293"/>
    </row>
    <row r="695" spans="12:12" x14ac:dyDescent="0.3">
      <c r="L695" s="293"/>
    </row>
    <row r="696" spans="12:12" x14ac:dyDescent="0.3">
      <c r="L696" s="293"/>
    </row>
    <row r="697" spans="12:12" x14ac:dyDescent="0.3">
      <c r="L697" s="293"/>
    </row>
    <row r="698" spans="12:12" x14ac:dyDescent="0.3">
      <c r="L698" s="293"/>
    </row>
    <row r="699" spans="12:12" x14ac:dyDescent="0.3">
      <c r="L699" s="293"/>
    </row>
    <row r="700" spans="12:12" x14ac:dyDescent="0.3">
      <c r="L700" s="293"/>
    </row>
    <row r="701" spans="12:12" x14ac:dyDescent="0.3">
      <c r="L701" s="293"/>
    </row>
    <row r="702" spans="12:12" x14ac:dyDescent="0.3">
      <c r="L702" s="293"/>
    </row>
    <row r="703" spans="12:12" x14ac:dyDescent="0.3">
      <c r="L703" s="293"/>
    </row>
    <row r="704" spans="12:12" x14ac:dyDescent="0.3">
      <c r="L704" s="293"/>
    </row>
    <row r="705" spans="12:12" x14ac:dyDescent="0.3">
      <c r="L705" s="293"/>
    </row>
    <row r="706" spans="12:12" x14ac:dyDescent="0.3">
      <c r="L706" s="293"/>
    </row>
    <row r="707" spans="12:12" x14ac:dyDescent="0.3">
      <c r="L707" s="293"/>
    </row>
    <row r="708" spans="12:12" x14ac:dyDescent="0.3">
      <c r="L708" s="293"/>
    </row>
    <row r="709" spans="12:12" x14ac:dyDescent="0.3">
      <c r="L709" s="293"/>
    </row>
    <row r="710" spans="12:12" x14ac:dyDescent="0.3">
      <c r="L710" s="293"/>
    </row>
    <row r="711" spans="12:12" x14ac:dyDescent="0.3">
      <c r="L711" s="293"/>
    </row>
    <row r="712" spans="12:12" x14ac:dyDescent="0.3">
      <c r="L712" s="293"/>
    </row>
    <row r="713" spans="12:12" x14ac:dyDescent="0.3">
      <c r="L713" s="293"/>
    </row>
    <row r="714" spans="12:12" x14ac:dyDescent="0.3">
      <c r="L714" s="293"/>
    </row>
    <row r="715" spans="12:12" x14ac:dyDescent="0.3">
      <c r="L715" s="293"/>
    </row>
    <row r="716" spans="12:12" x14ac:dyDescent="0.3">
      <c r="L716" s="293"/>
    </row>
    <row r="717" spans="12:12" x14ac:dyDescent="0.3">
      <c r="L717" s="293"/>
    </row>
    <row r="718" spans="12:12" x14ac:dyDescent="0.3">
      <c r="L718" s="293"/>
    </row>
    <row r="719" spans="12:12" x14ac:dyDescent="0.3">
      <c r="L719" s="293"/>
    </row>
    <row r="720" spans="12:12" x14ac:dyDescent="0.3">
      <c r="L720" s="293"/>
    </row>
    <row r="721" spans="12:12" x14ac:dyDescent="0.3">
      <c r="L721" s="293"/>
    </row>
    <row r="722" spans="12:12" x14ac:dyDescent="0.3">
      <c r="L722" s="293"/>
    </row>
    <row r="723" spans="12:12" x14ac:dyDescent="0.3">
      <c r="L723" s="293"/>
    </row>
    <row r="724" spans="12:12" x14ac:dyDescent="0.3">
      <c r="L724" s="293"/>
    </row>
    <row r="725" spans="12:12" x14ac:dyDescent="0.3">
      <c r="L725" s="293"/>
    </row>
    <row r="726" spans="12:12" x14ac:dyDescent="0.3">
      <c r="L726" s="293"/>
    </row>
    <row r="727" spans="12:12" x14ac:dyDescent="0.3">
      <c r="L727" s="293"/>
    </row>
    <row r="728" spans="12:12" x14ac:dyDescent="0.3">
      <c r="L728" s="293"/>
    </row>
    <row r="729" spans="12:12" x14ac:dyDescent="0.3">
      <c r="L729" s="293"/>
    </row>
    <row r="730" spans="12:12" x14ac:dyDescent="0.3">
      <c r="L730" s="293"/>
    </row>
    <row r="731" spans="12:12" x14ac:dyDescent="0.3">
      <c r="L731" s="293"/>
    </row>
    <row r="732" spans="12:12" x14ac:dyDescent="0.3">
      <c r="L732" s="293"/>
    </row>
    <row r="733" spans="12:12" x14ac:dyDescent="0.3">
      <c r="L733" s="293"/>
    </row>
    <row r="734" spans="12:12" x14ac:dyDescent="0.3">
      <c r="L734" s="293"/>
    </row>
    <row r="735" spans="12:12" x14ac:dyDescent="0.3">
      <c r="L735" s="293"/>
    </row>
    <row r="736" spans="12:12" x14ac:dyDescent="0.3">
      <c r="L736" s="293"/>
    </row>
    <row r="737" spans="12:12" x14ac:dyDescent="0.3">
      <c r="L737" s="293"/>
    </row>
    <row r="738" spans="12:12" x14ac:dyDescent="0.3">
      <c r="L738" s="293"/>
    </row>
    <row r="739" spans="12:12" x14ac:dyDescent="0.3">
      <c r="L739" s="293"/>
    </row>
    <row r="740" spans="12:12" x14ac:dyDescent="0.3">
      <c r="L740" s="293"/>
    </row>
    <row r="741" spans="12:12" x14ac:dyDescent="0.3">
      <c r="L741" s="293"/>
    </row>
    <row r="742" spans="12:12" x14ac:dyDescent="0.3">
      <c r="L742" s="293"/>
    </row>
    <row r="743" spans="12:12" x14ac:dyDescent="0.3">
      <c r="L743" s="293"/>
    </row>
    <row r="744" spans="12:12" x14ac:dyDescent="0.3">
      <c r="L744" s="293"/>
    </row>
    <row r="745" spans="12:12" x14ac:dyDescent="0.3">
      <c r="L745" s="293"/>
    </row>
    <row r="746" spans="12:12" x14ac:dyDescent="0.3">
      <c r="L746" s="293"/>
    </row>
    <row r="747" spans="12:12" x14ac:dyDescent="0.3">
      <c r="L747" s="293"/>
    </row>
    <row r="748" spans="12:12" x14ac:dyDescent="0.3">
      <c r="L748" s="293"/>
    </row>
    <row r="749" spans="12:12" x14ac:dyDescent="0.3">
      <c r="L749" s="293"/>
    </row>
    <row r="750" spans="12:12" x14ac:dyDescent="0.3">
      <c r="L750" s="293"/>
    </row>
    <row r="751" spans="12:12" x14ac:dyDescent="0.3">
      <c r="L751" s="293"/>
    </row>
    <row r="752" spans="12:12" x14ac:dyDescent="0.3">
      <c r="L752" s="293"/>
    </row>
    <row r="753" spans="12:12" x14ac:dyDescent="0.3">
      <c r="L753" s="293"/>
    </row>
    <row r="754" spans="12:12" x14ac:dyDescent="0.3">
      <c r="L754" s="293"/>
    </row>
    <row r="755" spans="12:12" x14ac:dyDescent="0.3">
      <c r="L755" s="293"/>
    </row>
    <row r="756" spans="12:12" x14ac:dyDescent="0.3">
      <c r="L756" s="293"/>
    </row>
    <row r="757" spans="12:12" x14ac:dyDescent="0.3">
      <c r="L757" s="293"/>
    </row>
    <row r="758" spans="12:12" x14ac:dyDescent="0.3">
      <c r="L758" s="293"/>
    </row>
    <row r="759" spans="12:12" x14ac:dyDescent="0.3">
      <c r="L759" s="293"/>
    </row>
    <row r="760" spans="12:12" x14ac:dyDescent="0.3">
      <c r="L760" s="293"/>
    </row>
    <row r="761" spans="12:12" x14ac:dyDescent="0.3">
      <c r="L761" s="293"/>
    </row>
    <row r="762" spans="12:12" x14ac:dyDescent="0.3">
      <c r="L762" s="293"/>
    </row>
    <row r="763" spans="12:12" x14ac:dyDescent="0.3">
      <c r="L763" s="293"/>
    </row>
    <row r="764" spans="12:12" x14ac:dyDescent="0.3">
      <c r="L764" s="293"/>
    </row>
    <row r="765" spans="12:12" x14ac:dyDescent="0.3">
      <c r="L765" s="293"/>
    </row>
    <row r="766" spans="12:12" x14ac:dyDescent="0.3">
      <c r="L766" s="293"/>
    </row>
    <row r="767" spans="12:12" x14ac:dyDescent="0.3">
      <c r="L767" s="293"/>
    </row>
    <row r="768" spans="12:12" x14ac:dyDescent="0.3">
      <c r="L768" s="293"/>
    </row>
    <row r="769" spans="12:12" x14ac:dyDescent="0.3">
      <c r="L769" s="293"/>
    </row>
    <row r="770" spans="12:12" x14ac:dyDescent="0.3">
      <c r="L770" s="293"/>
    </row>
    <row r="771" spans="12:12" x14ac:dyDescent="0.3">
      <c r="L771" s="293"/>
    </row>
    <row r="772" spans="12:12" x14ac:dyDescent="0.3">
      <c r="L772" s="293"/>
    </row>
    <row r="773" spans="12:12" x14ac:dyDescent="0.3">
      <c r="L773" s="293"/>
    </row>
    <row r="774" spans="12:12" x14ac:dyDescent="0.3">
      <c r="L774" s="293"/>
    </row>
    <row r="775" spans="12:12" x14ac:dyDescent="0.3">
      <c r="L775" s="293"/>
    </row>
    <row r="776" spans="12:12" x14ac:dyDescent="0.3">
      <c r="L776" s="293"/>
    </row>
    <row r="777" spans="12:12" x14ac:dyDescent="0.3">
      <c r="L777" s="293"/>
    </row>
    <row r="778" spans="12:12" x14ac:dyDescent="0.3">
      <c r="L778" s="293"/>
    </row>
    <row r="779" spans="12:12" x14ac:dyDescent="0.3">
      <c r="L779" s="293"/>
    </row>
    <row r="780" spans="12:12" x14ac:dyDescent="0.3">
      <c r="L780" s="293"/>
    </row>
    <row r="781" spans="12:12" x14ac:dyDescent="0.3">
      <c r="L781" s="293"/>
    </row>
    <row r="782" spans="12:12" x14ac:dyDescent="0.3">
      <c r="L782" s="293"/>
    </row>
    <row r="783" spans="12:12" x14ac:dyDescent="0.3">
      <c r="L783" s="293"/>
    </row>
    <row r="784" spans="12:12" x14ac:dyDescent="0.3">
      <c r="L784" s="293"/>
    </row>
    <row r="785" spans="12:12" x14ac:dyDescent="0.3">
      <c r="L785" s="293"/>
    </row>
    <row r="786" spans="12:12" x14ac:dyDescent="0.3">
      <c r="L786" s="293"/>
    </row>
    <row r="787" spans="12:12" x14ac:dyDescent="0.3">
      <c r="L787" s="293"/>
    </row>
    <row r="788" spans="12:12" x14ac:dyDescent="0.3">
      <c r="L788" s="293"/>
    </row>
    <row r="789" spans="12:12" x14ac:dyDescent="0.3">
      <c r="L789" s="293"/>
    </row>
    <row r="790" spans="12:12" x14ac:dyDescent="0.3">
      <c r="L790" s="293"/>
    </row>
    <row r="791" spans="12:12" x14ac:dyDescent="0.3">
      <c r="L791" s="293"/>
    </row>
    <row r="792" spans="12:12" x14ac:dyDescent="0.3">
      <c r="L792" s="293"/>
    </row>
    <row r="793" spans="12:12" x14ac:dyDescent="0.3">
      <c r="L793" s="293"/>
    </row>
    <row r="794" spans="12:12" x14ac:dyDescent="0.3">
      <c r="L794" s="293"/>
    </row>
    <row r="795" spans="12:12" x14ac:dyDescent="0.3">
      <c r="L795" s="293"/>
    </row>
    <row r="796" spans="12:12" x14ac:dyDescent="0.3">
      <c r="L796" s="293"/>
    </row>
    <row r="797" spans="12:12" x14ac:dyDescent="0.3">
      <c r="L797" s="293"/>
    </row>
    <row r="798" spans="12:12" x14ac:dyDescent="0.3">
      <c r="L798" s="293"/>
    </row>
    <row r="799" spans="12:12" x14ac:dyDescent="0.3">
      <c r="L799" s="293"/>
    </row>
    <row r="800" spans="12:12" x14ac:dyDescent="0.3">
      <c r="L800" s="293"/>
    </row>
    <row r="801" spans="12:12" x14ac:dyDescent="0.3">
      <c r="L801" s="293"/>
    </row>
    <row r="802" spans="12:12" x14ac:dyDescent="0.3">
      <c r="L802" s="293"/>
    </row>
    <row r="803" spans="12:12" x14ac:dyDescent="0.3">
      <c r="L803" s="293"/>
    </row>
    <row r="804" spans="12:12" x14ac:dyDescent="0.3">
      <c r="L804" s="293"/>
    </row>
    <row r="805" spans="12:12" x14ac:dyDescent="0.3">
      <c r="L805" s="293"/>
    </row>
    <row r="806" spans="12:12" x14ac:dyDescent="0.3">
      <c r="L806" s="293"/>
    </row>
    <row r="807" spans="12:12" x14ac:dyDescent="0.3">
      <c r="L807" s="293"/>
    </row>
    <row r="808" spans="12:12" x14ac:dyDescent="0.3">
      <c r="L808" s="293"/>
    </row>
    <row r="809" spans="12:12" x14ac:dyDescent="0.3">
      <c r="L809" s="293"/>
    </row>
    <row r="810" spans="12:12" x14ac:dyDescent="0.3">
      <c r="L810" s="293"/>
    </row>
    <row r="811" spans="12:12" x14ac:dyDescent="0.3">
      <c r="L811" s="293"/>
    </row>
    <row r="812" spans="12:12" x14ac:dyDescent="0.3">
      <c r="L812" s="293"/>
    </row>
    <row r="813" spans="12:12" x14ac:dyDescent="0.3">
      <c r="L813" s="293"/>
    </row>
    <row r="814" spans="12:12" x14ac:dyDescent="0.3">
      <c r="L814" s="293"/>
    </row>
    <row r="815" spans="12:12" x14ac:dyDescent="0.3">
      <c r="L815" s="293"/>
    </row>
    <row r="816" spans="12:12" x14ac:dyDescent="0.3">
      <c r="L816" s="293"/>
    </row>
    <row r="817" spans="12:12" x14ac:dyDescent="0.3">
      <c r="L817" s="293"/>
    </row>
    <row r="818" spans="12:12" x14ac:dyDescent="0.3">
      <c r="L818" s="293"/>
    </row>
    <row r="819" spans="12:12" x14ac:dyDescent="0.3">
      <c r="L819" s="293"/>
    </row>
    <row r="820" spans="12:12" x14ac:dyDescent="0.3">
      <c r="L820" s="293"/>
    </row>
    <row r="821" spans="12:12" x14ac:dyDescent="0.3">
      <c r="L821" s="293"/>
    </row>
    <row r="822" spans="12:12" x14ac:dyDescent="0.3">
      <c r="L822" s="293"/>
    </row>
    <row r="823" spans="12:12" x14ac:dyDescent="0.3">
      <c r="L823" s="293"/>
    </row>
    <row r="824" spans="12:12" x14ac:dyDescent="0.3">
      <c r="L824" s="293"/>
    </row>
    <row r="825" spans="12:12" x14ac:dyDescent="0.3">
      <c r="L825" s="293"/>
    </row>
    <row r="826" spans="12:12" x14ac:dyDescent="0.3">
      <c r="L826" s="293"/>
    </row>
    <row r="827" spans="12:12" x14ac:dyDescent="0.3">
      <c r="L827" s="293"/>
    </row>
    <row r="828" spans="12:12" x14ac:dyDescent="0.3">
      <c r="L828" s="293"/>
    </row>
    <row r="829" spans="12:12" x14ac:dyDescent="0.3">
      <c r="L829" s="293"/>
    </row>
    <row r="830" spans="12:12" x14ac:dyDescent="0.3">
      <c r="L830" s="293"/>
    </row>
    <row r="831" spans="12:12" x14ac:dyDescent="0.3">
      <c r="L831" s="293"/>
    </row>
    <row r="832" spans="12:12" x14ac:dyDescent="0.3">
      <c r="L832" s="293"/>
    </row>
    <row r="833" spans="12:12" x14ac:dyDescent="0.3">
      <c r="L833" s="293"/>
    </row>
    <row r="834" spans="12:12" x14ac:dyDescent="0.3">
      <c r="L834" s="293"/>
    </row>
    <row r="835" spans="12:12" x14ac:dyDescent="0.3">
      <c r="L835" s="293"/>
    </row>
    <row r="836" spans="12:12" x14ac:dyDescent="0.3">
      <c r="L836" s="293"/>
    </row>
    <row r="837" spans="12:12" x14ac:dyDescent="0.3">
      <c r="L837" s="293"/>
    </row>
    <row r="838" spans="12:12" x14ac:dyDescent="0.3">
      <c r="L838" s="293"/>
    </row>
    <row r="839" spans="12:12" x14ac:dyDescent="0.3">
      <c r="L839" s="293"/>
    </row>
    <row r="840" spans="12:12" x14ac:dyDescent="0.3">
      <c r="L840" s="293"/>
    </row>
    <row r="841" spans="12:12" x14ac:dyDescent="0.3">
      <c r="L841" s="293"/>
    </row>
    <row r="842" spans="12:12" x14ac:dyDescent="0.3">
      <c r="L842" s="293"/>
    </row>
    <row r="843" spans="12:12" x14ac:dyDescent="0.3">
      <c r="L843" s="293"/>
    </row>
    <row r="844" spans="12:12" x14ac:dyDescent="0.3">
      <c r="L844" s="293"/>
    </row>
    <row r="845" spans="12:12" x14ac:dyDescent="0.3">
      <c r="L845" s="293"/>
    </row>
    <row r="846" spans="12:12" x14ac:dyDescent="0.3">
      <c r="L846" s="293"/>
    </row>
    <row r="847" spans="12:12" x14ac:dyDescent="0.3">
      <c r="L847" s="293"/>
    </row>
    <row r="848" spans="12:12" x14ac:dyDescent="0.3">
      <c r="L848" s="293"/>
    </row>
    <row r="849" spans="12:12" x14ac:dyDescent="0.3">
      <c r="L849" s="293"/>
    </row>
    <row r="850" spans="12:12" x14ac:dyDescent="0.3">
      <c r="L850" s="293"/>
    </row>
    <row r="851" spans="12:12" x14ac:dyDescent="0.3">
      <c r="L851" s="293"/>
    </row>
    <row r="852" spans="12:12" x14ac:dyDescent="0.3">
      <c r="L852" s="293"/>
    </row>
    <row r="853" spans="12:12" x14ac:dyDescent="0.3">
      <c r="L853" s="293"/>
    </row>
    <row r="854" spans="12:12" x14ac:dyDescent="0.3">
      <c r="L854" s="293"/>
    </row>
    <row r="855" spans="12:12" x14ac:dyDescent="0.3">
      <c r="L855" s="293"/>
    </row>
    <row r="856" spans="12:12" x14ac:dyDescent="0.3">
      <c r="L856" s="293"/>
    </row>
    <row r="857" spans="12:12" x14ac:dyDescent="0.3">
      <c r="L857" s="293"/>
    </row>
    <row r="858" spans="12:12" x14ac:dyDescent="0.3">
      <c r="L858" s="293"/>
    </row>
    <row r="859" spans="12:12" x14ac:dyDescent="0.3">
      <c r="L859" s="293"/>
    </row>
    <row r="860" spans="12:12" x14ac:dyDescent="0.3">
      <c r="L860" s="293"/>
    </row>
    <row r="861" spans="12:12" x14ac:dyDescent="0.3">
      <c r="L861" s="293"/>
    </row>
    <row r="862" spans="12:12" x14ac:dyDescent="0.3">
      <c r="L862" s="293"/>
    </row>
    <row r="863" spans="12:12" x14ac:dyDescent="0.3">
      <c r="L863" s="293"/>
    </row>
    <row r="864" spans="12:12" x14ac:dyDescent="0.3">
      <c r="L864" s="293"/>
    </row>
    <row r="865" spans="12:12" x14ac:dyDescent="0.3">
      <c r="L865" s="293"/>
    </row>
    <row r="866" spans="12:12" x14ac:dyDescent="0.3">
      <c r="L866" s="293"/>
    </row>
    <row r="867" spans="12:12" x14ac:dyDescent="0.3">
      <c r="L867" s="293"/>
    </row>
    <row r="868" spans="12:12" x14ac:dyDescent="0.3">
      <c r="L868" s="293"/>
    </row>
    <row r="869" spans="12:12" x14ac:dyDescent="0.3">
      <c r="L869" s="293"/>
    </row>
    <row r="870" spans="12:12" x14ac:dyDescent="0.3">
      <c r="L870" s="293"/>
    </row>
    <row r="871" spans="12:12" x14ac:dyDescent="0.3">
      <c r="L871" s="293"/>
    </row>
    <row r="872" spans="12:12" x14ac:dyDescent="0.3">
      <c r="L872" s="293"/>
    </row>
    <row r="873" spans="12:12" x14ac:dyDescent="0.3">
      <c r="L873" s="293"/>
    </row>
    <row r="874" spans="12:12" x14ac:dyDescent="0.3">
      <c r="L874" s="293"/>
    </row>
    <row r="875" spans="12:12" x14ac:dyDescent="0.3">
      <c r="L875" s="293"/>
    </row>
    <row r="876" spans="12:12" x14ac:dyDescent="0.3">
      <c r="L876" s="293"/>
    </row>
    <row r="877" spans="12:12" x14ac:dyDescent="0.3">
      <c r="L877" s="293"/>
    </row>
    <row r="878" spans="12:12" x14ac:dyDescent="0.3">
      <c r="L878" s="293"/>
    </row>
    <row r="879" spans="12:12" x14ac:dyDescent="0.3">
      <c r="L879" s="293"/>
    </row>
    <row r="880" spans="12:12" x14ac:dyDescent="0.3">
      <c r="L880" s="293"/>
    </row>
    <row r="881" spans="12:12" x14ac:dyDescent="0.3">
      <c r="L881" s="293"/>
    </row>
    <row r="882" spans="12:12" x14ac:dyDescent="0.3">
      <c r="L882" s="293"/>
    </row>
    <row r="883" spans="12:12" x14ac:dyDescent="0.3">
      <c r="L883" s="293"/>
    </row>
    <row r="884" spans="12:12" x14ac:dyDescent="0.3">
      <c r="L884" s="293"/>
    </row>
    <row r="885" spans="12:12" x14ac:dyDescent="0.3">
      <c r="L885" s="293"/>
    </row>
    <row r="886" spans="12:12" x14ac:dyDescent="0.3">
      <c r="L886" s="293"/>
    </row>
    <row r="887" spans="12:12" x14ac:dyDescent="0.3">
      <c r="L887" s="293"/>
    </row>
    <row r="888" spans="12:12" x14ac:dyDescent="0.3">
      <c r="L888" s="293"/>
    </row>
    <row r="889" spans="12:12" x14ac:dyDescent="0.3">
      <c r="L889" s="293"/>
    </row>
    <row r="890" spans="12:12" x14ac:dyDescent="0.3">
      <c r="L890" s="293"/>
    </row>
    <row r="891" spans="12:12" x14ac:dyDescent="0.3">
      <c r="L891" s="293"/>
    </row>
    <row r="892" spans="12:12" x14ac:dyDescent="0.3">
      <c r="L892" s="293"/>
    </row>
    <row r="893" spans="12:12" x14ac:dyDescent="0.3">
      <c r="L893" s="293"/>
    </row>
    <row r="894" spans="12:12" x14ac:dyDescent="0.3">
      <c r="L894" s="293"/>
    </row>
    <row r="895" spans="12:12" x14ac:dyDescent="0.3">
      <c r="L895" s="293"/>
    </row>
    <row r="896" spans="12:12" x14ac:dyDescent="0.3">
      <c r="L896" s="293"/>
    </row>
    <row r="897" spans="12:12" x14ac:dyDescent="0.3">
      <c r="L897" s="293"/>
    </row>
    <row r="898" spans="12:12" x14ac:dyDescent="0.3">
      <c r="L898" s="293"/>
    </row>
    <row r="899" spans="12:12" x14ac:dyDescent="0.3">
      <c r="L899" s="293"/>
    </row>
    <row r="900" spans="12:12" x14ac:dyDescent="0.3">
      <c r="L900" s="293"/>
    </row>
    <row r="901" spans="12:12" x14ac:dyDescent="0.3">
      <c r="L901" s="293"/>
    </row>
    <row r="902" spans="12:12" x14ac:dyDescent="0.3">
      <c r="L902" s="293"/>
    </row>
    <row r="903" spans="12:12" x14ac:dyDescent="0.3">
      <c r="L903" s="293"/>
    </row>
    <row r="904" spans="12:12" x14ac:dyDescent="0.3">
      <c r="L904" s="293"/>
    </row>
    <row r="905" spans="12:12" x14ac:dyDescent="0.3">
      <c r="L905" s="293"/>
    </row>
    <row r="906" spans="12:12" x14ac:dyDescent="0.3">
      <c r="L906" s="293"/>
    </row>
    <row r="907" spans="12:12" x14ac:dyDescent="0.3">
      <c r="L907" s="293"/>
    </row>
    <row r="908" spans="12:12" x14ac:dyDescent="0.3">
      <c r="L908" s="293"/>
    </row>
    <row r="909" spans="12:12" x14ac:dyDescent="0.3">
      <c r="L909" s="293"/>
    </row>
    <row r="910" spans="12:12" x14ac:dyDescent="0.3">
      <c r="L910" s="293"/>
    </row>
    <row r="911" spans="12:12" x14ac:dyDescent="0.3">
      <c r="L911" s="293"/>
    </row>
    <row r="912" spans="12:12" x14ac:dyDescent="0.3">
      <c r="L912" s="293"/>
    </row>
    <row r="913" spans="12:12" x14ac:dyDescent="0.3">
      <c r="L913" s="293"/>
    </row>
    <row r="914" spans="12:12" x14ac:dyDescent="0.3">
      <c r="L914" s="293"/>
    </row>
    <row r="915" spans="12:12" x14ac:dyDescent="0.3">
      <c r="L915" s="293"/>
    </row>
    <row r="916" spans="12:12" x14ac:dyDescent="0.3">
      <c r="L916" s="293"/>
    </row>
    <row r="917" spans="12:12" x14ac:dyDescent="0.3">
      <c r="L917" s="293"/>
    </row>
    <row r="918" spans="12:12" x14ac:dyDescent="0.3">
      <c r="L918" s="293"/>
    </row>
    <row r="919" spans="12:12" x14ac:dyDescent="0.3">
      <c r="L919" s="293"/>
    </row>
    <row r="920" spans="12:12" x14ac:dyDescent="0.3">
      <c r="L920" s="293"/>
    </row>
    <row r="921" spans="12:12" x14ac:dyDescent="0.3">
      <c r="L921" s="293"/>
    </row>
    <row r="922" spans="12:12" x14ac:dyDescent="0.3">
      <c r="L922" s="293"/>
    </row>
    <row r="923" spans="12:12" x14ac:dyDescent="0.3">
      <c r="L923" s="293"/>
    </row>
    <row r="924" spans="12:12" x14ac:dyDescent="0.3">
      <c r="L924" s="293"/>
    </row>
    <row r="925" spans="12:12" x14ac:dyDescent="0.3">
      <c r="L925" s="293"/>
    </row>
    <row r="926" spans="12:12" x14ac:dyDescent="0.3">
      <c r="L926" s="293"/>
    </row>
    <row r="927" spans="12:12" x14ac:dyDescent="0.3">
      <c r="L927" s="293"/>
    </row>
    <row r="928" spans="12:12" x14ac:dyDescent="0.3">
      <c r="L928" s="293"/>
    </row>
    <row r="929" spans="12:12" x14ac:dyDescent="0.3">
      <c r="L929" s="293"/>
    </row>
    <row r="930" spans="12:12" x14ac:dyDescent="0.3">
      <c r="L930" s="293"/>
    </row>
    <row r="931" spans="12:12" x14ac:dyDescent="0.3">
      <c r="L931" s="293"/>
    </row>
    <row r="932" spans="12:12" x14ac:dyDescent="0.3">
      <c r="L932" s="293"/>
    </row>
    <row r="933" spans="12:12" x14ac:dyDescent="0.3">
      <c r="L933" s="293"/>
    </row>
    <row r="934" spans="12:12" x14ac:dyDescent="0.3">
      <c r="L934" s="293"/>
    </row>
    <row r="935" spans="12:12" x14ac:dyDescent="0.3">
      <c r="L935" s="293"/>
    </row>
    <row r="936" spans="12:12" x14ac:dyDescent="0.3">
      <c r="L936" s="293"/>
    </row>
    <row r="937" spans="12:12" x14ac:dyDescent="0.3">
      <c r="L937" s="293"/>
    </row>
    <row r="938" spans="12:12" x14ac:dyDescent="0.3">
      <c r="L938" s="293"/>
    </row>
    <row r="939" spans="12:12" x14ac:dyDescent="0.3">
      <c r="L939" s="293"/>
    </row>
    <row r="940" spans="12:12" x14ac:dyDescent="0.3">
      <c r="L940" s="293"/>
    </row>
    <row r="941" spans="12:12" x14ac:dyDescent="0.3">
      <c r="L941" s="293"/>
    </row>
    <row r="942" spans="12:12" x14ac:dyDescent="0.3">
      <c r="L942" s="293"/>
    </row>
    <row r="943" spans="12:12" x14ac:dyDescent="0.3">
      <c r="L943" s="293"/>
    </row>
    <row r="944" spans="12:12" x14ac:dyDescent="0.3">
      <c r="L944" s="293"/>
    </row>
    <row r="945" spans="12:12" x14ac:dyDescent="0.3">
      <c r="L945" s="293"/>
    </row>
    <row r="946" spans="12:12" x14ac:dyDescent="0.3">
      <c r="L946" s="293"/>
    </row>
    <row r="947" spans="12:12" x14ac:dyDescent="0.3">
      <c r="L947" s="293"/>
    </row>
    <row r="948" spans="12:12" x14ac:dyDescent="0.3">
      <c r="L948" s="293"/>
    </row>
    <row r="949" spans="12:12" x14ac:dyDescent="0.3">
      <c r="L949" s="293"/>
    </row>
    <row r="950" spans="12:12" x14ac:dyDescent="0.3">
      <c r="L950" s="293"/>
    </row>
    <row r="951" spans="12:12" x14ac:dyDescent="0.3">
      <c r="L951" s="293"/>
    </row>
    <row r="952" spans="12:12" x14ac:dyDescent="0.3">
      <c r="L952" s="293"/>
    </row>
    <row r="953" spans="12:12" x14ac:dyDescent="0.3">
      <c r="L953" s="293"/>
    </row>
    <row r="954" spans="12:12" x14ac:dyDescent="0.3">
      <c r="L954" s="293"/>
    </row>
    <row r="955" spans="12:12" x14ac:dyDescent="0.3">
      <c r="L955" s="293"/>
    </row>
    <row r="956" spans="12:12" x14ac:dyDescent="0.3">
      <c r="L956" s="293"/>
    </row>
    <row r="957" spans="12:12" x14ac:dyDescent="0.3">
      <c r="L957" s="293"/>
    </row>
    <row r="958" spans="12:12" x14ac:dyDescent="0.3">
      <c r="L958" s="293"/>
    </row>
    <row r="959" spans="12:12" x14ac:dyDescent="0.3">
      <c r="L959" s="293"/>
    </row>
    <row r="960" spans="12:12" x14ac:dyDescent="0.3">
      <c r="L960" s="293"/>
    </row>
    <row r="961" spans="12:12" x14ac:dyDescent="0.3">
      <c r="L961" s="293"/>
    </row>
    <row r="962" spans="12:12" x14ac:dyDescent="0.3">
      <c r="L962" s="293"/>
    </row>
    <row r="963" spans="12:12" x14ac:dyDescent="0.3">
      <c r="L963" s="293"/>
    </row>
    <row r="964" spans="12:12" x14ac:dyDescent="0.3">
      <c r="L964" s="293"/>
    </row>
    <row r="965" spans="12:12" x14ac:dyDescent="0.3">
      <c r="L965" s="293"/>
    </row>
    <row r="966" spans="12:12" x14ac:dyDescent="0.3">
      <c r="L966" s="293"/>
    </row>
    <row r="967" spans="12:12" x14ac:dyDescent="0.3">
      <c r="L967" s="293"/>
    </row>
    <row r="968" spans="12:12" x14ac:dyDescent="0.3">
      <c r="L968" s="293"/>
    </row>
    <row r="969" spans="12:12" x14ac:dyDescent="0.3">
      <c r="L969" s="293"/>
    </row>
    <row r="970" spans="12:12" x14ac:dyDescent="0.3">
      <c r="L970" s="293"/>
    </row>
    <row r="971" spans="12:12" x14ac:dyDescent="0.3">
      <c r="L971" s="293"/>
    </row>
    <row r="972" spans="12:12" x14ac:dyDescent="0.3">
      <c r="L972" s="293"/>
    </row>
    <row r="973" spans="12:12" x14ac:dyDescent="0.3">
      <c r="L973" s="293"/>
    </row>
    <row r="974" spans="12:12" x14ac:dyDescent="0.3">
      <c r="L974" s="293"/>
    </row>
    <row r="975" spans="12:12" x14ac:dyDescent="0.3">
      <c r="L975" s="293"/>
    </row>
    <row r="976" spans="12:12" x14ac:dyDescent="0.3">
      <c r="L976" s="293"/>
    </row>
    <row r="977" spans="12:12" x14ac:dyDescent="0.3">
      <c r="L977" s="293"/>
    </row>
    <row r="978" spans="12:12" x14ac:dyDescent="0.3">
      <c r="L978" s="293"/>
    </row>
    <row r="979" spans="12:12" x14ac:dyDescent="0.3">
      <c r="L979" s="293"/>
    </row>
    <row r="980" spans="12:12" x14ac:dyDescent="0.3">
      <c r="L980" s="293"/>
    </row>
    <row r="981" spans="12:12" x14ac:dyDescent="0.3">
      <c r="L981" s="293"/>
    </row>
    <row r="982" spans="12:12" x14ac:dyDescent="0.3">
      <c r="L982" s="293"/>
    </row>
    <row r="983" spans="12:12" x14ac:dyDescent="0.3">
      <c r="L983" s="293"/>
    </row>
    <row r="984" spans="12:12" x14ac:dyDescent="0.3">
      <c r="L984" s="293"/>
    </row>
    <row r="985" spans="12:12" x14ac:dyDescent="0.3">
      <c r="L985" s="293"/>
    </row>
    <row r="986" spans="12:12" x14ac:dyDescent="0.3">
      <c r="L986" s="293"/>
    </row>
    <row r="987" spans="12:12" x14ac:dyDescent="0.3">
      <c r="L987" s="293"/>
    </row>
    <row r="988" spans="12:12" x14ac:dyDescent="0.3">
      <c r="L988" s="293"/>
    </row>
    <row r="989" spans="12:12" x14ac:dyDescent="0.3">
      <c r="L989" s="293"/>
    </row>
    <row r="990" spans="12:12" x14ac:dyDescent="0.3">
      <c r="L990" s="293"/>
    </row>
    <row r="991" spans="12:12" x14ac:dyDescent="0.3">
      <c r="L991" s="293"/>
    </row>
    <row r="992" spans="12:12" x14ac:dyDescent="0.3">
      <c r="L992" s="293"/>
    </row>
    <row r="993" spans="12:12" x14ac:dyDescent="0.3">
      <c r="L993" s="293"/>
    </row>
    <row r="994" spans="12:12" x14ac:dyDescent="0.3">
      <c r="L994" s="293"/>
    </row>
    <row r="995" spans="12:12" x14ac:dyDescent="0.3">
      <c r="L995" s="293"/>
    </row>
    <row r="996" spans="12:12" x14ac:dyDescent="0.3">
      <c r="L996" s="293"/>
    </row>
    <row r="997" spans="12:12" x14ac:dyDescent="0.3">
      <c r="L997" s="293"/>
    </row>
    <row r="998" spans="12:12" x14ac:dyDescent="0.3">
      <c r="L998" s="293"/>
    </row>
    <row r="999" spans="12:12" x14ac:dyDescent="0.3">
      <c r="L999" s="293"/>
    </row>
    <row r="1000" spans="12:12" x14ac:dyDescent="0.3">
      <c r="L1000" s="293"/>
    </row>
    <row r="1001" spans="12:12" x14ac:dyDescent="0.3">
      <c r="L1001" s="293"/>
    </row>
    <row r="1002" spans="12:12" x14ac:dyDescent="0.3">
      <c r="L1002" s="293"/>
    </row>
    <row r="1003" spans="12:12" x14ac:dyDescent="0.3">
      <c r="L1003" s="293"/>
    </row>
    <row r="1004" spans="12:12" x14ac:dyDescent="0.3">
      <c r="L1004" s="293"/>
    </row>
    <row r="1005" spans="12:12" x14ac:dyDescent="0.3">
      <c r="L1005" s="293"/>
    </row>
    <row r="1006" spans="12:12" x14ac:dyDescent="0.3">
      <c r="L1006" s="293"/>
    </row>
    <row r="1007" spans="12:12" x14ac:dyDescent="0.3">
      <c r="L1007" s="293"/>
    </row>
    <row r="1008" spans="12:12" x14ac:dyDescent="0.3">
      <c r="L1008" s="293"/>
    </row>
    <row r="1009" spans="12:12" x14ac:dyDescent="0.3">
      <c r="L1009" s="293"/>
    </row>
    <row r="1010" spans="12:12" x14ac:dyDescent="0.3">
      <c r="L1010" s="293"/>
    </row>
    <row r="1011" spans="12:12" x14ac:dyDescent="0.3">
      <c r="L1011" s="293"/>
    </row>
    <row r="1012" spans="12:12" x14ac:dyDescent="0.3">
      <c r="L1012" s="293"/>
    </row>
    <row r="1013" spans="12:12" x14ac:dyDescent="0.3">
      <c r="L1013" s="293"/>
    </row>
    <row r="1014" spans="12:12" x14ac:dyDescent="0.3">
      <c r="L1014" s="293"/>
    </row>
    <row r="1015" spans="12:12" x14ac:dyDescent="0.3">
      <c r="L1015" s="293"/>
    </row>
    <row r="1016" spans="12:12" x14ac:dyDescent="0.3">
      <c r="L1016" s="293"/>
    </row>
    <row r="1017" spans="12:12" x14ac:dyDescent="0.3">
      <c r="L1017" s="293"/>
    </row>
    <row r="1018" spans="12:12" x14ac:dyDescent="0.3">
      <c r="L1018" s="293"/>
    </row>
    <row r="1019" spans="12:12" x14ac:dyDescent="0.3">
      <c r="L1019" s="293"/>
    </row>
    <row r="1020" spans="12:12" x14ac:dyDescent="0.3">
      <c r="L1020" s="293"/>
    </row>
    <row r="1021" spans="12:12" x14ac:dyDescent="0.3">
      <c r="L1021" s="293"/>
    </row>
    <row r="1022" spans="12:12" x14ac:dyDescent="0.3">
      <c r="L1022" s="293"/>
    </row>
    <row r="1023" spans="12:12" x14ac:dyDescent="0.3">
      <c r="L1023" s="293"/>
    </row>
    <row r="1024" spans="12:12" x14ac:dyDescent="0.3">
      <c r="L1024" s="293"/>
    </row>
    <row r="1025" spans="12:12" x14ac:dyDescent="0.3">
      <c r="L1025" s="293"/>
    </row>
    <row r="1026" spans="12:12" x14ac:dyDescent="0.3">
      <c r="L1026" s="293"/>
    </row>
    <row r="1027" spans="12:12" x14ac:dyDescent="0.3">
      <c r="L1027" s="293"/>
    </row>
    <row r="1028" spans="12:12" x14ac:dyDescent="0.3">
      <c r="L1028" s="293"/>
    </row>
    <row r="1029" spans="12:12" x14ac:dyDescent="0.3">
      <c r="L1029" s="293"/>
    </row>
    <row r="1030" spans="12:12" x14ac:dyDescent="0.3">
      <c r="L1030" s="293"/>
    </row>
    <row r="1031" spans="12:12" x14ac:dyDescent="0.3">
      <c r="L1031" s="293"/>
    </row>
    <row r="1032" spans="12:12" x14ac:dyDescent="0.3">
      <c r="L1032" s="293"/>
    </row>
    <row r="1033" spans="12:12" x14ac:dyDescent="0.3">
      <c r="L1033" s="293"/>
    </row>
    <row r="1034" spans="12:12" x14ac:dyDescent="0.3">
      <c r="L1034" s="293"/>
    </row>
    <row r="1035" spans="12:12" x14ac:dyDescent="0.3">
      <c r="L1035" s="293"/>
    </row>
    <row r="1036" spans="12:12" x14ac:dyDescent="0.3">
      <c r="L1036" s="293"/>
    </row>
    <row r="1037" spans="12:12" x14ac:dyDescent="0.3">
      <c r="L1037" s="293"/>
    </row>
    <row r="1038" spans="12:12" x14ac:dyDescent="0.3">
      <c r="L1038" s="293"/>
    </row>
    <row r="1039" spans="12:12" x14ac:dyDescent="0.3">
      <c r="L1039" s="293"/>
    </row>
    <row r="1040" spans="12:12" x14ac:dyDescent="0.3">
      <c r="L1040" s="293"/>
    </row>
    <row r="1041" spans="12:12" x14ac:dyDescent="0.3">
      <c r="L1041" s="293"/>
    </row>
    <row r="1042" spans="12:12" x14ac:dyDescent="0.3">
      <c r="L1042" s="293"/>
    </row>
    <row r="1043" spans="12:12" x14ac:dyDescent="0.3">
      <c r="L1043" s="293"/>
    </row>
    <row r="1044" spans="12:12" x14ac:dyDescent="0.3">
      <c r="L1044" s="293"/>
    </row>
    <row r="1045" spans="12:12" x14ac:dyDescent="0.3">
      <c r="L1045" s="293"/>
    </row>
    <row r="1046" spans="12:12" x14ac:dyDescent="0.3">
      <c r="L1046" s="293"/>
    </row>
    <row r="1047" spans="12:12" x14ac:dyDescent="0.3">
      <c r="L1047" s="293"/>
    </row>
    <row r="1048" spans="12:12" x14ac:dyDescent="0.3">
      <c r="L1048" s="293"/>
    </row>
    <row r="1049" spans="12:12" x14ac:dyDescent="0.3">
      <c r="L1049" s="293"/>
    </row>
    <row r="1050" spans="12:12" x14ac:dyDescent="0.3">
      <c r="L1050" s="293"/>
    </row>
    <row r="1051" spans="12:12" x14ac:dyDescent="0.3">
      <c r="L1051" s="293"/>
    </row>
    <row r="1052" spans="12:12" x14ac:dyDescent="0.3">
      <c r="L1052" s="293"/>
    </row>
    <row r="1053" spans="12:12" x14ac:dyDescent="0.3">
      <c r="L1053" s="293"/>
    </row>
    <row r="1054" spans="12:12" x14ac:dyDescent="0.3">
      <c r="L1054" s="293"/>
    </row>
    <row r="1055" spans="12:12" x14ac:dyDescent="0.3">
      <c r="L1055" s="293"/>
    </row>
    <row r="1056" spans="12:12" x14ac:dyDescent="0.3">
      <c r="L1056" s="293"/>
    </row>
    <row r="1057" spans="12:12" x14ac:dyDescent="0.3">
      <c r="L1057" s="293"/>
    </row>
    <row r="1058" spans="12:12" x14ac:dyDescent="0.3">
      <c r="L1058" s="293"/>
    </row>
    <row r="1059" spans="12:12" x14ac:dyDescent="0.3">
      <c r="L1059" s="293"/>
    </row>
    <row r="1060" spans="12:12" x14ac:dyDescent="0.3">
      <c r="L1060" s="293"/>
    </row>
    <row r="1061" spans="12:12" x14ac:dyDescent="0.3">
      <c r="L1061" s="293"/>
    </row>
    <row r="1062" spans="12:12" x14ac:dyDescent="0.3">
      <c r="L1062" s="293"/>
    </row>
    <row r="1063" spans="12:12" x14ac:dyDescent="0.3">
      <c r="L1063" s="293"/>
    </row>
    <row r="1064" spans="12:12" x14ac:dyDescent="0.3">
      <c r="L1064" s="293"/>
    </row>
    <row r="1065" spans="12:12" x14ac:dyDescent="0.3">
      <c r="L1065" s="293"/>
    </row>
    <row r="1066" spans="12:12" x14ac:dyDescent="0.3">
      <c r="L1066" s="293"/>
    </row>
    <row r="1067" spans="12:12" x14ac:dyDescent="0.3">
      <c r="L1067" s="293"/>
    </row>
    <row r="1068" spans="12:12" x14ac:dyDescent="0.3">
      <c r="L1068" s="293"/>
    </row>
    <row r="1069" spans="12:12" x14ac:dyDescent="0.3">
      <c r="L1069" s="293"/>
    </row>
    <row r="1070" spans="12:12" x14ac:dyDescent="0.3">
      <c r="L1070" s="293"/>
    </row>
    <row r="1071" spans="12:12" x14ac:dyDescent="0.3">
      <c r="L1071" s="293"/>
    </row>
    <row r="1072" spans="12:12" x14ac:dyDescent="0.3">
      <c r="L1072" s="293"/>
    </row>
    <row r="1073" spans="12:12" x14ac:dyDescent="0.3">
      <c r="L1073" s="293"/>
    </row>
    <row r="1074" spans="12:12" x14ac:dyDescent="0.3">
      <c r="L1074" s="293"/>
    </row>
    <row r="1075" spans="12:12" x14ac:dyDescent="0.3">
      <c r="L1075" s="293"/>
    </row>
    <row r="1076" spans="12:12" x14ac:dyDescent="0.3">
      <c r="L1076" s="293"/>
    </row>
    <row r="1077" spans="12:12" x14ac:dyDescent="0.3">
      <c r="L1077" s="293"/>
    </row>
    <row r="1078" spans="12:12" x14ac:dyDescent="0.3">
      <c r="L1078" s="293"/>
    </row>
    <row r="1079" spans="12:12" x14ac:dyDescent="0.3">
      <c r="L1079" s="293"/>
    </row>
    <row r="1080" spans="12:12" x14ac:dyDescent="0.3">
      <c r="L1080" s="293"/>
    </row>
    <row r="1081" spans="12:12" x14ac:dyDescent="0.3">
      <c r="L1081" s="293"/>
    </row>
    <row r="1082" spans="12:12" x14ac:dyDescent="0.3">
      <c r="L1082" s="293"/>
    </row>
    <row r="1083" spans="12:12" x14ac:dyDescent="0.3">
      <c r="L1083" s="293"/>
    </row>
    <row r="1084" spans="12:12" x14ac:dyDescent="0.3">
      <c r="L1084" s="293"/>
    </row>
    <row r="1085" spans="12:12" x14ac:dyDescent="0.3">
      <c r="L1085" s="293"/>
    </row>
    <row r="1086" spans="12:12" x14ac:dyDescent="0.3">
      <c r="L1086" s="293"/>
    </row>
    <row r="1087" spans="12:12" x14ac:dyDescent="0.3">
      <c r="L1087" s="293"/>
    </row>
    <row r="1088" spans="12:12" x14ac:dyDescent="0.3">
      <c r="L1088" s="293"/>
    </row>
    <row r="1089" spans="12:12" x14ac:dyDescent="0.3">
      <c r="L1089" s="293"/>
    </row>
    <row r="1090" spans="12:12" x14ac:dyDescent="0.3">
      <c r="L1090" s="293"/>
    </row>
    <row r="1091" spans="12:12" x14ac:dyDescent="0.3">
      <c r="L1091" s="293"/>
    </row>
    <row r="1092" spans="12:12" x14ac:dyDescent="0.3">
      <c r="L1092" s="293"/>
    </row>
    <row r="1093" spans="12:12" x14ac:dyDescent="0.3">
      <c r="L1093" s="293"/>
    </row>
    <row r="1094" spans="12:12" x14ac:dyDescent="0.3">
      <c r="L1094" s="293"/>
    </row>
    <row r="1095" spans="12:12" x14ac:dyDescent="0.3">
      <c r="L1095" s="293"/>
    </row>
    <row r="1096" spans="12:12" x14ac:dyDescent="0.3">
      <c r="L1096" s="293"/>
    </row>
    <row r="1097" spans="12:12" x14ac:dyDescent="0.3">
      <c r="L1097" s="293"/>
    </row>
    <row r="1098" spans="12:12" x14ac:dyDescent="0.3">
      <c r="L1098" s="293"/>
    </row>
    <row r="1099" spans="12:12" x14ac:dyDescent="0.3">
      <c r="L1099" s="293"/>
    </row>
    <row r="1100" spans="12:12" x14ac:dyDescent="0.3">
      <c r="L1100" s="293"/>
    </row>
    <row r="1101" spans="12:12" x14ac:dyDescent="0.3">
      <c r="L1101" s="293"/>
    </row>
    <row r="1102" spans="12:12" x14ac:dyDescent="0.3">
      <c r="L1102" s="293"/>
    </row>
    <row r="1103" spans="12:12" x14ac:dyDescent="0.3">
      <c r="L1103" s="293"/>
    </row>
    <row r="1104" spans="12:12" x14ac:dyDescent="0.3">
      <c r="L1104" s="293"/>
    </row>
    <row r="1105" spans="12:12" x14ac:dyDescent="0.3">
      <c r="L1105" s="293"/>
    </row>
    <row r="1106" spans="12:12" x14ac:dyDescent="0.3">
      <c r="L1106" s="293"/>
    </row>
    <row r="1107" spans="12:12" x14ac:dyDescent="0.3">
      <c r="L1107" s="293"/>
    </row>
    <row r="1108" spans="12:12" x14ac:dyDescent="0.3">
      <c r="L1108" s="293"/>
    </row>
    <row r="1109" spans="12:12" x14ac:dyDescent="0.3">
      <c r="L1109" s="293"/>
    </row>
    <row r="1110" spans="12:12" x14ac:dyDescent="0.3">
      <c r="L1110" s="293"/>
    </row>
    <row r="1111" spans="12:12" x14ac:dyDescent="0.3">
      <c r="L1111" s="293"/>
    </row>
    <row r="1112" spans="12:12" x14ac:dyDescent="0.3">
      <c r="L1112" s="293"/>
    </row>
    <row r="1113" spans="12:12" x14ac:dyDescent="0.3">
      <c r="L1113" s="293"/>
    </row>
    <row r="1114" spans="12:12" x14ac:dyDescent="0.3">
      <c r="L1114" s="293"/>
    </row>
    <row r="1115" spans="12:12" x14ac:dyDescent="0.3">
      <c r="L1115" s="293"/>
    </row>
    <row r="1116" spans="12:12" x14ac:dyDescent="0.3">
      <c r="L1116" s="293"/>
    </row>
    <row r="1117" spans="12:12" x14ac:dyDescent="0.3">
      <c r="L1117" s="293"/>
    </row>
    <row r="1118" spans="12:12" x14ac:dyDescent="0.3">
      <c r="L1118" s="293"/>
    </row>
    <row r="1119" spans="12:12" x14ac:dyDescent="0.3">
      <c r="L1119" s="293"/>
    </row>
    <row r="1120" spans="12:12" x14ac:dyDescent="0.3">
      <c r="L1120" s="293"/>
    </row>
    <row r="1121" spans="12:12" x14ac:dyDescent="0.3">
      <c r="L1121" s="293"/>
    </row>
    <row r="1122" spans="12:12" x14ac:dyDescent="0.3">
      <c r="L1122" s="293"/>
    </row>
    <row r="1123" spans="12:12" x14ac:dyDescent="0.3">
      <c r="L1123" s="293"/>
    </row>
    <row r="1124" spans="12:12" x14ac:dyDescent="0.3">
      <c r="L1124" s="293"/>
    </row>
    <row r="1125" spans="12:12" x14ac:dyDescent="0.3">
      <c r="L1125" s="293"/>
    </row>
    <row r="1126" spans="12:12" x14ac:dyDescent="0.3">
      <c r="L1126" s="293"/>
    </row>
    <row r="1127" spans="12:12" x14ac:dyDescent="0.3">
      <c r="L1127" s="293"/>
    </row>
    <row r="1128" spans="12:12" x14ac:dyDescent="0.3">
      <c r="L1128" s="293"/>
    </row>
    <row r="1129" spans="12:12" x14ac:dyDescent="0.3">
      <c r="L1129" s="293"/>
    </row>
    <row r="1130" spans="12:12" x14ac:dyDescent="0.3">
      <c r="L1130" s="293"/>
    </row>
    <row r="1131" spans="12:12" x14ac:dyDescent="0.3">
      <c r="L1131" s="293"/>
    </row>
    <row r="1132" spans="12:12" x14ac:dyDescent="0.3">
      <c r="L1132" s="293"/>
    </row>
    <row r="1133" spans="12:12" x14ac:dyDescent="0.3">
      <c r="L1133" s="293"/>
    </row>
    <row r="1134" spans="12:12" x14ac:dyDescent="0.3">
      <c r="L1134" s="293"/>
    </row>
    <row r="1135" spans="12:12" x14ac:dyDescent="0.3">
      <c r="L1135" s="293"/>
    </row>
    <row r="1136" spans="12:12" x14ac:dyDescent="0.3">
      <c r="L1136" s="293"/>
    </row>
    <row r="1137" spans="12:12" x14ac:dyDescent="0.3">
      <c r="L1137" s="293"/>
    </row>
    <row r="1138" spans="12:12" x14ac:dyDescent="0.3">
      <c r="L1138" s="293"/>
    </row>
    <row r="1139" spans="12:12" x14ac:dyDescent="0.3">
      <c r="L1139" s="293"/>
    </row>
    <row r="1140" spans="12:12" x14ac:dyDescent="0.3">
      <c r="L1140" s="293"/>
    </row>
    <row r="1141" spans="12:12" x14ac:dyDescent="0.3">
      <c r="L1141" s="293"/>
    </row>
    <row r="1142" spans="12:12" x14ac:dyDescent="0.3">
      <c r="L1142" s="293"/>
    </row>
    <row r="1143" spans="12:12" x14ac:dyDescent="0.3">
      <c r="L1143" s="293"/>
    </row>
    <row r="1144" spans="12:12" x14ac:dyDescent="0.3">
      <c r="L1144" s="293"/>
    </row>
    <row r="1145" spans="12:12" x14ac:dyDescent="0.3">
      <c r="L1145" s="293"/>
    </row>
    <row r="1146" spans="12:12" x14ac:dyDescent="0.3">
      <c r="L1146" s="293"/>
    </row>
    <row r="1147" spans="12:12" x14ac:dyDescent="0.3">
      <c r="L1147" s="293"/>
    </row>
    <row r="1148" spans="12:12" x14ac:dyDescent="0.3">
      <c r="L1148" s="293"/>
    </row>
    <row r="1149" spans="12:12" x14ac:dyDescent="0.3">
      <c r="L1149" s="293"/>
    </row>
    <row r="1150" spans="12:12" x14ac:dyDescent="0.3">
      <c r="L1150" s="293"/>
    </row>
    <row r="1151" spans="12:12" x14ac:dyDescent="0.3">
      <c r="L1151" s="293"/>
    </row>
    <row r="1152" spans="12:12" x14ac:dyDescent="0.3">
      <c r="L1152" s="293"/>
    </row>
    <row r="1153" spans="12:12" x14ac:dyDescent="0.3">
      <c r="L1153" s="293"/>
    </row>
    <row r="1154" spans="12:12" x14ac:dyDescent="0.3">
      <c r="L1154" s="293"/>
    </row>
    <row r="1155" spans="12:12" x14ac:dyDescent="0.3">
      <c r="L1155" s="293"/>
    </row>
    <row r="1156" spans="12:12" x14ac:dyDescent="0.3">
      <c r="L1156" s="293"/>
    </row>
    <row r="1157" spans="12:12" x14ac:dyDescent="0.3">
      <c r="L1157" s="293"/>
    </row>
    <row r="1158" spans="12:12" x14ac:dyDescent="0.3">
      <c r="L1158" s="293"/>
    </row>
    <row r="1159" spans="12:12" x14ac:dyDescent="0.3">
      <c r="L1159" s="293"/>
    </row>
    <row r="1160" spans="12:12" x14ac:dyDescent="0.3">
      <c r="L1160" s="293"/>
    </row>
    <row r="1161" spans="12:12" x14ac:dyDescent="0.3">
      <c r="L1161" s="293"/>
    </row>
    <row r="1162" spans="12:12" x14ac:dyDescent="0.3">
      <c r="L1162" s="293"/>
    </row>
    <row r="1163" spans="12:12" x14ac:dyDescent="0.3">
      <c r="L1163" s="293"/>
    </row>
    <row r="1164" spans="12:12" x14ac:dyDescent="0.3">
      <c r="L1164" s="293"/>
    </row>
    <row r="1165" spans="12:12" x14ac:dyDescent="0.3">
      <c r="L1165" s="293"/>
    </row>
    <row r="1166" spans="12:12" x14ac:dyDescent="0.3">
      <c r="L1166" s="293"/>
    </row>
    <row r="1167" spans="12:12" x14ac:dyDescent="0.3">
      <c r="L1167" s="293"/>
    </row>
    <row r="1168" spans="12:12" x14ac:dyDescent="0.3">
      <c r="L1168" s="293"/>
    </row>
    <row r="1169" spans="12:12" x14ac:dyDescent="0.3">
      <c r="L1169" s="293"/>
    </row>
    <row r="1170" spans="12:12" x14ac:dyDescent="0.3">
      <c r="L1170" s="293"/>
    </row>
    <row r="1171" spans="12:12" x14ac:dyDescent="0.3">
      <c r="L1171" s="293"/>
    </row>
    <row r="1172" spans="12:12" x14ac:dyDescent="0.3">
      <c r="L1172" s="293"/>
    </row>
    <row r="1173" spans="12:12" x14ac:dyDescent="0.3">
      <c r="L1173" s="293"/>
    </row>
    <row r="1174" spans="12:12" x14ac:dyDescent="0.3">
      <c r="L1174" s="293"/>
    </row>
    <row r="1175" spans="12:12" x14ac:dyDescent="0.3">
      <c r="L1175" s="293"/>
    </row>
    <row r="1176" spans="12:12" x14ac:dyDescent="0.3">
      <c r="L1176" s="293"/>
    </row>
    <row r="1177" spans="12:12" x14ac:dyDescent="0.3">
      <c r="L1177" s="293"/>
    </row>
    <row r="1178" spans="12:12" x14ac:dyDescent="0.3">
      <c r="L1178" s="293"/>
    </row>
    <row r="1179" spans="12:12" x14ac:dyDescent="0.3">
      <c r="L1179" s="293"/>
    </row>
    <row r="1180" spans="12:12" x14ac:dyDescent="0.3">
      <c r="L1180" s="293"/>
    </row>
    <row r="1181" spans="12:12" x14ac:dyDescent="0.3">
      <c r="L1181" s="293"/>
    </row>
    <row r="1182" spans="12:12" x14ac:dyDescent="0.3">
      <c r="L1182" s="293"/>
    </row>
    <row r="1183" spans="12:12" x14ac:dyDescent="0.3">
      <c r="L1183" s="293"/>
    </row>
    <row r="1184" spans="12:12" x14ac:dyDescent="0.3">
      <c r="L1184" s="293"/>
    </row>
    <row r="1185" spans="12:12" x14ac:dyDescent="0.3">
      <c r="L1185" s="293"/>
    </row>
    <row r="1186" spans="12:12" x14ac:dyDescent="0.3">
      <c r="L1186" s="293"/>
    </row>
    <row r="1187" spans="12:12" x14ac:dyDescent="0.3">
      <c r="L1187" s="293"/>
    </row>
    <row r="1188" spans="12:12" x14ac:dyDescent="0.3">
      <c r="L1188" s="293"/>
    </row>
    <row r="1189" spans="12:12" x14ac:dyDescent="0.3">
      <c r="L1189" s="293"/>
    </row>
    <row r="1190" spans="12:12" x14ac:dyDescent="0.3">
      <c r="L1190" s="293"/>
    </row>
    <row r="1191" spans="12:12" x14ac:dyDescent="0.3">
      <c r="L1191" s="293"/>
    </row>
    <row r="1192" spans="12:12" x14ac:dyDescent="0.3">
      <c r="L1192" s="293"/>
    </row>
    <row r="1193" spans="12:12" x14ac:dyDescent="0.3">
      <c r="L1193" s="293"/>
    </row>
    <row r="1194" spans="12:12" x14ac:dyDescent="0.3">
      <c r="L1194" s="293"/>
    </row>
    <row r="1195" spans="12:12" x14ac:dyDescent="0.3">
      <c r="L1195" s="293"/>
    </row>
    <row r="1196" spans="12:12" x14ac:dyDescent="0.3">
      <c r="L1196" s="293"/>
    </row>
    <row r="1197" spans="12:12" x14ac:dyDescent="0.3">
      <c r="L1197" s="293"/>
    </row>
    <row r="1198" spans="12:12" x14ac:dyDescent="0.3">
      <c r="L1198" s="293"/>
    </row>
    <row r="1199" spans="12:12" x14ac:dyDescent="0.3">
      <c r="L1199" s="293"/>
    </row>
    <row r="1200" spans="12:12" x14ac:dyDescent="0.3">
      <c r="L1200" s="293"/>
    </row>
    <row r="1201" spans="12:12" x14ac:dyDescent="0.3">
      <c r="L1201" s="293"/>
    </row>
    <row r="1202" spans="12:12" x14ac:dyDescent="0.3">
      <c r="L1202" s="293"/>
    </row>
    <row r="1203" spans="12:12" x14ac:dyDescent="0.3">
      <c r="L1203" s="293"/>
    </row>
    <row r="1204" spans="12:12" x14ac:dyDescent="0.3">
      <c r="L1204" s="293"/>
    </row>
    <row r="1205" spans="12:12" x14ac:dyDescent="0.3">
      <c r="L1205" s="293"/>
    </row>
    <row r="1206" spans="12:12" x14ac:dyDescent="0.3">
      <c r="L1206" s="293"/>
    </row>
    <row r="1207" spans="12:12" x14ac:dyDescent="0.3">
      <c r="L1207" s="293"/>
    </row>
    <row r="1208" spans="12:12" x14ac:dyDescent="0.3">
      <c r="L1208" s="293"/>
    </row>
    <row r="1209" spans="12:12" x14ac:dyDescent="0.3">
      <c r="L1209" s="293"/>
    </row>
    <row r="1210" spans="12:12" x14ac:dyDescent="0.3">
      <c r="L1210" s="293"/>
    </row>
    <row r="1211" spans="12:12" x14ac:dyDescent="0.3">
      <c r="L1211" s="293"/>
    </row>
    <row r="1212" spans="12:12" x14ac:dyDescent="0.3">
      <c r="L1212" s="293"/>
    </row>
    <row r="1213" spans="12:12" x14ac:dyDescent="0.3">
      <c r="L1213" s="293"/>
    </row>
    <row r="1214" spans="12:12" x14ac:dyDescent="0.3">
      <c r="L1214" s="293"/>
    </row>
    <row r="1215" spans="12:12" x14ac:dyDescent="0.3">
      <c r="L1215" s="293"/>
    </row>
    <row r="1216" spans="12:12" x14ac:dyDescent="0.3">
      <c r="L1216" s="293"/>
    </row>
    <row r="1217" spans="12:12" x14ac:dyDescent="0.3">
      <c r="L1217" s="293"/>
    </row>
    <row r="1218" spans="12:12" x14ac:dyDescent="0.3">
      <c r="L1218" s="293"/>
    </row>
    <row r="1219" spans="12:12" x14ac:dyDescent="0.3">
      <c r="L1219" s="293"/>
    </row>
    <row r="1220" spans="12:12" x14ac:dyDescent="0.3">
      <c r="L1220" s="293"/>
    </row>
    <row r="1221" spans="12:12" x14ac:dyDescent="0.3">
      <c r="L1221" s="293"/>
    </row>
    <row r="1222" spans="12:12" x14ac:dyDescent="0.3">
      <c r="L1222" s="293"/>
    </row>
    <row r="1223" spans="12:12" x14ac:dyDescent="0.3">
      <c r="L1223" s="293"/>
    </row>
    <row r="1224" spans="12:12" x14ac:dyDescent="0.3">
      <c r="L1224" s="293"/>
    </row>
    <row r="1225" spans="12:12" x14ac:dyDescent="0.3">
      <c r="L1225" s="293"/>
    </row>
    <row r="1226" spans="12:12" x14ac:dyDescent="0.3">
      <c r="L1226" s="293"/>
    </row>
    <row r="1227" spans="12:12" x14ac:dyDescent="0.3">
      <c r="L1227" s="293"/>
    </row>
    <row r="1228" spans="12:12" x14ac:dyDescent="0.3">
      <c r="L1228" s="293"/>
    </row>
    <row r="1229" spans="12:12" x14ac:dyDescent="0.3">
      <c r="L1229" s="293"/>
    </row>
    <row r="1230" spans="12:12" x14ac:dyDescent="0.3">
      <c r="L1230" s="293"/>
    </row>
    <row r="1231" spans="12:12" x14ac:dyDescent="0.3">
      <c r="L1231" s="293"/>
    </row>
    <row r="1232" spans="12:12" x14ac:dyDescent="0.3">
      <c r="L1232" s="293"/>
    </row>
    <row r="1233" spans="12:12" x14ac:dyDescent="0.3">
      <c r="L1233" s="293"/>
    </row>
    <row r="1234" spans="12:12" x14ac:dyDescent="0.3">
      <c r="L1234" s="293"/>
    </row>
    <row r="1235" spans="12:12" x14ac:dyDescent="0.3">
      <c r="L1235" s="293"/>
    </row>
    <row r="1236" spans="12:12" x14ac:dyDescent="0.3">
      <c r="L1236" s="293"/>
    </row>
    <row r="1237" spans="12:12" x14ac:dyDescent="0.3">
      <c r="L1237" s="293"/>
    </row>
    <row r="1238" spans="12:12" x14ac:dyDescent="0.3">
      <c r="L1238" s="293"/>
    </row>
    <row r="1239" spans="12:12" x14ac:dyDescent="0.3">
      <c r="L1239" s="293"/>
    </row>
    <row r="1240" spans="12:12" x14ac:dyDescent="0.3">
      <c r="L1240" s="293"/>
    </row>
    <row r="1241" spans="12:12" x14ac:dyDescent="0.3">
      <c r="L1241" s="293"/>
    </row>
    <row r="1242" spans="12:12" x14ac:dyDescent="0.3">
      <c r="L1242" s="293"/>
    </row>
    <row r="1243" spans="12:12" x14ac:dyDescent="0.3">
      <c r="L1243" s="293"/>
    </row>
    <row r="1244" spans="12:12" x14ac:dyDescent="0.3">
      <c r="L1244" s="293"/>
    </row>
    <row r="1245" spans="12:12" x14ac:dyDescent="0.3">
      <c r="L1245" s="293"/>
    </row>
    <row r="1246" spans="12:12" x14ac:dyDescent="0.3">
      <c r="L1246" s="293"/>
    </row>
    <row r="1247" spans="12:12" x14ac:dyDescent="0.3">
      <c r="L1247" s="293"/>
    </row>
    <row r="1248" spans="12:12" x14ac:dyDescent="0.3">
      <c r="L1248" s="293"/>
    </row>
    <row r="1249" spans="12:12" x14ac:dyDescent="0.3">
      <c r="L1249" s="293"/>
    </row>
    <row r="1250" spans="12:12" x14ac:dyDescent="0.3">
      <c r="L1250" s="293"/>
    </row>
    <row r="1251" spans="12:12" x14ac:dyDescent="0.3">
      <c r="L1251" s="293"/>
    </row>
    <row r="1252" spans="12:12" x14ac:dyDescent="0.3">
      <c r="L1252" s="293"/>
    </row>
    <row r="1253" spans="12:12" x14ac:dyDescent="0.3">
      <c r="L1253" s="293"/>
    </row>
    <row r="1254" spans="12:12" x14ac:dyDescent="0.3">
      <c r="L1254" s="293"/>
    </row>
    <row r="1255" spans="12:12" x14ac:dyDescent="0.3">
      <c r="L1255" s="293"/>
    </row>
    <row r="1256" spans="12:12" x14ac:dyDescent="0.3">
      <c r="L1256" s="293"/>
    </row>
    <row r="1257" spans="12:12" x14ac:dyDescent="0.3">
      <c r="L1257" s="293"/>
    </row>
    <row r="1258" spans="12:12" x14ac:dyDescent="0.3">
      <c r="L1258" s="293"/>
    </row>
    <row r="1259" spans="12:12" x14ac:dyDescent="0.3">
      <c r="L1259" s="293"/>
    </row>
    <row r="1260" spans="12:12" x14ac:dyDescent="0.3">
      <c r="L1260" s="293"/>
    </row>
    <row r="1261" spans="12:12" x14ac:dyDescent="0.3">
      <c r="L1261" s="293"/>
    </row>
    <row r="1262" spans="12:12" x14ac:dyDescent="0.3">
      <c r="L1262" s="293"/>
    </row>
    <row r="1263" spans="12:12" x14ac:dyDescent="0.3">
      <c r="L1263" s="293"/>
    </row>
    <row r="1264" spans="12:12" x14ac:dyDescent="0.3">
      <c r="L1264" s="293"/>
    </row>
    <row r="1265" spans="12:12" x14ac:dyDescent="0.3">
      <c r="L1265" s="293"/>
    </row>
    <row r="1266" spans="12:12" x14ac:dyDescent="0.3">
      <c r="L1266" s="293"/>
    </row>
    <row r="1267" spans="12:12" x14ac:dyDescent="0.3">
      <c r="L1267" s="293"/>
    </row>
    <row r="1268" spans="12:12" x14ac:dyDescent="0.3">
      <c r="L1268" s="293"/>
    </row>
    <row r="1269" spans="12:12" x14ac:dyDescent="0.3">
      <c r="L1269" s="293"/>
    </row>
    <row r="1270" spans="12:12" x14ac:dyDescent="0.3">
      <c r="L1270" s="293"/>
    </row>
    <row r="1271" spans="12:12" x14ac:dyDescent="0.3">
      <c r="L1271" s="293"/>
    </row>
    <row r="1272" spans="12:12" x14ac:dyDescent="0.3">
      <c r="L1272" s="293"/>
    </row>
    <row r="1273" spans="12:12" x14ac:dyDescent="0.3">
      <c r="L1273" s="293"/>
    </row>
    <row r="1274" spans="12:12" x14ac:dyDescent="0.3">
      <c r="L1274" s="293"/>
    </row>
    <row r="1275" spans="12:12" x14ac:dyDescent="0.3">
      <c r="L1275" s="293"/>
    </row>
    <row r="1276" spans="12:12" x14ac:dyDescent="0.3">
      <c r="L1276" s="293"/>
    </row>
    <row r="1277" spans="12:12" x14ac:dyDescent="0.3">
      <c r="L1277" s="293"/>
    </row>
    <row r="1278" spans="12:12" x14ac:dyDescent="0.3">
      <c r="L1278" s="293"/>
    </row>
    <row r="1279" spans="12:12" x14ac:dyDescent="0.3">
      <c r="L1279" s="293"/>
    </row>
    <row r="1280" spans="12:12" x14ac:dyDescent="0.3">
      <c r="L1280" s="293"/>
    </row>
    <row r="1281" spans="12:12" x14ac:dyDescent="0.3">
      <c r="L1281" s="293"/>
    </row>
    <row r="1282" spans="12:12" x14ac:dyDescent="0.3">
      <c r="L1282" s="293"/>
    </row>
    <row r="1283" spans="12:12" x14ac:dyDescent="0.3">
      <c r="L1283" s="293"/>
    </row>
    <row r="1284" spans="12:12" x14ac:dyDescent="0.3">
      <c r="L1284" s="293"/>
    </row>
    <row r="1285" spans="12:12" x14ac:dyDescent="0.3">
      <c r="L1285" s="293"/>
    </row>
    <row r="1286" spans="12:12" x14ac:dyDescent="0.3">
      <c r="L1286" s="293"/>
    </row>
    <row r="1287" spans="12:12" x14ac:dyDescent="0.3">
      <c r="L1287" s="293"/>
    </row>
    <row r="1288" spans="12:12" x14ac:dyDescent="0.3">
      <c r="L1288" s="293"/>
    </row>
    <row r="1289" spans="12:12" x14ac:dyDescent="0.3">
      <c r="L1289" s="293"/>
    </row>
    <row r="1290" spans="12:12" x14ac:dyDescent="0.3">
      <c r="L1290" s="293"/>
    </row>
    <row r="1291" spans="12:12" x14ac:dyDescent="0.3">
      <c r="L1291" s="293"/>
    </row>
    <row r="1292" spans="12:12" x14ac:dyDescent="0.3">
      <c r="L1292" s="293"/>
    </row>
    <row r="1293" spans="12:12" x14ac:dyDescent="0.3">
      <c r="L1293" s="293"/>
    </row>
    <row r="1294" spans="12:12" x14ac:dyDescent="0.3">
      <c r="L1294" s="293"/>
    </row>
    <row r="1295" spans="12:12" x14ac:dyDescent="0.3">
      <c r="L1295" s="293"/>
    </row>
    <row r="1296" spans="12:12" x14ac:dyDescent="0.3">
      <c r="L1296" s="293"/>
    </row>
    <row r="1297" spans="12:12" x14ac:dyDescent="0.3">
      <c r="L1297" s="293"/>
    </row>
    <row r="1298" spans="12:12" x14ac:dyDescent="0.3">
      <c r="L1298" s="293"/>
    </row>
    <row r="1299" spans="12:12" x14ac:dyDescent="0.3">
      <c r="L1299" s="293"/>
    </row>
    <row r="1300" spans="12:12" x14ac:dyDescent="0.3">
      <c r="L1300" s="293"/>
    </row>
    <row r="1301" spans="12:12" x14ac:dyDescent="0.3">
      <c r="L1301" s="293"/>
    </row>
    <row r="1302" spans="12:12" x14ac:dyDescent="0.3">
      <c r="L1302" s="293"/>
    </row>
    <row r="1303" spans="12:12" x14ac:dyDescent="0.3">
      <c r="L1303" s="293"/>
    </row>
    <row r="1304" spans="12:12" x14ac:dyDescent="0.3">
      <c r="L1304" s="293"/>
    </row>
    <row r="1305" spans="12:12" x14ac:dyDescent="0.3">
      <c r="L1305" s="293"/>
    </row>
    <row r="1306" spans="12:12" x14ac:dyDescent="0.3">
      <c r="L1306" s="293"/>
    </row>
    <row r="1307" spans="12:12" x14ac:dyDescent="0.3">
      <c r="L1307" s="293"/>
    </row>
    <row r="1308" spans="12:12" x14ac:dyDescent="0.3">
      <c r="L1308" s="293"/>
    </row>
    <row r="1309" spans="12:12" x14ac:dyDescent="0.3">
      <c r="L1309" s="293"/>
    </row>
    <row r="1310" spans="12:12" x14ac:dyDescent="0.3">
      <c r="L1310" s="293"/>
    </row>
    <row r="1311" spans="12:12" x14ac:dyDescent="0.3">
      <c r="L1311" s="293"/>
    </row>
    <row r="1312" spans="12:12" x14ac:dyDescent="0.3">
      <c r="L1312" s="293"/>
    </row>
    <row r="1313" spans="12:12" x14ac:dyDescent="0.3">
      <c r="L1313" s="293"/>
    </row>
    <row r="1314" spans="12:12" x14ac:dyDescent="0.3">
      <c r="L1314" s="293"/>
    </row>
    <row r="1315" spans="12:12" x14ac:dyDescent="0.3">
      <c r="L1315" s="293"/>
    </row>
    <row r="1316" spans="12:12" x14ac:dyDescent="0.3">
      <c r="L1316" s="293"/>
    </row>
    <row r="1317" spans="12:12" x14ac:dyDescent="0.3">
      <c r="L1317" s="293"/>
    </row>
    <row r="1318" spans="12:12" x14ac:dyDescent="0.3">
      <c r="L1318" s="293"/>
    </row>
    <row r="1319" spans="12:12" x14ac:dyDescent="0.3">
      <c r="L1319" s="293"/>
    </row>
    <row r="1320" spans="12:12" x14ac:dyDescent="0.3">
      <c r="L1320" s="293"/>
    </row>
    <row r="1321" spans="12:12" x14ac:dyDescent="0.3">
      <c r="L1321" s="293"/>
    </row>
    <row r="1322" spans="12:12" x14ac:dyDescent="0.3">
      <c r="L1322" s="293"/>
    </row>
    <row r="1323" spans="12:12" x14ac:dyDescent="0.3">
      <c r="L1323" s="293"/>
    </row>
    <row r="1324" spans="12:12" x14ac:dyDescent="0.3">
      <c r="L1324" s="293"/>
    </row>
    <row r="1325" spans="12:12" x14ac:dyDescent="0.3">
      <c r="L1325" s="293"/>
    </row>
    <row r="1326" spans="12:12" x14ac:dyDescent="0.3">
      <c r="L1326" s="293"/>
    </row>
    <row r="1327" spans="12:12" x14ac:dyDescent="0.3">
      <c r="L1327" s="293"/>
    </row>
    <row r="1328" spans="12:12" x14ac:dyDescent="0.3">
      <c r="L1328" s="293"/>
    </row>
    <row r="1329" spans="12:12" x14ac:dyDescent="0.3">
      <c r="L1329" s="293"/>
    </row>
    <row r="1330" spans="12:12" x14ac:dyDescent="0.3">
      <c r="L1330" s="293"/>
    </row>
    <row r="1331" spans="12:12" x14ac:dyDescent="0.3">
      <c r="L1331" s="293"/>
    </row>
    <row r="1332" spans="12:12" x14ac:dyDescent="0.3">
      <c r="L1332" s="293"/>
    </row>
    <row r="1333" spans="12:12" x14ac:dyDescent="0.3">
      <c r="L1333" s="293"/>
    </row>
    <row r="1334" spans="12:12" x14ac:dyDescent="0.3">
      <c r="L1334" s="293"/>
    </row>
    <row r="1335" spans="12:12" x14ac:dyDescent="0.3">
      <c r="L1335" s="293"/>
    </row>
    <row r="1336" spans="12:12" x14ac:dyDescent="0.3">
      <c r="L1336" s="293"/>
    </row>
    <row r="1337" spans="12:12" x14ac:dyDescent="0.3">
      <c r="L1337" s="293"/>
    </row>
    <row r="1338" spans="12:12" x14ac:dyDescent="0.3">
      <c r="L1338" s="293"/>
    </row>
    <row r="1339" spans="12:12" x14ac:dyDescent="0.3">
      <c r="L1339" s="293"/>
    </row>
    <row r="1340" spans="12:12" x14ac:dyDescent="0.3">
      <c r="L1340" s="293"/>
    </row>
    <row r="1341" spans="12:12" x14ac:dyDescent="0.3">
      <c r="L1341" s="293"/>
    </row>
    <row r="1342" spans="12:12" x14ac:dyDescent="0.3">
      <c r="L1342" s="293"/>
    </row>
    <row r="1343" spans="12:12" x14ac:dyDescent="0.3">
      <c r="L1343" s="293"/>
    </row>
    <row r="1344" spans="12:12" x14ac:dyDescent="0.3">
      <c r="L1344" s="293"/>
    </row>
    <row r="1345" spans="12:12" x14ac:dyDescent="0.3">
      <c r="L1345" s="293"/>
    </row>
    <row r="1346" spans="12:12" x14ac:dyDescent="0.3">
      <c r="L1346" s="293"/>
    </row>
    <row r="1347" spans="12:12" x14ac:dyDescent="0.3">
      <c r="L1347" s="293"/>
    </row>
    <row r="1348" spans="12:12" x14ac:dyDescent="0.3">
      <c r="L1348" s="293"/>
    </row>
    <row r="1349" spans="12:12" x14ac:dyDescent="0.3">
      <c r="L1349" s="293"/>
    </row>
    <row r="1350" spans="12:12" x14ac:dyDescent="0.3">
      <c r="L1350" s="293"/>
    </row>
    <row r="1351" spans="12:12" x14ac:dyDescent="0.3">
      <c r="L1351" s="293"/>
    </row>
    <row r="1352" spans="12:12" x14ac:dyDescent="0.3">
      <c r="L1352" s="293"/>
    </row>
    <row r="1353" spans="12:12" x14ac:dyDescent="0.3">
      <c r="L1353" s="293"/>
    </row>
    <row r="1354" spans="12:12" x14ac:dyDescent="0.3">
      <c r="L1354" s="293"/>
    </row>
    <row r="1355" spans="12:12" x14ac:dyDescent="0.3">
      <c r="L1355" s="293"/>
    </row>
    <row r="1356" spans="12:12" x14ac:dyDescent="0.3">
      <c r="L1356" s="293"/>
    </row>
    <row r="1357" spans="12:12" x14ac:dyDescent="0.3">
      <c r="L1357" s="293"/>
    </row>
    <row r="1358" spans="12:12" x14ac:dyDescent="0.3">
      <c r="L1358" s="293"/>
    </row>
    <row r="1359" spans="12:12" x14ac:dyDescent="0.3">
      <c r="L1359" s="293"/>
    </row>
    <row r="1360" spans="12:12" x14ac:dyDescent="0.3">
      <c r="L1360" s="293"/>
    </row>
    <row r="1361" spans="12:12" x14ac:dyDescent="0.3">
      <c r="L1361" s="293"/>
    </row>
    <row r="1362" spans="12:12" x14ac:dyDescent="0.3">
      <c r="L1362" s="293"/>
    </row>
    <row r="1363" spans="12:12" x14ac:dyDescent="0.3">
      <c r="L1363" s="293"/>
    </row>
    <row r="1364" spans="12:12" x14ac:dyDescent="0.3">
      <c r="L1364" s="293"/>
    </row>
    <row r="1365" spans="12:12" x14ac:dyDescent="0.3">
      <c r="L1365" s="293"/>
    </row>
    <row r="1366" spans="12:12" x14ac:dyDescent="0.3">
      <c r="L1366" s="293"/>
    </row>
    <row r="1367" spans="12:12" x14ac:dyDescent="0.3">
      <c r="L1367" s="293"/>
    </row>
    <row r="1368" spans="12:12" x14ac:dyDescent="0.3">
      <c r="L1368" s="293"/>
    </row>
    <row r="1369" spans="12:12" x14ac:dyDescent="0.3">
      <c r="L1369" s="293"/>
    </row>
    <row r="1370" spans="12:12" x14ac:dyDescent="0.3">
      <c r="L1370" s="293"/>
    </row>
    <row r="1371" spans="12:12" x14ac:dyDescent="0.3">
      <c r="L1371" s="293"/>
    </row>
    <row r="1372" spans="12:12" x14ac:dyDescent="0.3">
      <c r="L1372" s="293"/>
    </row>
    <row r="1373" spans="12:12" x14ac:dyDescent="0.3">
      <c r="L1373" s="293"/>
    </row>
    <row r="1374" spans="12:12" x14ac:dyDescent="0.3">
      <c r="L1374" s="293"/>
    </row>
    <row r="1375" spans="12:12" x14ac:dyDescent="0.3">
      <c r="L1375" s="293"/>
    </row>
    <row r="1376" spans="12:12" x14ac:dyDescent="0.3">
      <c r="L1376" s="293"/>
    </row>
    <row r="1377" spans="12:12" x14ac:dyDescent="0.3">
      <c r="L1377" s="293"/>
    </row>
    <row r="1378" spans="12:12" x14ac:dyDescent="0.3">
      <c r="L1378" s="293"/>
    </row>
    <row r="1379" spans="12:12" x14ac:dyDescent="0.3">
      <c r="L1379" s="293"/>
    </row>
    <row r="1380" spans="12:12" x14ac:dyDescent="0.3">
      <c r="L1380" s="293"/>
    </row>
    <row r="1381" spans="12:12" x14ac:dyDescent="0.3">
      <c r="L1381" s="293"/>
    </row>
    <row r="1382" spans="12:12" x14ac:dyDescent="0.3">
      <c r="L1382" s="293"/>
    </row>
    <row r="1383" spans="12:12" x14ac:dyDescent="0.3">
      <c r="L1383" s="293"/>
    </row>
    <row r="1384" spans="12:12" x14ac:dyDescent="0.3">
      <c r="L1384" s="293"/>
    </row>
    <row r="1385" spans="12:12" x14ac:dyDescent="0.3">
      <c r="L1385" s="293"/>
    </row>
    <row r="1386" spans="12:12" x14ac:dyDescent="0.3">
      <c r="L1386" s="293"/>
    </row>
    <row r="1387" spans="12:12" x14ac:dyDescent="0.3">
      <c r="L1387" s="293"/>
    </row>
    <row r="1388" spans="12:12" x14ac:dyDescent="0.3">
      <c r="L1388" s="293"/>
    </row>
    <row r="1389" spans="12:12" x14ac:dyDescent="0.3">
      <c r="L1389" s="293"/>
    </row>
    <row r="1390" spans="12:12" x14ac:dyDescent="0.3">
      <c r="L1390" s="293"/>
    </row>
    <row r="1391" spans="12:12" x14ac:dyDescent="0.3">
      <c r="L1391" s="293"/>
    </row>
    <row r="1392" spans="12:12" x14ac:dyDescent="0.3">
      <c r="L1392" s="293"/>
    </row>
    <row r="1393" spans="12:12" x14ac:dyDescent="0.3">
      <c r="L1393" s="293"/>
    </row>
    <row r="1394" spans="12:12" x14ac:dyDescent="0.3">
      <c r="L1394" s="293"/>
    </row>
    <row r="1395" spans="12:12" x14ac:dyDescent="0.3">
      <c r="L1395" s="293"/>
    </row>
    <row r="1396" spans="12:12" x14ac:dyDescent="0.3">
      <c r="L1396" s="293"/>
    </row>
    <row r="1397" spans="12:12" x14ac:dyDescent="0.3">
      <c r="L1397" s="293"/>
    </row>
    <row r="1398" spans="12:12" x14ac:dyDescent="0.3">
      <c r="L1398" s="293"/>
    </row>
    <row r="1399" spans="12:12" x14ac:dyDescent="0.3">
      <c r="L1399" s="293"/>
    </row>
    <row r="1400" spans="12:12" x14ac:dyDescent="0.3">
      <c r="L1400" s="293"/>
    </row>
    <row r="1401" spans="12:12" x14ac:dyDescent="0.3">
      <c r="L1401" s="293"/>
    </row>
    <row r="1402" spans="12:12" x14ac:dyDescent="0.3">
      <c r="L1402" s="293"/>
    </row>
    <row r="1403" spans="12:12" x14ac:dyDescent="0.3">
      <c r="L1403" s="293"/>
    </row>
    <row r="1404" spans="12:12" x14ac:dyDescent="0.3">
      <c r="L1404" s="293"/>
    </row>
    <row r="1405" spans="12:12" x14ac:dyDescent="0.3">
      <c r="L1405" s="293"/>
    </row>
    <row r="1406" spans="12:12" x14ac:dyDescent="0.3">
      <c r="L1406" s="293"/>
    </row>
    <row r="1407" spans="12:12" x14ac:dyDescent="0.3">
      <c r="L1407" s="293"/>
    </row>
    <row r="1408" spans="12:12" x14ac:dyDescent="0.3">
      <c r="L1408" s="293"/>
    </row>
    <row r="1409" spans="12:12" x14ac:dyDescent="0.3">
      <c r="L1409" s="293"/>
    </row>
    <row r="1410" spans="12:12" x14ac:dyDescent="0.3">
      <c r="L1410" s="293"/>
    </row>
    <row r="1411" spans="12:12" x14ac:dyDescent="0.3">
      <c r="L1411" s="293"/>
    </row>
    <row r="1412" spans="12:12" x14ac:dyDescent="0.3">
      <c r="L1412" s="293"/>
    </row>
    <row r="1413" spans="12:12" x14ac:dyDescent="0.3">
      <c r="L1413" s="293"/>
    </row>
    <row r="1414" spans="12:12" x14ac:dyDescent="0.3">
      <c r="L1414" s="293"/>
    </row>
    <row r="1415" spans="12:12" x14ac:dyDescent="0.3">
      <c r="L1415" s="293"/>
    </row>
    <row r="1416" spans="12:12" x14ac:dyDescent="0.3">
      <c r="L1416" s="293"/>
    </row>
    <row r="1417" spans="12:12" x14ac:dyDescent="0.3">
      <c r="L1417" s="293"/>
    </row>
    <row r="1418" spans="12:12" x14ac:dyDescent="0.3">
      <c r="L1418" s="293"/>
    </row>
    <row r="1419" spans="12:12" x14ac:dyDescent="0.3">
      <c r="L1419" s="293"/>
    </row>
    <row r="1420" spans="12:12" x14ac:dyDescent="0.3">
      <c r="L1420" s="293"/>
    </row>
    <row r="1421" spans="12:12" x14ac:dyDescent="0.3">
      <c r="L1421" s="293"/>
    </row>
    <row r="1422" spans="12:12" x14ac:dyDescent="0.3">
      <c r="L1422" s="293"/>
    </row>
    <row r="1423" spans="12:12" x14ac:dyDescent="0.3">
      <c r="L1423" s="293"/>
    </row>
    <row r="1424" spans="12:12" x14ac:dyDescent="0.3">
      <c r="L1424" s="293"/>
    </row>
    <row r="1425" spans="12:12" x14ac:dyDescent="0.3">
      <c r="L1425" s="293"/>
    </row>
    <row r="1426" spans="12:12" x14ac:dyDescent="0.3">
      <c r="L1426" s="293"/>
    </row>
    <row r="1427" spans="12:12" x14ac:dyDescent="0.3">
      <c r="L1427" s="293"/>
    </row>
    <row r="1428" spans="12:12" x14ac:dyDescent="0.3">
      <c r="L1428" s="293"/>
    </row>
    <row r="1429" spans="12:12" x14ac:dyDescent="0.3">
      <c r="L1429" s="293"/>
    </row>
    <row r="1430" spans="12:12" x14ac:dyDescent="0.3">
      <c r="L1430" s="293"/>
    </row>
    <row r="1431" spans="12:12" x14ac:dyDescent="0.3">
      <c r="L1431" s="293"/>
    </row>
    <row r="1432" spans="12:12" x14ac:dyDescent="0.3">
      <c r="L1432" s="293"/>
    </row>
    <row r="1433" spans="12:12" x14ac:dyDescent="0.3">
      <c r="L1433" s="293"/>
    </row>
    <row r="1434" spans="12:12" x14ac:dyDescent="0.3">
      <c r="L1434" s="293"/>
    </row>
    <row r="1435" spans="12:12" x14ac:dyDescent="0.3">
      <c r="L1435" s="293"/>
    </row>
    <row r="1436" spans="12:12" x14ac:dyDescent="0.3">
      <c r="L1436" s="293"/>
    </row>
    <row r="1437" spans="12:12" x14ac:dyDescent="0.3">
      <c r="L1437" s="293"/>
    </row>
    <row r="1438" spans="12:12" x14ac:dyDescent="0.3">
      <c r="L1438" s="293"/>
    </row>
    <row r="1439" spans="12:12" x14ac:dyDescent="0.3">
      <c r="L1439" s="293"/>
    </row>
    <row r="1440" spans="12:12" x14ac:dyDescent="0.3">
      <c r="L1440" s="293"/>
    </row>
    <row r="1441" spans="12:12" x14ac:dyDescent="0.3">
      <c r="L1441" s="293"/>
    </row>
    <row r="1442" spans="12:12" x14ac:dyDescent="0.3">
      <c r="L1442" s="293"/>
    </row>
    <row r="1443" spans="12:12" x14ac:dyDescent="0.3">
      <c r="L1443" s="293"/>
    </row>
    <row r="1444" spans="12:12" x14ac:dyDescent="0.3">
      <c r="L1444" s="293"/>
    </row>
    <row r="1445" spans="12:12" x14ac:dyDescent="0.3">
      <c r="L1445" s="293"/>
    </row>
    <row r="1446" spans="12:12" x14ac:dyDescent="0.3">
      <c r="L1446" s="293"/>
    </row>
    <row r="1447" spans="12:12" x14ac:dyDescent="0.3">
      <c r="L1447" s="293"/>
    </row>
    <row r="1448" spans="12:12" x14ac:dyDescent="0.3">
      <c r="L1448" s="293"/>
    </row>
    <row r="1449" spans="12:12" x14ac:dyDescent="0.3">
      <c r="L1449" s="293"/>
    </row>
    <row r="1450" spans="12:12" x14ac:dyDescent="0.3">
      <c r="L1450" s="293"/>
    </row>
    <row r="1451" spans="12:12" x14ac:dyDescent="0.3">
      <c r="L1451" s="293"/>
    </row>
    <row r="1452" spans="12:12" x14ac:dyDescent="0.3">
      <c r="L1452" s="293"/>
    </row>
    <row r="1453" spans="12:12" x14ac:dyDescent="0.3">
      <c r="L1453" s="293"/>
    </row>
    <row r="1454" spans="12:12" x14ac:dyDescent="0.3">
      <c r="L1454" s="293"/>
    </row>
    <row r="1455" spans="12:12" x14ac:dyDescent="0.3">
      <c r="L1455" s="293"/>
    </row>
    <row r="1456" spans="12:12" x14ac:dyDescent="0.3">
      <c r="L1456" s="293"/>
    </row>
    <row r="1457" spans="12:12" x14ac:dyDescent="0.3">
      <c r="L1457" s="293"/>
    </row>
    <row r="1458" spans="12:12" x14ac:dyDescent="0.3">
      <c r="L1458" s="293"/>
    </row>
    <row r="1459" spans="12:12" x14ac:dyDescent="0.3">
      <c r="L1459" s="293"/>
    </row>
    <row r="1460" spans="12:12" x14ac:dyDescent="0.3">
      <c r="L1460" s="293"/>
    </row>
    <row r="1461" spans="12:12" x14ac:dyDescent="0.3">
      <c r="L1461" s="293"/>
    </row>
    <row r="1462" spans="12:12" x14ac:dyDescent="0.3">
      <c r="L1462" s="293"/>
    </row>
    <row r="1463" spans="12:12" x14ac:dyDescent="0.3">
      <c r="L1463" s="293"/>
    </row>
    <row r="1464" spans="12:12" x14ac:dyDescent="0.3">
      <c r="L1464" s="293"/>
    </row>
    <row r="1465" spans="12:12" x14ac:dyDescent="0.3">
      <c r="L1465" s="293"/>
    </row>
    <row r="1466" spans="12:12" x14ac:dyDescent="0.3">
      <c r="L1466" s="293"/>
    </row>
    <row r="1467" spans="12:12" x14ac:dyDescent="0.3">
      <c r="L1467" s="293"/>
    </row>
    <row r="1468" spans="12:12" x14ac:dyDescent="0.3">
      <c r="L1468" s="293"/>
    </row>
    <row r="1469" spans="12:12" x14ac:dyDescent="0.3">
      <c r="L1469" s="293"/>
    </row>
    <row r="1470" spans="12:12" x14ac:dyDescent="0.3">
      <c r="L1470" s="293"/>
    </row>
    <row r="1471" spans="12:12" x14ac:dyDescent="0.3">
      <c r="L1471" s="293"/>
    </row>
    <row r="1472" spans="12:12" x14ac:dyDescent="0.3">
      <c r="L1472" s="293"/>
    </row>
    <row r="1473" spans="12:12" x14ac:dyDescent="0.3">
      <c r="L1473" s="293"/>
    </row>
    <row r="1474" spans="12:12" x14ac:dyDescent="0.3">
      <c r="L1474" s="293"/>
    </row>
    <row r="1475" spans="12:12" x14ac:dyDescent="0.3">
      <c r="L1475" s="293"/>
    </row>
    <row r="1476" spans="12:12" x14ac:dyDescent="0.3">
      <c r="L1476" s="293"/>
    </row>
    <row r="1477" spans="12:12" x14ac:dyDescent="0.3">
      <c r="L1477" s="293"/>
    </row>
    <row r="1478" spans="12:12" x14ac:dyDescent="0.3">
      <c r="L1478" s="293"/>
    </row>
    <row r="1479" spans="12:12" x14ac:dyDescent="0.3">
      <c r="L1479" s="293"/>
    </row>
    <row r="1480" spans="12:12" x14ac:dyDescent="0.3">
      <c r="L1480" s="293"/>
    </row>
    <row r="1481" spans="12:12" x14ac:dyDescent="0.3">
      <c r="L1481" s="293"/>
    </row>
    <row r="1482" spans="12:12" x14ac:dyDescent="0.3">
      <c r="L1482" s="293"/>
    </row>
    <row r="1483" spans="12:12" x14ac:dyDescent="0.3">
      <c r="L1483" s="293"/>
    </row>
    <row r="1484" spans="12:12" x14ac:dyDescent="0.3">
      <c r="L1484" s="293"/>
    </row>
    <row r="1485" spans="12:12" x14ac:dyDescent="0.3">
      <c r="L1485" s="293"/>
    </row>
    <row r="1486" spans="12:12" x14ac:dyDescent="0.3">
      <c r="L1486" s="293"/>
    </row>
    <row r="1487" spans="12:12" x14ac:dyDescent="0.3">
      <c r="L1487" s="293"/>
    </row>
    <row r="1488" spans="12:12" x14ac:dyDescent="0.3">
      <c r="L1488" s="293"/>
    </row>
    <row r="1489" spans="12:12" x14ac:dyDescent="0.3">
      <c r="L1489" s="293"/>
    </row>
    <row r="1490" spans="12:12" x14ac:dyDescent="0.3">
      <c r="L1490" s="293"/>
    </row>
    <row r="1491" spans="12:12" x14ac:dyDescent="0.3">
      <c r="L1491" s="293"/>
    </row>
    <row r="1492" spans="12:12" x14ac:dyDescent="0.3">
      <c r="L1492" s="293"/>
    </row>
    <row r="1493" spans="12:12" x14ac:dyDescent="0.3">
      <c r="L1493" s="293"/>
    </row>
    <row r="1494" spans="12:12" x14ac:dyDescent="0.3">
      <c r="L1494" s="293"/>
    </row>
    <row r="1495" spans="12:12" x14ac:dyDescent="0.3">
      <c r="L1495" s="293"/>
    </row>
    <row r="1496" spans="12:12" x14ac:dyDescent="0.3">
      <c r="L1496" s="293"/>
    </row>
    <row r="1497" spans="12:12" x14ac:dyDescent="0.3">
      <c r="L1497" s="293"/>
    </row>
    <row r="1498" spans="12:12" x14ac:dyDescent="0.3">
      <c r="L1498" s="293"/>
    </row>
    <row r="1499" spans="12:12" x14ac:dyDescent="0.3">
      <c r="L1499" s="293"/>
    </row>
    <row r="1500" spans="12:12" x14ac:dyDescent="0.3">
      <c r="L1500" s="293"/>
    </row>
    <row r="1501" spans="12:12" x14ac:dyDescent="0.3">
      <c r="L1501" s="293"/>
    </row>
    <row r="1502" spans="12:12" x14ac:dyDescent="0.3">
      <c r="L1502" s="293"/>
    </row>
    <row r="1503" spans="12:12" x14ac:dyDescent="0.3">
      <c r="L1503" s="293"/>
    </row>
    <row r="1504" spans="12:12" x14ac:dyDescent="0.3">
      <c r="L1504" s="293"/>
    </row>
    <row r="1505" spans="12:12" x14ac:dyDescent="0.3">
      <c r="L1505" s="293"/>
    </row>
    <row r="1506" spans="12:12" x14ac:dyDescent="0.3">
      <c r="L1506" s="293"/>
    </row>
    <row r="1507" spans="12:12" x14ac:dyDescent="0.3">
      <c r="L1507" s="293"/>
    </row>
    <row r="1508" spans="12:12" x14ac:dyDescent="0.3">
      <c r="L1508" s="293"/>
    </row>
    <row r="1509" spans="12:12" x14ac:dyDescent="0.3">
      <c r="L1509" s="293"/>
    </row>
    <row r="1510" spans="12:12" x14ac:dyDescent="0.3">
      <c r="L1510" s="293"/>
    </row>
    <row r="1511" spans="12:12" x14ac:dyDescent="0.3">
      <c r="L1511" s="293"/>
    </row>
    <row r="1512" spans="12:12" x14ac:dyDescent="0.3">
      <c r="L1512" s="293"/>
    </row>
    <row r="1513" spans="12:12" x14ac:dyDescent="0.3">
      <c r="L1513" s="293"/>
    </row>
    <row r="1514" spans="12:12" x14ac:dyDescent="0.3">
      <c r="L1514" s="293"/>
    </row>
    <row r="1515" spans="12:12" x14ac:dyDescent="0.3">
      <c r="L1515" s="293"/>
    </row>
    <row r="1516" spans="12:12" x14ac:dyDescent="0.3">
      <c r="L1516" s="293"/>
    </row>
    <row r="1517" spans="12:12" x14ac:dyDescent="0.3">
      <c r="L1517" s="293"/>
    </row>
    <row r="1518" spans="12:12" x14ac:dyDescent="0.3">
      <c r="L1518" s="293"/>
    </row>
    <row r="1519" spans="12:12" x14ac:dyDescent="0.3">
      <c r="L1519" s="293"/>
    </row>
    <row r="1520" spans="12:12" x14ac:dyDescent="0.3">
      <c r="L1520" s="293"/>
    </row>
    <row r="1521" spans="12:12" x14ac:dyDescent="0.3">
      <c r="L1521" s="293"/>
    </row>
    <row r="1522" spans="12:12" x14ac:dyDescent="0.3">
      <c r="L1522" s="293"/>
    </row>
    <row r="1523" spans="12:12" x14ac:dyDescent="0.3">
      <c r="L1523" s="293"/>
    </row>
    <row r="1524" spans="12:12" x14ac:dyDescent="0.3">
      <c r="L1524" s="293"/>
    </row>
    <row r="1525" spans="12:12" x14ac:dyDescent="0.3">
      <c r="L1525" s="293"/>
    </row>
    <row r="1526" spans="12:12" x14ac:dyDescent="0.3">
      <c r="L1526" s="293"/>
    </row>
    <row r="1527" spans="12:12" x14ac:dyDescent="0.3">
      <c r="L1527" s="293"/>
    </row>
    <row r="1528" spans="12:12" x14ac:dyDescent="0.3">
      <c r="L1528" s="293"/>
    </row>
    <row r="1529" spans="12:12" x14ac:dyDescent="0.3">
      <c r="L1529" s="293"/>
    </row>
    <row r="1530" spans="12:12" x14ac:dyDescent="0.3">
      <c r="L1530" s="293"/>
    </row>
    <row r="1531" spans="12:12" x14ac:dyDescent="0.3">
      <c r="L1531" s="293"/>
    </row>
    <row r="1532" spans="12:12" x14ac:dyDescent="0.3">
      <c r="L1532" s="293"/>
    </row>
    <row r="1533" spans="12:12" x14ac:dyDescent="0.3">
      <c r="L1533" s="293"/>
    </row>
    <row r="1534" spans="12:12" x14ac:dyDescent="0.3">
      <c r="L1534" s="293"/>
    </row>
    <row r="1535" spans="12:12" x14ac:dyDescent="0.3">
      <c r="L1535" s="293"/>
    </row>
    <row r="1536" spans="12:12" x14ac:dyDescent="0.3">
      <c r="L1536" s="293"/>
    </row>
    <row r="1537" spans="12:12" x14ac:dyDescent="0.3">
      <c r="L1537" s="293"/>
    </row>
    <row r="1538" spans="12:12" x14ac:dyDescent="0.3">
      <c r="L1538" s="293"/>
    </row>
    <row r="1539" spans="12:12" x14ac:dyDescent="0.3">
      <c r="L1539" s="293"/>
    </row>
    <row r="1540" spans="12:12" x14ac:dyDescent="0.3">
      <c r="L1540" s="293"/>
    </row>
    <row r="1541" spans="12:12" x14ac:dyDescent="0.3">
      <c r="L1541" s="293"/>
    </row>
    <row r="1542" spans="12:12" x14ac:dyDescent="0.3">
      <c r="L1542" s="293"/>
    </row>
    <row r="1543" spans="12:12" x14ac:dyDescent="0.3">
      <c r="L1543" s="293"/>
    </row>
    <row r="1544" spans="12:12" x14ac:dyDescent="0.3">
      <c r="L1544" s="293"/>
    </row>
    <row r="1545" spans="12:12" x14ac:dyDescent="0.3">
      <c r="L1545" s="293"/>
    </row>
    <row r="1546" spans="12:12" x14ac:dyDescent="0.3">
      <c r="L1546" s="293"/>
    </row>
    <row r="1547" spans="12:12" x14ac:dyDescent="0.3">
      <c r="L1547" s="293"/>
    </row>
    <row r="1548" spans="12:12" x14ac:dyDescent="0.3">
      <c r="L1548" s="293"/>
    </row>
    <row r="1549" spans="12:12" x14ac:dyDescent="0.3">
      <c r="L1549" s="293"/>
    </row>
    <row r="1550" spans="12:12" x14ac:dyDescent="0.3">
      <c r="L1550" s="293"/>
    </row>
    <row r="1551" spans="12:12" x14ac:dyDescent="0.3">
      <c r="L1551" s="293"/>
    </row>
    <row r="1552" spans="12:12" x14ac:dyDescent="0.3">
      <c r="L1552" s="293"/>
    </row>
    <row r="1553" spans="12:12" x14ac:dyDescent="0.3">
      <c r="L1553" s="293"/>
    </row>
    <row r="1554" spans="12:12" x14ac:dyDescent="0.3">
      <c r="L1554" s="293"/>
    </row>
    <row r="1555" spans="12:12" x14ac:dyDescent="0.3">
      <c r="L1555" s="293"/>
    </row>
    <row r="1556" spans="12:12" x14ac:dyDescent="0.3">
      <c r="L1556" s="293"/>
    </row>
    <row r="1557" spans="12:12" x14ac:dyDescent="0.3">
      <c r="L1557" s="293"/>
    </row>
    <row r="1558" spans="12:12" x14ac:dyDescent="0.3">
      <c r="L1558" s="293"/>
    </row>
    <row r="1559" spans="12:12" x14ac:dyDescent="0.3">
      <c r="L1559" s="293"/>
    </row>
    <row r="1560" spans="12:12" x14ac:dyDescent="0.3">
      <c r="L1560" s="293"/>
    </row>
    <row r="1561" spans="12:12" x14ac:dyDescent="0.3">
      <c r="L1561" s="293"/>
    </row>
    <row r="1562" spans="12:12" x14ac:dyDescent="0.3">
      <c r="L1562" s="293"/>
    </row>
    <row r="1563" spans="12:12" x14ac:dyDescent="0.3">
      <c r="L1563" s="293"/>
    </row>
    <row r="1564" spans="12:12" x14ac:dyDescent="0.3">
      <c r="L1564" s="293"/>
    </row>
    <row r="1565" spans="12:12" x14ac:dyDescent="0.3">
      <c r="L1565" s="293"/>
    </row>
    <row r="1566" spans="12:12" x14ac:dyDescent="0.3">
      <c r="L1566" s="293"/>
    </row>
    <row r="1567" spans="12:12" x14ac:dyDescent="0.3">
      <c r="L1567" s="293"/>
    </row>
    <row r="1568" spans="12:12" x14ac:dyDescent="0.3">
      <c r="L1568" s="293"/>
    </row>
    <row r="1569" spans="12:12" x14ac:dyDescent="0.3">
      <c r="L1569" s="293"/>
    </row>
    <row r="1570" spans="12:12" x14ac:dyDescent="0.3">
      <c r="L1570" s="293"/>
    </row>
    <row r="1571" spans="12:12" x14ac:dyDescent="0.3">
      <c r="L1571" s="293"/>
    </row>
    <row r="1572" spans="12:12" x14ac:dyDescent="0.3">
      <c r="L1572" s="293"/>
    </row>
    <row r="1573" spans="12:12" x14ac:dyDescent="0.3">
      <c r="L1573" s="293"/>
    </row>
    <row r="1574" spans="12:12" x14ac:dyDescent="0.3">
      <c r="L1574" s="293"/>
    </row>
    <row r="1575" spans="12:12" x14ac:dyDescent="0.3">
      <c r="L1575" s="293"/>
    </row>
    <row r="1576" spans="12:12" x14ac:dyDescent="0.3">
      <c r="L1576" s="293"/>
    </row>
    <row r="1577" spans="12:12" x14ac:dyDescent="0.3">
      <c r="L1577" s="293"/>
    </row>
    <row r="1578" spans="12:12" x14ac:dyDescent="0.3">
      <c r="L1578" s="293"/>
    </row>
    <row r="1579" spans="12:12" x14ac:dyDescent="0.3">
      <c r="L1579" s="293"/>
    </row>
    <row r="1580" spans="12:12" x14ac:dyDescent="0.3">
      <c r="L1580" s="293"/>
    </row>
    <row r="1581" spans="12:12" x14ac:dyDescent="0.3">
      <c r="L1581" s="293"/>
    </row>
    <row r="1582" spans="12:12" x14ac:dyDescent="0.3">
      <c r="L1582" s="293"/>
    </row>
    <row r="1583" spans="12:12" x14ac:dyDescent="0.3">
      <c r="L1583" s="293"/>
    </row>
    <row r="1584" spans="12:12" x14ac:dyDescent="0.3">
      <c r="L1584" s="293"/>
    </row>
    <row r="1585" spans="12:12" x14ac:dyDescent="0.3">
      <c r="L1585" s="293"/>
    </row>
    <row r="1586" spans="12:12" x14ac:dyDescent="0.3">
      <c r="L1586" s="293"/>
    </row>
    <row r="1587" spans="12:12" x14ac:dyDescent="0.3">
      <c r="L1587" s="293"/>
    </row>
    <row r="1588" spans="12:12" x14ac:dyDescent="0.3">
      <c r="L1588" s="293"/>
    </row>
    <row r="1589" spans="12:12" x14ac:dyDescent="0.3">
      <c r="L1589" s="293"/>
    </row>
    <row r="1590" spans="12:12" x14ac:dyDescent="0.3">
      <c r="L1590" s="293"/>
    </row>
    <row r="1591" spans="12:12" x14ac:dyDescent="0.3">
      <c r="L1591" s="293"/>
    </row>
    <row r="1592" spans="12:12" x14ac:dyDescent="0.3">
      <c r="L1592" s="293"/>
    </row>
    <row r="1593" spans="12:12" x14ac:dyDescent="0.3">
      <c r="L1593" s="293"/>
    </row>
    <row r="1594" spans="12:12" x14ac:dyDescent="0.3">
      <c r="L1594" s="293"/>
    </row>
    <row r="1595" spans="12:12" x14ac:dyDescent="0.3">
      <c r="L1595" s="293"/>
    </row>
    <row r="1596" spans="12:12" x14ac:dyDescent="0.3">
      <c r="L1596" s="293"/>
    </row>
    <row r="1597" spans="12:12" x14ac:dyDescent="0.3">
      <c r="L1597" s="293"/>
    </row>
    <row r="1598" spans="12:12" x14ac:dyDescent="0.3">
      <c r="L1598" s="293"/>
    </row>
    <row r="1599" spans="12:12" x14ac:dyDescent="0.3">
      <c r="L1599" s="293"/>
    </row>
    <row r="1600" spans="12:12" x14ac:dyDescent="0.3">
      <c r="L1600" s="293"/>
    </row>
    <row r="1601" spans="12:12" x14ac:dyDescent="0.3">
      <c r="L1601" s="293"/>
    </row>
    <row r="1602" spans="12:12" x14ac:dyDescent="0.3">
      <c r="L1602" s="293"/>
    </row>
    <row r="1603" spans="12:12" x14ac:dyDescent="0.3">
      <c r="L1603" s="293"/>
    </row>
    <row r="1604" spans="12:12" x14ac:dyDescent="0.3">
      <c r="L1604" s="293"/>
    </row>
    <row r="1605" spans="12:12" x14ac:dyDescent="0.3">
      <c r="L1605" s="293"/>
    </row>
    <row r="1606" spans="12:12" x14ac:dyDescent="0.3">
      <c r="L1606" s="293"/>
    </row>
    <row r="1607" spans="12:12" x14ac:dyDescent="0.3">
      <c r="L1607" s="293"/>
    </row>
    <row r="1608" spans="12:12" x14ac:dyDescent="0.3">
      <c r="L1608" s="293"/>
    </row>
    <row r="1609" spans="12:12" x14ac:dyDescent="0.3">
      <c r="L1609" s="293"/>
    </row>
    <row r="1610" spans="12:12" x14ac:dyDescent="0.3">
      <c r="L1610" s="293"/>
    </row>
    <row r="1611" spans="12:12" x14ac:dyDescent="0.3">
      <c r="L1611" s="293"/>
    </row>
    <row r="1612" spans="12:12" x14ac:dyDescent="0.3">
      <c r="L1612" s="293"/>
    </row>
    <row r="1613" spans="12:12" x14ac:dyDescent="0.3">
      <c r="L1613" s="293"/>
    </row>
    <row r="1614" spans="12:12" x14ac:dyDescent="0.3">
      <c r="L1614" s="293"/>
    </row>
    <row r="1615" spans="12:12" x14ac:dyDescent="0.3">
      <c r="L1615" s="293"/>
    </row>
    <row r="1616" spans="12:12" x14ac:dyDescent="0.3">
      <c r="L1616" s="293"/>
    </row>
    <row r="1617" spans="12:12" x14ac:dyDescent="0.3">
      <c r="L1617" s="293"/>
    </row>
    <row r="1618" spans="12:12" x14ac:dyDescent="0.3">
      <c r="L1618" s="293"/>
    </row>
    <row r="1619" spans="12:12" x14ac:dyDescent="0.3">
      <c r="L1619" s="293"/>
    </row>
    <row r="1620" spans="12:12" x14ac:dyDescent="0.3">
      <c r="L1620" s="293"/>
    </row>
    <row r="1621" spans="12:12" x14ac:dyDescent="0.3">
      <c r="L1621" s="293"/>
    </row>
    <row r="1622" spans="12:12" x14ac:dyDescent="0.3">
      <c r="L1622" s="293"/>
    </row>
    <row r="1623" spans="12:12" x14ac:dyDescent="0.3">
      <c r="L1623" s="293"/>
    </row>
    <row r="1624" spans="12:12" x14ac:dyDescent="0.3">
      <c r="L1624" s="293"/>
    </row>
    <row r="1625" spans="12:12" x14ac:dyDescent="0.3">
      <c r="L1625" s="293"/>
    </row>
    <row r="1626" spans="12:12" x14ac:dyDescent="0.3">
      <c r="L1626" s="293"/>
    </row>
    <row r="1627" spans="12:12" x14ac:dyDescent="0.3">
      <c r="L1627" s="293"/>
    </row>
    <row r="1628" spans="12:12" x14ac:dyDescent="0.3">
      <c r="L1628" s="293"/>
    </row>
    <row r="1629" spans="12:12" x14ac:dyDescent="0.3">
      <c r="L1629" s="293"/>
    </row>
    <row r="1630" spans="12:12" x14ac:dyDescent="0.3">
      <c r="L1630" s="293"/>
    </row>
    <row r="1631" spans="12:12" x14ac:dyDescent="0.3">
      <c r="L1631" s="293"/>
    </row>
    <row r="1632" spans="12:12" x14ac:dyDescent="0.3">
      <c r="L1632" s="293"/>
    </row>
    <row r="1633" spans="12:12" x14ac:dyDescent="0.3">
      <c r="L1633" s="293"/>
    </row>
    <row r="1634" spans="12:12" x14ac:dyDescent="0.3">
      <c r="L1634" s="293"/>
    </row>
    <row r="1635" spans="12:12" x14ac:dyDescent="0.3">
      <c r="L1635" s="293"/>
    </row>
    <row r="1636" spans="12:12" x14ac:dyDescent="0.3">
      <c r="L1636" s="293"/>
    </row>
    <row r="1637" spans="12:12" x14ac:dyDescent="0.3">
      <c r="L1637" s="293"/>
    </row>
    <row r="1638" spans="12:12" x14ac:dyDescent="0.3">
      <c r="L1638" s="293"/>
    </row>
    <row r="1639" spans="12:12" x14ac:dyDescent="0.3">
      <c r="L1639" s="293"/>
    </row>
    <row r="1640" spans="12:12" x14ac:dyDescent="0.3">
      <c r="L1640" s="293"/>
    </row>
    <row r="1641" spans="12:12" x14ac:dyDescent="0.3">
      <c r="L1641" s="293"/>
    </row>
    <row r="1642" spans="12:12" x14ac:dyDescent="0.3">
      <c r="L1642" s="293"/>
    </row>
    <row r="1643" spans="12:12" x14ac:dyDescent="0.3">
      <c r="L1643" s="293"/>
    </row>
    <row r="1644" spans="12:12" x14ac:dyDescent="0.3">
      <c r="L1644" s="293"/>
    </row>
    <row r="1645" spans="12:12" x14ac:dyDescent="0.3">
      <c r="L1645" s="293"/>
    </row>
    <row r="1646" spans="12:12" x14ac:dyDescent="0.3">
      <c r="L1646" s="293"/>
    </row>
    <row r="1647" spans="12:12" x14ac:dyDescent="0.3">
      <c r="L1647" s="293"/>
    </row>
    <row r="1648" spans="12:12" x14ac:dyDescent="0.3">
      <c r="L1648" s="293"/>
    </row>
    <row r="1649" spans="12:12" x14ac:dyDescent="0.3">
      <c r="L1649" s="293"/>
    </row>
    <row r="1650" spans="12:12" x14ac:dyDescent="0.3">
      <c r="L1650" s="293"/>
    </row>
    <row r="1651" spans="12:12" x14ac:dyDescent="0.3">
      <c r="L1651" s="293"/>
    </row>
    <row r="1652" spans="12:12" x14ac:dyDescent="0.3">
      <c r="L1652" s="293"/>
    </row>
    <row r="1653" spans="12:12" x14ac:dyDescent="0.3">
      <c r="L1653" s="293"/>
    </row>
    <row r="1654" spans="12:12" x14ac:dyDescent="0.3">
      <c r="L1654" s="293"/>
    </row>
    <row r="1655" spans="12:12" x14ac:dyDescent="0.3">
      <c r="L1655" s="293"/>
    </row>
    <row r="1656" spans="12:12" x14ac:dyDescent="0.3">
      <c r="L1656" s="293"/>
    </row>
    <row r="1657" spans="12:12" x14ac:dyDescent="0.3">
      <c r="L1657" s="293"/>
    </row>
    <row r="1658" spans="12:12" x14ac:dyDescent="0.3">
      <c r="L1658" s="293"/>
    </row>
    <row r="1659" spans="12:12" x14ac:dyDescent="0.3">
      <c r="L1659" s="293"/>
    </row>
    <row r="1660" spans="12:12" x14ac:dyDescent="0.3">
      <c r="L1660" s="293"/>
    </row>
    <row r="1661" spans="12:12" x14ac:dyDescent="0.3">
      <c r="L1661" s="293"/>
    </row>
    <row r="1662" spans="12:12" x14ac:dyDescent="0.3">
      <c r="L1662" s="293"/>
    </row>
    <row r="1663" spans="12:12" x14ac:dyDescent="0.3">
      <c r="L1663" s="293"/>
    </row>
    <row r="1664" spans="12:12" x14ac:dyDescent="0.3">
      <c r="L1664" s="293"/>
    </row>
    <row r="1665" spans="12:12" x14ac:dyDescent="0.3">
      <c r="L1665" s="293"/>
    </row>
    <row r="1666" spans="12:12" x14ac:dyDescent="0.3">
      <c r="L1666" s="293"/>
    </row>
    <row r="1667" spans="12:12" x14ac:dyDescent="0.3">
      <c r="L1667" s="293"/>
    </row>
    <row r="1668" spans="12:12" x14ac:dyDescent="0.3">
      <c r="L1668" s="293"/>
    </row>
    <row r="1669" spans="12:12" x14ac:dyDescent="0.3">
      <c r="L1669" s="293"/>
    </row>
    <row r="1670" spans="12:12" x14ac:dyDescent="0.3">
      <c r="L1670" s="293"/>
    </row>
    <row r="1671" spans="12:12" x14ac:dyDescent="0.3">
      <c r="L1671" s="293"/>
    </row>
    <row r="1672" spans="12:12" x14ac:dyDescent="0.3">
      <c r="L1672" s="293"/>
    </row>
    <row r="1673" spans="12:12" x14ac:dyDescent="0.3">
      <c r="L1673" s="293"/>
    </row>
    <row r="1674" spans="12:12" x14ac:dyDescent="0.3">
      <c r="L1674" s="293"/>
    </row>
    <row r="1675" spans="12:12" x14ac:dyDescent="0.3">
      <c r="L1675" s="293"/>
    </row>
    <row r="1676" spans="12:12" x14ac:dyDescent="0.3">
      <c r="L1676" s="293"/>
    </row>
    <row r="1677" spans="12:12" x14ac:dyDescent="0.3">
      <c r="L1677" s="293"/>
    </row>
    <row r="1678" spans="12:12" x14ac:dyDescent="0.3">
      <c r="L1678" s="293"/>
    </row>
    <row r="1679" spans="12:12" x14ac:dyDescent="0.3">
      <c r="L1679" s="293"/>
    </row>
    <row r="1680" spans="12:12" x14ac:dyDescent="0.3">
      <c r="L1680" s="293"/>
    </row>
    <row r="1681" spans="12:12" x14ac:dyDescent="0.3">
      <c r="L1681" s="293"/>
    </row>
    <row r="1682" spans="12:12" x14ac:dyDescent="0.3">
      <c r="L1682" s="293"/>
    </row>
    <row r="1683" spans="12:12" x14ac:dyDescent="0.3">
      <c r="L1683" s="293"/>
    </row>
    <row r="1684" spans="12:12" x14ac:dyDescent="0.3">
      <c r="L1684" s="293"/>
    </row>
    <row r="1685" spans="12:12" x14ac:dyDescent="0.3">
      <c r="L1685" s="293"/>
    </row>
    <row r="1686" spans="12:12" x14ac:dyDescent="0.3">
      <c r="L1686" s="293"/>
    </row>
    <row r="1687" spans="12:12" x14ac:dyDescent="0.3">
      <c r="L1687" s="293"/>
    </row>
    <row r="1688" spans="12:12" x14ac:dyDescent="0.3">
      <c r="L1688" s="293"/>
    </row>
    <row r="1689" spans="12:12" x14ac:dyDescent="0.3">
      <c r="L1689" s="293"/>
    </row>
    <row r="1690" spans="12:12" x14ac:dyDescent="0.3">
      <c r="L1690" s="293"/>
    </row>
    <row r="1691" spans="12:12" x14ac:dyDescent="0.3">
      <c r="L1691" s="293"/>
    </row>
    <row r="1692" spans="12:12" x14ac:dyDescent="0.3">
      <c r="L1692" s="293"/>
    </row>
    <row r="1693" spans="12:12" x14ac:dyDescent="0.3">
      <c r="L1693" s="293"/>
    </row>
    <row r="1694" spans="12:12" x14ac:dyDescent="0.3">
      <c r="L1694" s="293"/>
    </row>
    <row r="1695" spans="12:12" x14ac:dyDescent="0.3">
      <c r="L1695" s="293"/>
    </row>
    <row r="1696" spans="12:12" x14ac:dyDescent="0.3">
      <c r="L1696" s="293"/>
    </row>
    <row r="1697" spans="12:12" x14ac:dyDescent="0.3">
      <c r="L1697" s="293"/>
    </row>
    <row r="1698" spans="12:12" x14ac:dyDescent="0.3">
      <c r="L1698" s="293"/>
    </row>
    <row r="1699" spans="12:12" x14ac:dyDescent="0.3">
      <c r="L1699" s="293"/>
    </row>
    <row r="1700" spans="12:12" x14ac:dyDescent="0.3">
      <c r="L1700" s="293"/>
    </row>
    <row r="1701" spans="12:12" x14ac:dyDescent="0.3">
      <c r="L1701" s="293"/>
    </row>
    <row r="1702" spans="12:12" x14ac:dyDescent="0.3">
      <c r="L1702" s="293"/>
    </row>
    <row r="1703" spans="12:12" x14ac:dyDescent="0.3">
      <c r="L1703" s="293"/>
    </row>
    <row r="1704" spans="12:12" x14ac:dyDescent="0.3">
      <c r="L1704" s="293"/>
    </row>
    <row r="1705" spans="12:12" x14ac:dyDescent="0.3">
      <c r="L1705" s="293"/>
    </row>
    <row r="1706" spans="12:12" x14ac:dyDescent="0.3">
      <c r="L1706" s="293"/>
    </row>
    <row r="1707" spans="12:12" x14ac:dyDescent="0.3">
      <c r="L1707" s="293"/>
    </row>
    <row r="1708" spans="12:12" x14ac:dyDescent="0.3">
      <c r="L1708" s="293"/>
    </row>
    <row r="1709" spans="12:12" x14ac:dyDescent="0.3">
      <c r="L1709" s="293"/>
    </row>
    <row r="1710" spans="12:12" x14ac:dyDescent="0.3">
      <c r="L1710" s="293"/>
    </row>
    <row r="1711" spans="12:12" x14ac:dyDescent="0.3">
      <c r="L1711" s="293"/>
    </row>
    <row r="1712" spans="12:12" x14ac:dyDescent="0.3">
      <c r="L1712" s="293"/>
    </row>
    <row r="1713" spans="12:12" x14ac:dyDescent="0.3">
      <c r="L1713" s="293"/>
    </row>
    <row r="1714" spans="12:12" x14ac:dyDescent="0.3">
      <c r="L1714" s="293"/>
    </row>
    <row r="1715" spans="12:12" x14ac:dyDescent="0.3">
      <c r="L1715" s="293"/>
    </row>
    <row r="1716" spans="12:12" x14ac:dyDescent="0.3">
      <c r="L1716" s="293"/>
    </row>
    <row r="1717" spans="12:12" x14ac:dyDescent="0.3">
      <c r="L1717" s="293"/>
    </row>
    <row r="1718" spans="12:12" x14ac:dyDescent="0.3">
      <c r="L1718" s="293"/>
    </row>
    <row r="1719" spans="12:12" x14ac:dyDescent="0.3">
      <c r="L1719" s="293"/>
    </row>
    <row r="1720" spans="12:12" x14ac:dyDescent="0.3">
      <c r="L1720" s="293"/>
    </row>
    <row r="1721" spans="12:12" x14ac:dyDescent="0.3">
      <c r="L1721" s="293"/>
    </row>
    <row r="1722" spans="12:12" x14ac:dyDescent="0.3">
      <c r="L1722" s="293"/>
    </row>
    <row r="1723" spans="12:12" x14ac:dyDescent="0.3">
      <c r="L1723" s="293"/>
    </row>
    <row r="1724" spans="12:12" x14ac:dyDescent="0.3">
      <c r="L1724" s="293"/>
    </row>
    <row r="1725" spans="12:12" x14ac:dyDescent="0.3">
      <c r="L1725" s="293"/>
    </row>
    <row r="1726" spans="12:12" x14ac:dyDescent="0.3">
      <c r="L1726" s="293"/>
    </row>
    <row r="1727" spans="12:12" x14ac:dyDescent="0.3">
      <c r="L1727" s="293"/>
    </row>
    <row r="1728" spans="12:12" x14ac:dyDescent="0.3">
      <c r="L1728" s="293"/>
    </row>
    <row r="1729" spans="12:12" x14ac:dyDescent="0.3">
      <c r="L1729" s="293"/>
    </row>
    <row r="1730" spans="12:12" x14ac:dyDescent="0.3">
      <c r="L1730" s="293"/>
    </row>
    <row r="1731" spans="12:12" x14ac:dyDescent="0.3">
      <c r="L1731" s="293"/>
    </row>
    <row r="1732" spans="12:12" x14ac:dyDescent="0.3">
      <c r="L1732" s="293"/>
    </row>
    <row r="1733" spans="12:12" x14ac:dyDescent="0.3">
      <c r="L1733" s="293"/>
    </row>
    <row r="1734" spans="12:12" x14ac:dyDescent="0.3">
      <c r="L1734" s="293"/>
    </row>
    <row r="1735" spans="12:12" x14ac:dyDescent="0.3">
      <c r="L1735" s="293"/>
    </row>
    <row r="1736" spans="12:12" x14ac:dyDescent="0.3">
      <c r="L1736" s="293"/>
    </row>
    <row r="1737" spans="12:12" x14ac:dyDescent="0.3">
      <c r="L1737" s="293"/>
    </row>
    <row r="1738" spans="12:12" x14ac:dyDescent="0.3">
      <c r="L1738" s="293"/>
    </row>
    <row r="1739" spans="12:12" x14ac:dyDescent="0.3">
      <c r="L1739" s="293"/>
    </row>
    <row r="1740" spans="12:12" x14ac:dyDescent="0.3">
      <c r="L1740" s="293"/>
    </row>
    <row r="1741" spans="12:12" x14ac:dyDescent="0.3">
      <c r="L1741" s="293"/>
    </row>
    <row r="1742" spans="12:12" x14ac:dyDescent="0.3">
      <c r="L1742" s="293"/>
    </row>
    <row r="1743" spans="12:12" x14ac:dyDescent="0.3">
      <c r="L1743" s="293"/>
    </row>
    <row r="1744" spans="12:12" x14ac:dyDescent="0.3">
      <c r="L1744" s="293"/>
    </row>
    <row r="1745" spans="12:12" x14ac:dyDescent="0.3">
      <c r="L1745" s="293"/>
    </row>
    <row r="1746" spans="12:12" x14ac:dyDescent="0.3">
      <c r="L1746" s="293"/>
    </row>
    <row r="1747" spans="12:12" x14ac:dyDescent="0.3">
      <c r="L1747" s="293"/>
    </row>
    <row r="1748" spans="12:12" x14ac:dyDescent="0.3">
      <c r="L1748" s="293"/>
    </row>
    <row r="1749" spans="12:12" x14ac:dyDescent="0.3">
      <c r="L1749" s="293"/>
    </row>
    <row r="1750" spans="12:12" x14ac:dyDescent="0.3">
      <c r="L1750" s="293"/>
    </row>
    <row r="1751" spans="12:12" x14ac:dyDescent="0.3">
      <c r="L1751" s="293"/>
    </row>
    <row r="1752" spans="12:12" x14ac:dyDescent="0.3">
      <c r="L1752" s="293"/>
    </row>
    <row r="1753" spans="12:12" x14ac:dyDescent="0.3">
      <c r="L1753" s="293"/>
    </row>
    <row r="1754" spans="12:12" x14ac:dyDescent="0.3">
      <c r="L1754" s="293"/>
    </row>
    <row r="1755" spans="12:12" x14ac:dyDescent="0.3">
      <c r="L1755" s="293"/>
    </row>
    <row r="1756" spans="12:12" x14ac:dyDescent="0.3">
      <c r="L1756" s="293"/>
    </row>
    <row r="1757" spans="12:12" x14ac:dyDescent="0.3">
      <c r="L1757" s="293"/>
    </row>
    <row r="1758" spans="12:12" x14ac:dyDescent="0.3">
      <c r="L1758" s="293"/>
    </row>
    <row r="1759" spans="12:12" x14ac:dyDescent="0.3">
      <c r="L1759" s="293"/>
    </row>
    <row r="1760" spans="12:12" x14ac:dyDescent="0.3">
      <c r="L1760" s="293"/>
    </row>
    <row r="1761" spans="12:12" x14ac:dyDescent="0.3">
      <c r="L1761" s="293"/>
    </row>
    <row r="1762" spans="12:12" x14ac:dyDescent="0.3">
      <c r="L1762" s="293"/>
    </row>
    <row r="1763" spans="12:12" x14ac:dyDescent="0.3">
      <c r="L1763" s="293"/>
    </row>
    <row r="1764" spans="12:12" x14ac:dyDescent="0.3">
      <c r="L1764" s="293"/>
    </row>
    <row r="1765" spans="12:12" x14ac:dyDescent="0.3">
      <c r="L1765" s="293"/>
    </row>
    <row r="1766" spans="12:12" x14ac:dyDescent="0.3">
      <c r="L1766" s="293"/>
    </row>
    <row r="1767" spans="12:12" x14ac:dyDescent="0.3">
      <c r="L1767" s="293"/>
    </row>
    <row r="1768" spans="12:12" x14ac:dyDescent="0.3">
      <c r="L1768" s="293"/>
    </row>
    <row r="1769" spans="12:12" x14ac:dyDescent="0.3">
      <c r="L1769" s="293"/>
    </row>
    <row r="1770" spans="12:12" x14ac:dyDescent="0.3">
      <c r="L1770" s="293"/>
    </row>
    <row r="1771" spans="12:12" x14ac:dyDescent="0.3">
      <c r="L1771" s="293"/>
    </row>
    <row r="1772" spans="12:12" x14ac:dyDescent="0.3">
      <c r="L1772" s="293"/>
    </row>
    <row r="1773" spans="12:12" x14ac:dyDescent="0.3">
      <c r="L1773" s="293"/>
    </row>
    <row r="1774" spans="12:12" x14ac:dyDescent="0.3">
      <c r="L1774" s="293"/>
    </row>
    <row r="1775" spans="12:12" x14ac:dyDescent="0.3">
      <c r="L1775" s="293"/>
    </row>
    <row r="1776" spans="12:12" x14ac:dyDescent="0.3">
      <c r="L1776" s="293"/>
    </row>
    <row r="1777" spans="12:12" x14ac:dyDescent="0.3">
      <c r="L1777" s="293"/>
    </row>
    <row r="1778" spans="12:12" x14ac:dyDescent="0.3">
      <c r="L1778" s="293"/>
    </row>
    <row r="1779" spans="12:12" x14ac:dyDescent="0.3">
      <c r="L1779" s="293"/>
    </row>
    <row r="1780" spans="12:12" x14ac:dyDescent="0.3">
      <c r="L1780" s="293"/>
    </row>
    <row r="1781" spans="12:12" x14ac:dyDescent="0.3">
      <c r="L1781" s="293"/>
    </row>
    <row r="1782" spans="12:12" x14ac:dyDescent="0.3">
      <c r="L1782" s="293"/>
    </row>
    <row r="1783" spans="12:12" x14ac:dyDescent="0.3">
      <c r="L1783" s="293"/>
    </row>
    <row r="1784" spans="12:12" x14ac:dyDescent="0.3">
      <c r="L1784" s="293"/>
    </row>
    <row r="1785" spans="12:12" x14ac:dyDescent="0.3">
      <c r="L1785" s="293"/>
    </row>
    <row r="1786" spans="12:12" x14ac:dyDescent="0.3">
      <c r="L1786" s="293"/>
    </row>
    <row r="1787" spans="12:12" x14ac:dyDescent="0.3">
      <c r="L1787" s="293"/>
    </row>
    <row r="1788" spans="12:12" x14ac:dyDescent="0.3">
      <c r="L1788" s="293"/>
    </row>
    <row r="1789" spans="12:12" x14ac:dyDescent="0.3">
      <c r="L1789" s="293"/>
    </row>
    <row r="1790" spans="12:12" x14ac:dyDescent="0.3">
      <c r="L1790" s="293"/>
    </row>
    <row r="1791" spans="12:12" x14ac:dyDescent="0.3">
      <c r="L1791" s="293"/>
    </row>
    <row r="1792" spans="12:12" x14ac:dyDescent="0.3">
      <c r="L1792" s="293"/>
    </row>
    <row r="1793" spans="12:12" x14ac:dyDescent="0.3">
      <c r="L1793" s="293"/>
    </row>
    <row r="1794" spans="12:12" x14ac:dyDescent="0.3">
      <c r="L1794" s="293"/>
    </row>
    <row r="1795" spans="12:12" x14ac:dyDescent="0.3">
      <c r="L1795" s="293"/>
    </row>
    <row r="1796" spans="12:12" x14ac:dyDescent="0.3">
      <c r="L1796" s="293"/>
    </row>
    <row r="1797" spans="12:12" x14ac:dyDescent="0.3">
      <c r="L1797" s="293"/>
    </row>
    <row r="1798" spans="12:12" x14ac:dyDescent="0.3">
      <c r="L1798" s="293"/>
    </row>
    <row r="1799" spans="12:12" x14ac:dyDescent="0.3">
      <c r="L1799" s="293"/>
    </row>
    <row r="1800" spans="12:12" x14ac:dyDescent="0.3">
      <c r="L1800" s="293"/>
    </row>
    <row r="1801" spans="12:12" x14ac:dyDescent="0.3">
      <c r="L1801" s="293"/>
    </row>
    <row r="1802" spans="12:12" x14ac:dyDescent="0.3">
      <c r="L1802" s="293"/>
    </row>
    <row r="1803" spans="12:12" x14ac:dyDescent="0.3">
      <c r="L1803" s="293"/>
    </row>
    <row r="1804" spans="12:12" x14ac:dyDescent="0.3">
      <c r="L1804" s="293"/>
    </row>
    <row r="1805" spans="12:12" x14ac:dyDescent="0.3">
      <c r="L1805" s="293"/>
    </row>
    <row r="1806" spans="12:12" x14ac:dyDescent="0.3">
      <c r="L1806" s="293"/>
    </row>
    <row r="1807" spans="12:12" x14ac:dyDescent="0.3">
      <c r="L1807" s="293"/>
    </row>
    <row r="1808" spans="12:12" x14ac:dyDescent="0.3">
      <c r="L1808" s="293"/>
    </row>
    <row r="1809" spans="12:12" x14ac:dyDescent="0.3">
      <c r="L1809" s="293"/>
    </row>
    <row r="1810" spans="12:12" x14ac:dyDescent="0.3">
      <c r="L1810" s="293"/>
    </row>
    <row r="1811" spans="12:12" x14ac:dyDescent="0.3">
      <c r="L1811" s="293"/>
    </row>
    <row r="1812" spans="12:12" x14ac:dyDescent="0.3">
      <c r="L1812" s="293"/>
    </row>
    <row r="1813" spans="12:12" x14ac:dyDescent="0.3">
      <c r="L1813" s="293"/>
    </row>
    <row r="1814" spans="12:12" x14ac:dyDescent="0.3">
      <c r="L1814" s="293"/>
    </row>
    <row r="1815" spans="12:12" x14ac:dyDescent="0.3">
      <c r="L1815" s="293"/>
    </row>
    <row r="1816" spans="12:12" x14ac:dyDescent="0.3">
      <c r="L1816" s="293"/>
    </row>
    <row r="1817" spans="12:12" x14ac:dyDescent="0.3">
      <c r="L1817" s="293"/>
    </row>
    <row r="1818" spans="12:12" x14ac:dyDescent="0.3">
      <c r="L1818" s="293"/>
    </row>
    <row r="1819" spans="12:12" x14ac:dyDescent="0.3">
      <c r="L1819" s="293"/>
    </row>
    <row r="1820" spans="12:12" x14ac:dyDescent="0.3">
      <c r="L1820" s="293"/>
    </row>
    <row r="1821" spans="12:12" x14ac:dyDescent="0.3">
      <c r="L1821" s="293"/>
    </row>
    <row r="1822" spans="12:12" x14ac:dyDescent="0.3">
      <c r="L1822" s="293"/>
    </row>
    <row r="1823" spans="12:12" x14ac:dyDescent="0.3">
      <c r="L1823" s="293"/>
    </row>
    <row r="1824" spans="12:12" x14ac:dyDescent="0.3">
      <c r="L1824" s="293"/>
    </row>
    <row r="1825" spans="12:12" x14ac:dyDescent="0.3">
      <c r="L1825" s="293"/>
    </row>
    <row r="1826" spans="12:12" x14ac:dyDescent="0.3">
      <c r="L1826" s="293"/>
    </row>
    <row r="1827" spans="12:12" x14ac:dyDescent="0.3">
      <c r="L1827" s="293"/>
    </row>
    <row r="1828" spans="12:12" x14ac:dyDescent="0.3">
      <c r="L1828" s="293"/>
    </row>
    <row r="1829" spans="12:12" x14ac:dyDescent="0.3">
      <c r="L1829" s="293"/>
    </row>
    <row r="1830" spans="12:12" x14ac:dyDescent="0.3">
      <c r="L1830" s="293"/>
    </row>
    <row r="1831" spans="12:12" x14ac:dyDescent="0.3">
      <c r="L1831" s="293"/>
    </row>
    <row r="1832" spans="12:12" x14ac:dyDescent="0.3">
      <c r="L1832" s="293"/>
    </row>
    <row r="1833" spans="12:12" x14ac:dyDescent="0.3">
      <c r="L1833" s="293"/>
    </row>
    <row r="1834" spans="12:12" x14ac:dyDescent="0.3">
      <c r="L1834" s="293"/>
    </row>
    <row r="1835" spans="12:12" x14ac:dyDescent="0.3">
      <c r="L1835" s="293"/>
    </row>
    <row r="1836" spans="12:12" x14ac:dyDescent="0.3">
      <c r="L1836" s="293"/>
    </row>
    <row r="1837" spans="12:12" x14ac:dyDescent="0.3">
      <c r="L1837" s="293"/>
    </row>
    <row r="1838" spans="12:12" x14ac:dyDescent="0.3">
      <c r="L1838" s="293"/>
    </row>
    <row r="1839" spans="12:12" x14ac:dyDescent="0.3">
      <c r="L1839" s="293"/>
    </row>
    <row r="1840" spans="12:12" x14ac:dyDescent="0.3">
      <c r="L1840" s="293"/>
    </row>
    <row r="1841" spans="12:12" x14ac:dyDescent="0.3">
      <c r="L1841" s="293"/>
    </row>
    <row r="1842" spans="12:12" x14ac:dyDescent="0.3">
      <c r="L1842" s="293"/>
    </row>
    <row r="1843" spans="12:12" x14ac:dyDescent="0.3">
      <c r="L1843" s="293"/>
    </row>
    <row r="1844" spans="12:12" x14ac:dyDescent="0.3">
      <c r="L1844" s="293"/>
    </row>
    <row r="1845" spans="12:12" x14ac:dyDescent="0.3">
      <c r="L1845" s="293"/>
    </row>
    <row r="1846" spans="12:12" x14ac:dyDescent="0.3">
      <c r="L1846" s="293"/>
    </row>
    <row r="1847" spans="12:12" x14ac:dyDescent="0.3">
      <c r="L1847" s="293"/>
    </row>
    <row r="1848" spans="12:12" x14ac:dyDescent="0.3">
      <c r="L1848" s="293"/>
    </row>
    <row r="1849" spans="12:12" x14ac:dyDescent="0.3">
      <c r="L1849" s="293"/>
    </row>
    <row r="1850" spans="12:12" x14ac:dyDescent="0.3">
      <c r="L1850" s="293"/>
    </row>
    <row r="1851" spans="12:12" x14ac:dyDescent="0.3">
      <c r="L1851" s="293"/>
    </row>
    <row r="1852" spans="12:12" x14ac:dyDescent="0.3">
      <c r="L1852" s="293"/>
    </row>
    <row r="1853" spans="12:12" x14ac:dyDescent="0.3">
      <c r="L1853" s="293"/>
    </row>
    <row r="1854" spans="12:12" x14ac:dyDescent="0.3">
      <c r="L1854" s="293"/>
    </row>
    <row r="1855" spans="12:12" x14ac:dyDescent="0.3">
      <c r="L1855" s="293"/>
    </row>
    <row r="1856" spans="12:12" x14ac:dyDescent="0.3">
      <c r="L1856" s="293"/>
    </row>
    <row r="1857" spans="12:12" x14ac:dyDescent="0.3">
      <c r="L1857" s="293"/>
    </row>
    <row r="1858" spans="12:12" x14ac:dyDescent="0.3">
      <c r="L1858" s="293"/>
    </row>
    <row r="1859" spans="12:12" x14ac:dyDescent="0.3">
      <c r="L1859" s="293"/>
    </row>
    <row r="1860" spans="12:12" x14ac:dyDescent="0.3">
      <c r="L1860" s="293"/>
    </row>
    <row r="1861" spans="12:12" x14ac:dyDescent="0.3">
      <c r="L1861" s="293"/>
    </row>
    <row r="1862" spans="12:12" x14ac:dyDescent="0.3">
      <c r="L1862" s="293"/>
    </row>
    <row r="1863" spans="12:12" x14ac:dyDescent="0.3">
      <c r="L1863" s="293"/>
    </row>
    <row r="1864" spans="12:12" x14ac:dyDescent="0.3">
      <c r="L1864" s="293"/>
    </row>
    <row r="1865" spans="12:12" x14ac:dyDescent="0.3">
      <c r="L1865" s="293"/>
    </row>
    <row r="1866" spans="12:12" x14ac:dyDescent="0.3">
      <c r="L1866" s="293"/>
    </row>
    <row r="1867" spans="12:12" x14ac:dyDescent="0.3">
      <c r="L1867" s="293"/>
    </row>
    <row r="1868" spans="12:12" x14ac:dyDescent="0.3">
      <c r="L1868" s="293"/>
    </row>
    <row r="1869" spans="12:12" x14ac:dyDescent="0.3">
      <c r="L1869" s="293"/>
    </row>
    <row r="1870" spans="12:12" x14ac:dyDescent="0.3">
      <c r="L1870" s="293"/>
    </row>
    <row r="1871" spans="12:12" x14ac:dyDescent="0.3">
      <c r="L1871" s="293"/>
    </row>
    <row r="1872" spans="12:12" x14ac:dyDescent="0.3">
      <c r="L1872" s="293"/>
    </row>
    <row r="1873" spans="12:12" x14ac:dyDescent="0.3">
      <c r="L1873" s="293"/>
    </row>
    <row r="1874" spans="12:12" x14ac:dyDescent="0.3">
      <c r="L1874" s="293"/>
    </row>
    <row r="1875" spans="12:12" x14ac:dyDescent="0.3">
      <c r="L1875" s="293"/>
    </row>
    <row r="1876" spans="12:12" x14ac:dyDescent="0.3">
      <c r="L1876" s="293"/>
    </row>
    <row r="1877" spans="12:12" x14ac:dyDescent="0.3">
      <c r="L1877" s="293"/>
    </row>
    <row r="1878" spans="12:12" x14ac:dyDescent="0.3">
      <c r="L1878" s="293"/>
    </row>
    <row r="1879" spans="12:12" x14ac:dyDescent="0.3">
      <c r="L1879" s="293"/>
    </row>
    <row r="1880" spans="12:12" x14ac:dyDescent="0.3">
      <c r="L1880" s="293"/>
    </row>
    <row r="1881" spans="12:12" x14ac:dyDescent="0.3">
      <c r="L1881" s="293"/>
    </row>
    <row r="1882" spans="12:12" x14ac:dyDescent="0.3">
      <c r="L1882" s="293"/>
    </row>
    <row r="1883" spans="12:12" x14ac:dyDescent="0.3">
      <c r="L1883" s="293"/>
    </row>
    <row r="1884" spans="12:12" x14ac:dyDescent="0.3">
      <c r="L1884" s="293"/>
    </row>
    <row r="1885" spans="12:12" x14ac:dyDescent="0.3">
      <c r="L1885" s="293"/>
    </row>
    <row r="1886" spans="12:12" x14ac:dyDescent="0.3">
      <c r="L1886" s="293"/>
    </row>
    <row r="1887" spans="12:12" x14ac:dyDescent="0.3">
      <c r="L1887" s="293"/>
    </row>
    <row r="1888" spans="12:12" x14ac:dyDescent="0.3">
      <c r="L1888" s="293"/>
    </row>
    <row r="1889" spans="12:12" x14ac:dyDescent="0.3">
      <c r="L1889" s="293"/>
    </row>
    <row r="1890" spans="12:12" x14ac:dyDescent="0.3">
      <c r="L1890" s="293"/>
    </row>
    <row r="1891" spans="12:12" x14ac:dyDescent="0.3">
      <c r="L1891" s="293"/>
    </row>
    <row r="1892" spans="12:12" x14ac:dyDescent="0.3">
      <c r="L1892" s="293"/>
    </row>
    <row r="1893" spans="12:12" x14ac:dyDescent="0.3">
      <c r="L1893" s="293"/>
    </row>
    <row r="1894" spans="12:12" x14ac:dyDescent="0.3">
      <c r="L1894" s="293"/>
    </row>
    <row r="1895" spans="12:12" x14ac:dyDescent="0.3">
      <c r="L1895" s="293"/>
    </row>
    <row r="1896" spans="12:12" x14ac:dyDescent="0.3">
      <c r="L1896" s="293"/>
    </row>
    <row r="1897" spans="12:12" x14ac:dyDescent="0.3">
      <c r="L1897" s="293"/>
    </row>
    <row r="1898" spans="12:12" x14ac:dyDescent="0.3">
      <c r="L1898" s="293"/>
    </row>
    <row r="1899" spans="12:12" x14ac:dyDescent="0.3">
      <c r="L1899" s="293"/>
    </row>
    <row r="1900" spans="12:12" x14ac:dyDescent="0.3">
      <c r="L1900" s="293"/>
    </row>
    <row r="1901" spans="12:12" x14ac:dyDescent="0.3">
      <c r="L1901" s="293"/>
    </row>
    <row r="1902" spans="12:12" x14ac:dyDescent="0.3">
      <c r="L1902" s="293"/>
    </row>
    <row r="1903" spans="12:12" x14ac:dyDescent="0.3">
      <c r="L1903" s="293"/>
    </row>
    <row r="1904" spans="12:12" x14ac:dyDescent="0.3">
      <c r="L1904" s="293"/>
    </row>
    <row r="1905" spans="12:12" x14ac:dyDescent="0.3">
      <c r="L1905" s="293"/>
    </row>
    <row r="1906" spans="12:12" x14ac:dyDescent="0.3">
      <c r="L1906" s="293"/>
    </row>
    <row r="1907" spans="12:12" x14ac:dyDescent="0.3">
      <c r="L1907" s="293"/>
    </row>
    <row r="1908" spans="12:12" x14ac:dyDescent="0.3">
      <c r="L1908" s="293"/>
    </row>
    <row r="1909" spans="12:12" x14ac:dyDescent="0.3">
      <c r="L1909" s="293"/>
    </row>
    <row r="1910" spans="12:12" x14ac:dyDescent="0.3">
      <c r="L1910" s="293"/>
    </row>
    <row r="1911" spans="12:12" x14ac:dyDescent="0.3">
      <c r="L1911" s="293"/>
    </row>
    <row r="1912" spans="12:12" x14ac:dyDescent="0.3">
      <c r="L1912" s="293"/>
    </row>
    <row r="1913" spans="12:12" x14ac:dyDescent="0.3">
      <c r="L1913" s="293"/>
    </row>
    <row r="1914" spans="12:12" x14ac:dyDescent="0.3">
      <c r="L1914" s="293"/>
    </row>
    <row r="1915" spans="12:12" x14ac:dyDescent="0.3">
      <c r="L1915" s="293"/>
    </row>
    <row r="1916" spans="12:12" x14ac:dyDescent="0.3">
      <c r="L1916" s="293"/>
    </row>
    <row r="1917" spans="12:12" x14ac:dyDescent="0.3">
      <c r="L1917" s="293"/>
    </row>
    <row r="1918" spans="12:12" x14ac:dyDescent="0.3">
      <c r="L1918" s="293"/>
    </row>
    <row r="1919" spans="12:12" x14ac:dyDescent="0.3">
      <c r="L1919" s="293"/>
    </row>
    <row r="1920" spans="12:12" x14ac:dyDescent="0.3">
      <c r="L1920" s="293"/>
    </row>
    <row r="1921" spans="12:12" x14ac:dyDescent="0.3">
      <c r="L1921" s="293"/>
    </row>
    <row r="1922" spans="12:12" x14ac:dyDescent="0.3">
      <c r="L1922" s="293"/>
    </row>
    <row r="1923" spans="12:12" x14ac:dyDescent="0.3">
      <c r="L1923" s="293"/>
    </row>
    <row r="1924" spans="12:12" x14ac:dyDescent="0.3">
      <c r="L1924" s="293"/>
    </row>
    <row r="1925" spans="12:12" x14ac:dyDescent="0.3">
      <c r="L1925" s="293"/>
    </row>
    <row r="1926" spans="12:12" x14ac:dyDescent="0.3">
      <c r="L1926" s="293"/>
    </row>
    <row r="1927" spans="12:12" x14ac:dyDescent="0.3">
      <c r="L1927" s="293"/>
    </row>
    <row r="1928" spans="12:12" x14ac:dyDescent="0.3">
      <c r="L1928" s="293"/>
    </row>
    <row r="1929" spans="12:12" x14ac:dyDescent="0.3">
      <c r="L1929" s="293"/>
    </row>
    <row r="1930" spans="12:12" x14ac:dyDescent="0.3">
      <c r="L1930" s="293"/>
    </row>
    <row r="1931" spans="12:12" x14ac:dyDescent="0.3">
      <c r="L1931" s="293"/>
    </row>
    <row r="1932" spans="12:12" x14ac:dyDescent="0.3">
      <c r="L1932" s="293"/>
    </row>
    <row r="1933" spans="12:12" x14ac:dyDescent="0.3">
      <c r="L1933" s="293"/>
    </row>
    <row r="1934" spans="12:12" x14ac:dyDescent="0.3">
      <c r="L1934" s="293"/>
    </row>
    <row r="1935" spans="12:12" x14ac:dyDescent="0.3">
      <c r="L1935" s="293"/>
    </row>
    <row r="1936" spans="12:12" x14ac:dyDescent="0.3">
      <c r="L1936" s="293"/>
    </row>
    <row r="1937" spans="12:12" x14ac:dyDescent="0.3">
      <c r="L1937" s="293"/>
    </row>
    <row r="1938" spans="12:12" x14ac:dyDescent="0.3">
      <c r="L1938" s="293"/>
    </row>
    <row r="1939" spans="12:12" x14ac:dyDescent="0.3">
      <c r="L1939" s="293"/>
    </row>
    <row r="1940" spans="12:12" x14ac:dyDescent="0.3">
      <c r="L1940" s="293"/>
    </row>
    <row r="1941" spans="12:12" x14ac:dyDescent="0.3">
      <c r="L1941" s="293"/>
    </row>
    <row r="1942" spans="12:12" x14ac:dyDescent="0.3">
      <c r="L1942" s="293"/>
    </row>
    <row r="1943" spans="12:12" x14ac:dyDescent="0.3">
      <c r="L1943" s="293"/>
    </row>
    <row r="1944" spans="12:12" x14ac:dyDescent="0.3">
      <c r="L1944" s="293"/>
    </row>
    <row r="1945" spans="12:12" x14ac:dyDescent="0.3">
      <c r="L1945" s="293"/>
    </row>
    <row r="1946" spans="12:12" x14ac:dyDescent="0.3">
      <c r="L1946" s="293"/>
    </row>
    <row r="1947" spans="12:12" x14ac:dyDescent="0.3">
      <c r="L1947" s="293"/>
    </row>
    <row r="1948" spans="12:12" x14ac:dyDescent="0.3">
      <c r="L1948" s="293"/>
    </row>
    <row r="1949" spans="12:12" x14ac:dyDescent="0.3">
      <c r="L1949" s="293"/>
    </row>
    <row r="1950" spans="12:12" x14ac:dyDescent="0.3">
      <c r="L1950" s="293"/>
    </row>
    <row r="1951" spans="12:12" x14ac:dyDescent="0.3">
      <c r="L1951" s="293"/>
    </row>
    <row r="1952" spans="12:12" x14ac:dyDescent="0.3">
      <c r="L1952" s="293"/>
    </row>
    <row r="1953" spans="12:12" x14ac:dyDescent="0.3">
      <c r="L1953" s="293"/>
    </row>
    <row r="1954" spans="12:12" x14ac:dyDescent="0.3">
      <c r="L1954" s="293"/>
    </row>
    <row r="1955" spans="12:12" x14ac:dyDescent="0.3">
      <c r="L1955" s="293"/>
    </row>
    <row r="1956" spans="12:12" x14ac:dyDescent="0.3">
      <c r="L1956" s="293"/>
    </row>
    <row r="1957" spans="12:12" x14ac:dyDescent="0.3">
      <c r="L1957" s="293"/>
    </row>
    <row r="1958" spans="12:12" x14ac:dyDescent="0.3">
      <c r="L1958" s="293"/>
    </row>
    <row r="1959" spans="12:12" x14ac:dyDescent="0.3">
      <c r="L1959" s="293"/>
    </row>
    <row r="1960" spans="12:12" x14ac:dyDescent="0.3">
      <c r="L1960" s="293"/>
    </row>
    <row r="1961" spans="12:12" x14ac:dyDescent="0.3">
      <c r="L1961" s="293"/>
    </row>
    <row r="1962" spans="12:12" x14ac:dyDescent="0.3">
      <c r="L1962" s="293"/>
    </row>
    <row r="1963" spans="12:12" x14ac:dyDescent="0.3">
      <c r="L1963" s="293"/>
    </row>
    <row r="1964" spans="12:12" x14ac:dyDescent="0.3">
      <c r="L1964" s="293"/>
    </row>
    <row r="1965" spans="12:12" x14ac:dyDescent="0.3">
      <c r="L1965" s="293"/>
    </row>
    <row r="1966" spans="12:12" x14ac:dyDescent="0.3">
      <c r="L1966" s="293"/>
    </row>
    <row r="1967" spans="12:12" x14ac:dyDescent="0.3">
      <c r="L1967" s="293"/>
    </row>
    <row r="1968" spans="12:12" x14ac:dyDescent="0.3">
      <c r="L1968" s="293"/>
    </row>
    <row r="1969" spans="12:12" x14ac:dyDescent="0.3">
      <c r="L1969" s="293"/>
    </row>
    <row r="1970" spans="12:12" x14ac:dyDescent="0.3">
      <c r="L1970" s="293"/>
    </row>
    <row r="1971" spans="12:12" x14ac:dyDescent="0.3">
      <c r="L1971" s="293"/>
    </row>
    <row r="1972" spans="12:12" x14ac:dyDescent="0.3">
      <c r="L1972" s="293"/>
    </row>
    <row r="1973" spans="12:12" x14ac:dyDescent="0.3">
      <c r="L1973" s="293"/>
    </row>
    <row r="1974" spans="12:12" x14ac:dyDescent="0.3">
      <c r="L1974" s="293"/>
    </row>
    <row r="1975" spans="12:12" x14ac:dyDescent="0.3">
      <c r="L1975" s="293"/>
    </row>
    <row r="1976" spans="12:12" x14ac:dyDescent="0.3">
      <c r="L1976" s="293"/>
    </row>
    <row r="1977" spans="12:12" x14ac:dyDescent="0.3">
      <c r="L1977" s="293"/>
    </row>
    <row r="1978" spans="12:12" x14ac:dyDescent="0.3">
      <c r="L1978" s="293"/>
    </row>
    <row r="1979" spans="12:12" x14ac:dyDescent="0.3">
      <c r="L1979" s="293"/>
    </row>
    <row r="1980" spans="12:12" x14ac:dyDescent="0.3">
      <c r="L1980" s="293"/>
    </row>
    <row r="1981" spans="12:12" x14ac:dyDescent="0.3">
      <c r="L1981" s="293"/>
    </row>
    <row r="1982" spans="12:12" x14ac:dyDescent="0.3">
      <c r="L1982" s="293"/>
    </row>
    <row r="1983" spans="12:12" x14ac:dyDescent="0.3">
      <c r="L1983" s="293"/>
    </row>
    <row r="1984" spans="12:12" x14ac:dyDescent="0.3">
      <c r="L1984" s="293"/>
    </row>
    <row r="1985" spans="12:12" x14ac:dyDescent="0.3">
      <c r="L1985" s="293"/>
    </row>
    <row r="1986" spans="12:12" x14ac:dyDescent="0.3">
      <c r="L1986" s="293"/>
    </row>
    <row r="1987" spans="12:12" x14ac:dyDescent="0.3">
      <c r="L1987" s="293"/>
    </row>
    <row r="1988" spans="12:12" x14ac:dyDescent="0.3">
      <c r="L1988" s="293"/>
    </row>
    <row r="1989" spans="12:12" x14ac:dyDescent="0.3">
      <c r="L1989" s="293"/>
    </row>
    <row r="1990" spans="12:12" x14ac:dyDescent="0.3">
      <c r="L1990" s="293"/>
    </row>
    <row r="1991" spans="12:12" x14ac:dyDescent="0.3">
      <c r="L1991" s="293"/>
    </row>
    <row r="1992" spans="12:12" x14ac:dyDescent="0.3">
      <c r="L1992" s="293"/>
    </row>
    <row r="1993" spans="12:12" x14ac:dyDescent="0.3">
      <c r="L1993" s="293"/>
    </row>
    <row r="1994" spans="12:12" x14ac:dyDescent="0.3">
      <c r="L1994" s="293"/>
    </row>
    <row r="1995" spans="12:12" x14ac:dyDescent="0.3">
      <c r="L1995" s="293"/>
    </row>
    <row r="1996" spans="12:12" x14ac:dyDescent="0.3">
      <c r="L1996" s="293"/>
    </row>
    <row r="1997" spans="12:12" x14ac:dyDescent="0.3">
      <c r="L1997" s="293"/>
    </row>
    <row r="1998" spans="12:12" x14ac:dyDescent="0.3">
      <c r="L1998" s="293"/>
    </row>
    <row r="1999" spans="12:12" x14ac:dyDescent="0.3">
      <c r="L1999" s="293"/>
    </row>
    <row r="2000" spans="12:12" x14ac:dyDescent="0.3">
      <c r="L2000" s="293"/>
    </row>
    <row r="2001" spans="12:12" x14ac:dyDescent="0.3">
      <c r="L2001" s="293"/>
    </row>
    <row r="2002" spans="12:12" x14ac:dyDescent="0.3">
      <c r="L2002" s="293"/>
    </row>
    <row r="2003" spans="12:12" x14ac:dyDescent="0.3">
      <c r="L2003" s="293"/>
    </row>
    <row r="2004" spans="12:12" x14ac:dyDescent="0.3">
      <c r="L2004" s="293"/>
    </row>
    <row r="2005" spans="12:12" x14ac:dyDescent="0.3">
      <c r="L2005" s="293"/>
    </row>
    <row r="2006" spans="12:12" x14ac:dyDescent="0.3">
      <c r="L2006" s="293"/>
    </row>
    <row r="2007" spans="12:12" x14ac:dyDescent="0.3">
      <c r="L2007" s="293"/>
    </row>
    <row r="2008" spans="12:12" x14ac:dyDescent="0.3">
      <c r="L2008" s="293"/>
    </row>
    <row r="2009" spans="12:12" x14ac:dyDescent="0.3">
      <c r="L2009" s="293"/>
    </row>
    <row r="2010" spans="12:12" x14ac:dyDescent="0.3">
      <c r="L2010" s="293"/>
    </row>
    <row r="2011" spans="12:12" x14ac:dyDescent="0.3">
      <c r="L2011" s="293"/>
    </row>
    <row r="2012" spans="12:12" x14ac:dyDescent="0.3">
      <c r="L2012" s="293"/>
    </row>
    <row r="2013" spans="12:12" x14ac:dyDescent="0.3">
      <c r="L2013" s="293"/>
    </row>
    <row r="2014" spans="12:12" x14ac:dyDescent="0.3">
      <c r="L2014" s="293"/>
    </row>
    <row r="2015" spans="12:12" x14ac:dyDescent="0.3">
      <c r="L2015" s="293"/>
    </row>
    <row r="2016" spans="12:12" x14ac:dyDescent="0.3">
      <c r="L2016" s="293"/>
    </row>
    <row r="2017" spans="12:12" x14ac:dyDescent="0.3">
      <c r="L2017" s="293"/>
    </row>
    <row r="2018" spans="12:12" x14ac:dyDescent="0.3">
      <c r="L2018" s="293"/>
    </row>
    <row r="2019" spans="12:12" x14ac:dyDescent="0.3">
      <c r="L2019" s="293"/>
    </row>
    <row r="2020" spans="12:12" x14ac:dyDescent="0.3">
      <c r="L2020" s="293"/>
    </row>
    <row r="2021" spans="12:12" x14ac:dyDescent="0.3">
      <c r="L2021" s="293"/>
    </row>
    <row r="2022" spans="12:12" x14ac:dyDescent="0.3">
      <c r="L2022" s="293"/>
    </row>
    <row r="2023" spans="12:12" x14ac:dyDescent="0.3">
      <c r="L2023" s="293"/>
    </row>
    <row r="2024" spans="12:12" x14ac:dyDescent="0.3">
      <c r="L2024" s="293"/>
    </row>
    <row r="2025" spans="12:12" x14ac:dyDescent="0.3">
      <c r="L2025" s="293"/>
    </row>
    <row r="2026" spans="12:12" x14ac:dyDescent="0.3">
      <c r="L2026" s="293"/>
    </row>
    <row r="2027" spans="12:12" x14ac:dyDescent="0.3">
      <c r="L2027" s="293"/>
    </row>
    <row r="2028" spans="12:12" x14ac:dyDescent="0.3">
      <c r="L2028" s="293"/>
    </row>
    <row r="2029" spans="12:12" x14ac:dyDescent="0.3">
      <c r="L2029" s="293"/>
    </row>
    <row r="2030" spans="12:12" x14ac:dyDescent="0.3">
      <c r="L2030" s="293"/>
    </row>
    <row r="2031" spans="12:12" x14ac:dyDescent="0.3">
      <c r="L2031" s="293"/>
    </row>
    <row r="2032" spans="12:12" x14ac:dyDescent="0.3">
      <c r="L2032" s="293"/>
    </row>
    <row r="2033" spans="12:12" x14ac:dyDescent="0.3">
      <c r="L2033" s="293"/>
    </row>
    <row r="2034" spans="12:12" x14ac:dyDescent="0.3">
      <c r="L2034" s="293"/>
    </row>
    <row r="2035" spans="12:12" x14ac:dyDescent="0.3">
      <c r="L2035" s="293"/>
    </row>
    <row r="2036" spans="12:12" x14ac:dyDescent="0.3">
      <c r="L2036" s="293"/>
    </row>
    <row r="2037" spans="12:12" x14ac:dyDescent="0.3">
      <c r="L2037" s="293"/>
    </row>
    <row r="2038" spans="12:12" x14ac:dyDescent="0.3">
      <c r="L2038" s="293"/>
    </row>
    <row r="2039" spans="12:12" x14ac:dyDescent="0.3">
      <c r="L2039" s="293"/>
    </row>
    <row r="2040" spans="12:12" x14ac:dyDescent="0.3">
      <c r="L2040" s="293"/>
    </row>
    <row r="2041" spans="12:12" x14ac:dyDescent="0.3">
      <c r="L2041" s="293"/>
    </row>
    <row r="2042" spans="12:12" x14ac:dyDescent="0.3">
      <c r="L2042" s="293"/>
    </row>
    <row r="2043" spans="12:12" x14ac:dyDescent="0.3">
      <c r="L2043" s="293"/>
    </row>
    <row r="2044" spans="12:12" x14ac:dyDescent="0.3">
      <c r="L2044" s="293"/>
    </row>
    <row r="2045" spans="12:12" x14ac:dyDescent="0.3">
      <c r="L2045" s="293"/>
    </row>
    <row r="2046" spans="12:12" x14ac:dyDescent="0.3">
      <c r="L2046" s="293"/>
    </row>
    <row r="2047" spans="12:12" x14ac:dyDescent="0.3">
      <c r="L2047" s="293"/>
    </row>
    <row r="2048" spans="12:12" x14ac:dyDescent="0.3">
      <c r="L2048" s="293"/>
    </row>
    <row r="2049" spans="12:12" x14ac:dyDescent="0.3">
      <c r="L2049" s="293"/>
    </row>
    <row r="2050" spans="12:12" x14ac:dyDescent="0.3">
      <c r="L2050" s="293"/>
    </row>
    <row r="2051" spans="12:12" x14ac:dyDescent="0.3">
      <c r="L2051" s="293"/>
    </row>
    <row r="2052" spans="12:12" x14ac:dyDescent="0.3">
      <c r="L2052" s="293"/>
    </row>
    <row r="2053" spans="12:12" x14ac:dyDescent="0.3">
      <c r="L2053" s="293"/>
    </row>
    <row r="2054" spans="12:12" x14ac:dyDescent="0.3">
      <c r="L2054" s="293"/>
    </row>
    <row r="2055" spans="12:12" x14ac:dyDescent="0.3">
      <c r="L2055" s="293"/>
    </row>
    <row r="2056" spans="12:12" x14ac:dyDescent="0.3">
      <c r="L2056" s="293"/>
    </row>
    <row r="2057" spans="12:12" x14ac:dyDescent="0.3">
      <c r="L2057" s="293"/>
    </row>
    <row r="2058" spans="12:12" x14ac:dyDescent="0.3">
      <c r="L2058" s="293"/>
    </row>
    <row r="2059" spans="12:12" x14ac:dyDescent="0.3">
      <c r="L2059" s="293"/>
    </row>
    <row r="2060" spans="12:12" x14ac:dyDescent="0.3">
      <c r="L2060" s="293"/>
    </row>
    <row r="2061" spans="12:12" x14ac:dyDescent="0.3">
      <c r="L2061" s="293"/>
    </row>
    <row r="2062" spans="12:12" x14ac:dyDescent="0.3">
      <c r="L2062" s="293"/>
    </row>
    <row r="2063" spans="12:12" x14ac:dyDescent="0.3">
      <c r="L2063" s="293"/>
    </row>
    <row r="2064" spans="12:12" x14ac:dyDescent="0.3">
      <c r="L2064" s="293"/>
    </row>
    <row r="2065" spans="12:12" x14ac:dyDescent="0.3">
      <c r="L2065" s="293"/>
    </row>
    <row r="2066" spans="12:12" x14ac:dyDescent="0.3">
      <c r="L2066" s="293"/>
    </row>
    <row r="2067" spans="12:12" x14ac:dyDescent="0.3">
      <c r="L2067" s="293"/>
    </row>
    <row r="2068" spans="12:12" x14ac:dyDescent="0.3">
      <c r="L2068" s="293"/>
    </row>
    <row r="2069" spans="12:12" x14ac:dyDescent="0.3">
      <c r="L2069" s="293"/>
    </row>
    <row r="2070" spans="12:12" x14ac:dyDescent="0.3">
      <c r="L2070" s="293"/>
    </row>
    <row r="2071" spans="12:12" x14ac:dyDescent="0.3">
      <c r="L2071" s="293"/>
    </row>
    <row r="2072" spans="12:12" x14ac:dyDescent="0.3">
      <c r="L2072" s="293"/>
    </row>
    <row r="2073" spans="12:12" x14ac:dyDescent="0.3">
      <c r="L2073" s="293"/>
    </row>
    <row r="2074" spans="12:12" x14ac:dyDescent="0.3">
      <c r="L2074" s="293"/>
    </row>
    <row r="2075" spans="12:12" x14ac:dyDescent="0.3">
      <c r="L2075" s="293"/>
    </row>
    <row r="2076" spans="12:12" x14ac:dyDescent="0.3">
      <c r="L2076" s="293"/>
    </row>
    <row r="2077" spans="12:12" x14ac:dyDescent="0.3">
      <c r="L2077" s="293"/>
    </row>
    <row r="2078" spans="12:12" x14ac:dyDescent="0.3">
      <c r="L2078" s="293"/>
    </row>
    <row r="2079" spans="12:12" x14ac:dyDescent="0.3">
      <c r="L2079" s="293"/>
    </row>
    <row r="2080" spans="12:12" x14ac:dyDescent="0.3">
      <c r="L2080" s="293"/>
    </row>
    <row r="2081" spans="12:12" x14ac:dyDescent="0.3">
      <c r="L2081" s="293"/>
    </row>
    <row r="2082" spans="12:12" x14ac:dyDescent="0.3">
      <c r="L2082" s="293"/>
    </row>
    <row r="2083" spans="12:12" x14ac:dyDescent="0.3">
      <c r="L2083" s="293"/>
    </row>
    <row r="2084" spans="12:12" x14ac:dyDescent="0.3">
      <c r="L2084" s="293"/>
    </row>
    <row r="2085" spans="12:12" x14ac:dyDescent="0.3">
      <c r="L2085" s="293"/>
    </row>
    <row r="2086" spans="12:12" x14ac:dyDescent="0.3">
      <c r="L2086" s="293"/>
    </row>
    <row r="2087" spans="12:12" x14ac:dyDescent="0.3">
      <c r="L2087" s="293"/>
    </row>
    <row r="2088" spans="12:12" x14ac:dyDescent="0.3">
      <c r="L2088" s="293"/>
    </row>
    <row r="2089" spans="12:12" x14ac:dyDescent="0.3">
      <c r="L2089" s="293"/>
    </row>
    <row r="2090" spans="12:12" x14ac:dyDescent="0.3">
      <c r="L2090" s="293"/>
    </row>
    <row r="2091" spans="12:12" x14ac:dyDescent="0.3">
      <c r="L2091" s="293"/>
    </row>
    <row r="2092" spans="12:12" x14ac:dyDescent="0.3">
      <c r="L2092" s="293"/>
    </row>
    <row r="2093" spans="12:12" x14ac:dyDescent="0.3">
      <c r="L2093" s="293"/>
    </row>
    <row r="2094" spans="12:12" x14ac:dyDescent="0.3">
      <c r="L2094" s="293"/>
    </row>
    <row r="2095" spans="12:12" x14ac:dyDescent="0.3">
      <c r="L2095" s="293"/>
    </row>
    <row r="2096" spans="12:12" x14ac:dyDescent="0.3">
      <c r="L2096" s="293"/>
    </row>
    <row r="2097" spans="12:12" x14ac:dyDescent="0.3">
      <c r="L2097" s="293"/>
    </row>
    <row r="2098" spans="12:12" x14ac:dyDescent="0.3">
      <c r="L2098" s="293"/>
    </row>
    <row r="2099" spans="12:12" x14ac:dyDescent="0.3">
      <c r="L2099" s="293"/>
    </row>
    <row r="2100" spans="12:12" x14ac:dyDescent="0.3">
      <c r="L2100" s="293"/>
    </row>
    <row r="2101" spans="12:12" x14ac:dyDescent="0.3">
      <c r="L2101" s="293"/>
    </row>
    <row r="2102" spans="12:12" x14ac:dyDescent="0.3">
      <c r="L2102" s="293"/>
    </row>
    <row r="2103" spans="12:12" x14ac:dyDescent="0.3">
      <c r="L2103" s="293"/>
    </row>
    <row r="2104" spans="12:12" x14ac:dyDescent="0.3">
      <c r="L2104" s="293"/>
    </row>
    <row r="2105" spans="12:12" x14ac:dyDescent="0.3">
      <c r="L2105" s="293"/>
    </row>
    <row r="2106" spans="12:12" x14ac:dyDescent="0.3">
      <c r="L2106" s="293"/>
    </row>
    <row r="2107" spans="12:12" x14ac:dyDescent="0.3">
      <c r="L2107" s="293"/>
    </row>
    <row r="2108" spans="12:12" x14ac:dyDescent="0.3">
      <c r="L2108" s="293"/>
    </row>
    <row r="2109" spans="12:12" x14ac:dyDescent="0.3">
      <c r="L2109" s="293"/>
    </row>
    <row r="2110" spans="12:12" x14ac:dyDescent="0.3">
      <c r="L2110" s="293"/>
    </row>
    <row r="2111" spans="12:12" x14ac:dyDescent="0.3">
      <c r="L2111" s="293"/>
    </row>
    <row r="2112" spans="12:12" x14ac:dyDescent="0.3">
      <c r="L2112" s="293"/>
    </row>
    <row r="2113" spans="12:12" x14ac:dyDescent="0.3">
      <c r="L2113" s="293"/>
    </row>
    <row r="2114" spans="12:12" x14ac:dyDescent="0.3">
      <c r="L2114" s="293"/>
    </row>
    <row r="2115" spans="12:12" x14ac:dyDescent="0.3">
      <c r="L2115" s="293"/>
    </row>
    <row r="2116" spans="12:12" x14ac:dyDescent="0.3">
      <c r="L2116" s="293"/>
    </row>
    <row r="2117" spans="12:12" x14ac:dyDescent="0.3">
      <c r="L2117" s="293"/>
    </row>
    <row r="2118" spans="12:12" x14ac:dyDescent="0.3">
      <c r="L2118" s="293"/>
    </row>
    <row r="2119" spans="12:12" x14ac:dyDescent="0.3">
      <c r="L2119" s="293"/>
    </row>
    <row r="2120" spans="12:12" x14ac:dyDescent="0.3">
      <c r="L2120" s="293"/>
    </row>
    <row r="2121" spans="12:12" x14ac:dyDescent="0.3">
      <c r="L2121" s="293"/>
    </row>
    <row r="2122" spans="12:12" x14ac:dyDescent="0.3">
      <c r="L2122" s="293"/>
    </row>
    <row r="2123" spans="12:12" x14ac:dyDescent="0.3">
      <c r="L2123" s="293"/>
    </row>
    <row r="2124" spans="12:12" x14ac:dyDescent="0.3">
      <c r="L2124" s="293"/>
    </row>
    <row r="2125" spans="12:12" x14ac:dyDescent="0.3">
      <c r="L2125" s="293"/>
    </row>
    <row r="2126" spans="12:12" x14ac:dyDescent="0.3">
      <c r="L2126" s="293"/>
    </row>
    <row r="2127" spans="12:12" x14ac:dyDescent="0.3">
      <c r="L2127" s="293"/>
    </row>
    <row r="2128" spans="12:12" x14ac:dyDescent="0.3">
      <c r="L2128" s="293"/>
    </row>
    <row r="2129" spans="12:12" x14ac:dyDescent="0.3">
      <c r="L2129" s="293"/>
    </row>
    <row r="2130" spans="12:12" x14ac:dyDescent="0.3">
      <c r="L2130" s="293"/>
    </row>
    <row r="2131" spans="12:12" x14ac:dyDescent="0.3">
      <c r="L2131" s="293"/>
    </row>
    <row r="2132" spans="12:12" x14ac:dyDescent="0.3">
      <c r="L2132" s="293"/>
    </row>
    <row r="2133" spans="12:12" x14ac:dyDescent="0.3">
      <c r="L2133" s="293"/>
    </row>
    <row r="2134" spans="12:12" x14ac:dyDescent="0.3">
      <c r="L2134" s="293"/>
    </row>
    <row r="2135" spans="12:12" x14ac:dyDescent="0.3">
      <c r="L2135" s="293"/>
    </row>
    <row r="2136" spans="12:12" x14ac:dyDescent="0.3">
      <c r="L2136" s="293"/>
    </row>
    <row r="2137" spans="12:12" x14ac:dyDescent="0.3">
      <c r="L2137" s="293"/>
    </row>
    <row r="2138" spans="12:12" x14ac:dyDescent="0.3">
      <c r="L2138" s="293"/>
    </row>
    <row r="2139" spans="12:12" x14ac:dyDescent="0.3">
      <c r="L2139" s="293"/>
    </row>
    <row r="2140" spans="12:12" x14ac:dyDescent="0.3">
      <c r="L2140" s="293"/>
    </row>
    <row r="2141" spans="12:12" x14ac:dyDescent="0.3">
      <c r="L2141" s="293"/>
    </row>
    <row r="2142" spans="12:12" x14ac:dyDescent="0.3">
      <c r="L2142" s="293"/>
    </row>
    <row r="2143" spans="12:12" x14ac:dyDescent="0.3">
      <c r="L2143" s="293"/>
    </row>
    <row r="2144" spans="12:12" x14ac:dyDescent="0.3">
      <c r="L2144" s="293"/>
    </row>
    <row r="2145" spans="12:12" x14ac:dyDescent="0.3">
      <c r="L2145" s="293"/>
    </row>
    <row r="2146" spans="12:12" x14ac:dyDescent="0.3">
      <c r="L2146" s="293"/>
    </row>
    <row r="2147" spans="12:12" x14ac:dyDescent="0.3">
      <c r="L2147" s="293"/>
    </row>
    <row r="2148" spans="12:12" x14ac:dyDescent="0.3">
      <c r="L2148" s="293"/>
    </row>
    <row r="2149" spans="12:12" x14ac:dyDescent="0.3">
      <c r="L2149" s="293"/>
    </row>
    <row r="2150" spans="12:12" x14ac:dyDescent="0.3">
      <c r="L2150" s="293"/>
    </row>
    <row r="2151" spans="12:12" x14ac:dyDescent="0.3">
      <c r="L2151" s="293"/>
    </row>
    <row r="2152" spans="12:12" x14ac:dyDescent="0.3">
      <c r="L2152" s="293"/>
    </row>
    <row r="2153" spans="12:12" x14ac:dyDescent="0.3">
      <c r="L2153" s="293"/>
    </row>
    <row r="2154" spans="12:12" x14ac:dyDescent="0.3">
      <c r="L2154" s="293"/>
    </row>
    <row r="2155" spans="12:12" x14ac:dyDescent="0.3">
      <c r="L2155" s="293"/>
    </row>
    <row r="2156" spans="12:12" x14ac:dyDescent="0.3">
      <c r="L2156" s="293"/>
    </row>
    <row r="2157" spans="12:12" x14ac:dyDescent="0.3">
      <c r="L2157" s="293"/>
    </row>
    <row r="2158" spans="12:12" x14ac:dyDescent="0.3">
      <c r="L2158" s="293"/>
    </row>
    <row r="2159" spans="12:12" x14ac:dyDescent="0.3">
      <c r="L2159" s="293"/>
    </row>
    <row r="2160" spans="12:12" x14ac:dyDescent="0.3">
      <c r="L2160" s="293"/>
    </row>
    <row r="2161" spans="12:12" x14ac:dyDescent="0.3">
      <c r="L2161" s="293"/>
    </row>
    <row r="2162" spans="12:12" x14ac:dyDescent="0.3">
      <c r="L2162" s="293"/>
    </row>
    <row r="2163" spans="12:12" x14ac:dyDescent="0.3">
      <c r="L2163" s="293"/>
    </row>
    <row r="2164" spans="12:12" x14ac:dyDescent="0.3">
      <c r="L2164" s="293"/>
    </row>
    <row r="2165" spans="12:12" x14ac:dyDescent="0.3">
      <c r="L2165" s="293"/>
    </row>
    <row r="2166" spans="12:12" x14ac:dyDescent="0.3">
      <c r="L2166" s="293"/>
    </row>
    <row r="2167" spans="12:12" x14ac:dyDescent="0.3">
      <c r="L2167" s="293"/>
    </row>
    <row r="2168" spans="12:12" x14ac:dyDescent="0.3">
      <c r="L2168" s="293"/>
    </row>
    <row r="2169" spans="12:12" x14ac:dyDescent="0.3">
      <c r="L2169" s="293"/>
    </row>
    <row r="2170" spans="12:12" x14ac:dyDescent="0.3">
      <c r="L2170" s="293"/>
    </row>
    <row r="2171" spans="12:12" x14ac:dyDescent="0.3">
      <c r="L2171" s="293"/>
    </row>
    <row r="2172" spans="12:12" x14ac:dyDescent="0.3">
      <c r="L2172" s="293"/>
    </row>
    <row r="2173" spans="12:12" x14ac:dyDescent="0.3">
      <c r="L2173" s="293"/>
    </row>
    <row r="2174" spans="12:12" x14ac:dyDescent="0.3">
      <c r="L2174" s="293"/>
    </row>
    <row r="2175" spans="12:12" x14ac:dyDescent="0.3">
      <c r="L2175" s="293"/>
    </row>
    <row r="2176" spans="12:12" x14ac:dyDescent="0.3">
      <c r="L2176" s="293"/>
    </row>
    <row r="2177" spans="12:12" x14ac:dyDescent="0.3">
      <c r="L2177" s="293"/>
    </row>
    <row r="2178" spans="12:12" x14ac:dyDescent="0.3">
      <c r="L2178" s="293"/>
    </row>
    <row r="2179" spans="12:12" x14ac:dyDescent="0.3">
      <c r="L2179" s="293"/>
    </row>
    <row r="2180" spans="12:12" x14ac:dyDescent="0.3">
      <c r="L2180" s="293"/>
    </row>
    <row r="2181" spans="12:12" x14ac:dyDescent="0.3">
      <c r="L2181" s="293"/>
    </row>
    <row r="2182" spans="12:12" x14ac:dyDescent="0.3">
      <c r="L2182" s="293"/>
    </row>
    <row r="2183" spans="12:12" x14ac:dyDescent="0.3">
      <c r="L2183" s="293"/>
    </row>
    <row r="2184" spans="12:12" x14ac:dyDescent="0.3">
      <c r="L2184" s="293"/>
    </row>
    <row r="2185" spans="12:12" x14ac:dyDescent="0.3">
      <c r="L2185" s="293"/>
    </row>
    <row r="2186" spans="12:12" x14ac:dyDescent="0.3">
      <c r="L2186" s="293"/>
    </row>
    <row r="2187" spans="12:12" x14ac:dyDescent="0.3">
      <c r="L2187" s="293"/>
    </row>
    <row r="2188" spans="12:12" x14ac:dyDescent="0.3">
      <c r="L2188" s="293"/>
    </row>
    <row r="2189" spans="12:12" x14ac:dyDescent="0.3">
      <c r="L2189" s="293"/>
    </row>
    <row r="2190" spans="12:12" x14ac:dyDescent="0.3">
      <c r="L2190" s="293"/>
    </row>
    <row r="2191" spans="12:12" x14ac:dyDescent="0.3">
      <c r="L2191" s="293"/>
    </row>
    <row r="2192" spans="12:12" x14ac:dyDescent="0.3">
      <c r="L2192" s="293"/>
    </row>
    <row r="2193" spans="12:12" x14ac:dyDescent="0.3">
      <c r="L2193" s="293"/>
    </row>
    <row r="2194" spans="12:12" x14ac:dyDescent="0.3">
      <c r="L2194" s="293"/>
    </row>
    <row r="2195" spans="12:12" x14ac:dyDescent="0.3">
      <c r="L2195" s="293"/>
    </row>
    <row r="2196" spans="12:12" x14ac:dyDescent="0.3">
      <c r="L2196" s="293"/>
    </row>
    <row r="2197" spans="12:12" x14ac:dyDescent="0.3">
      <c r="L2197" s="293"/>
    </row>
    <row r="2198" spans="12:12" x14ac:dyDescent="0.3">
      <c r="L2198" s="293"/>
    </row>
    <row r="2199" spans="12:12" x14ac:dyDescent="0.3">
      <c r="L2199" s="293"/>
    </row>
    <row r="2200" spans="12:12" x14ac:dyDescent="0.3">
      <c r="L2200" s="293"/>
    </row>
    <row r="2201" spans="12:12" x14ac:dyDescent="0.3">
      <c r="L2201" s="293"/>
    </row>
    <row r="2202" spans="12:12" x14ac:dyDescent="0.3">
      <c r="L2202" s="293"/>
    </row>
    <row r="2203" spans="12:12" x14ac:dyDescent="0.3">
      <c r="L2203" s="293"/>
    </row>
    <row r="2204" spans="12:12" x14ac:dyDescent="0.3">
      <c r="L2204" s="293"/>
    </row>
    <row r="2205" spans="12:12" x14ac:dyDescent="0.3">
      <c r="L2205" s="293"/>
    </row>
    <row r="2206" spans="12:12" x14ac:dyDescent="0.3">
      <c r="L2206" s="293"/>
    </row>
    <row r="2207" spans="12:12" x14ac:dyDescent="0.3">
      <c r="L2207" s="293"/>
    </row>
    <row r="2208" spans="12:12" x14ac:dyDescent="0.3">
      <c r="L2208" s="293"/>
    </row>
    <row r="2209" spans="12:12" x14ac:dyDescent="0.3">
      <c r="L2209" s="293"/>
    </row>
    <row r="2210" spans="12:12" x14ac:dyDescent="0.3">
      <c r="L2210" s="293"/>
    </row>
    <row r="2211" spans="12:12" x14ac:dyDescent="0.3">
      <c r="L2211" s="293"/>
    </row>
    <row r="2212" spans="12:12" x14ac:dyDescent="0.3">
      <c r="L2212" s="293"/>
    </row>
    <row r="2213" spans="12:12" x14ac:dyDescent="0.3">
      <c r="L2213" s="293"/>
    </row>
    <row r="2214" spans="12:12" x14ac:dyDescent="0.3">
      <c r="L2214" s="293"/>
    </row>
    <row r="2215" spans="12:12" x14ac:dyDescent="0.3">
      <c r="L2215" s="293"/>
    </row>
    <row r="2216" spans="12:12" x14ac:dyDescent="0.3">
      <c r="L2216" s="293"/>
    </row>
    <row r="2217" spans="12:12" x14ac:dyDescent="0.3">
      <c r="L2217" s="293"/>
    </row>
    <row r="2218" spans="12:12" x14ac:dyDescent="0.3">
      <c r="L2218" s="293"/>
    </row>
    <row r="2219" spans="12:12" x14ac:dyDescent="0.3">
      <c r="L2219" s="293"/>
    </row>
    <row r="2220" spans="12:12" x14ac:dyDescent="0.3">
      <c r="L2220" s="293"/>
    </row>
    <row r="2221" spans="12:12" x14ac:dyDescent="0.3">
      <c r="L2221" s="293"/>
    </row>
    <row r="2222" spans="12:12" x14ac:dyDescent="0.3">
      <c r="L2222" s="293"/>
    </row>
    <row r="2223" spans="12:12" x14ac:dyDescent="0.3">
      <c r="L2223" s="293"/>
    </row>
    <row r="2224" spans="12:12" x14ac:dyDescent="0.3">
      <c r="L2224" s="293"/>
    </row>
    <row r="2225" spans="12:12" x14ac:dyDescent="0.3">
      <c r="L2225" s="293"/>
    </row>
    <row r="2226" spans="12:12" x14ac:dyDescent="0.3">
      <c r="L2226" s="293"/>
    </row>
    <row r="2227" spans="12:12" x14ac:dyDescent="0.3">
      <c r="L2227" s="293"/>
    </row>
    <row r="2228" spans="12:12" x14ac:dyDescent="0.3">
      <c r="L2228" s="293"/>
    </row>
    <row r="2229" spans="12:12" x14ac:dyDescent="0.3">
      <c r="L2229" s="293"/>
    </row>
    <row r="2230" spans="12:12" x14ac:dyDescent="0.3">
      <c r="L2230" s="293"/>
    </row>
    <row r="2231" spans="12:12" x14ac:dyDescent="0.3">
      <c r="L2231" s="293"/>
    </row>
    <row r="2232" spans="12:12" x14ac:dyDescent="0.3">
      <c r="L2232" s="293"/>
    </row>
    <row r="2233" spans="12:12" x14ac:dyDescent="0.3">
      <c r="L2233" s="293"/>
    </row>
    <row r="2234" spans="12:12" x14ac:dyDescent="0.3">
      <c r="L2234" s="293"/>
    </row>
    <row r="2235" spans="12:12" x14ac:dyDescent="0.3">
      <c r="L2235" s="293"/>
    </row>
    <row r="2236" spans="12:12" x14ac:dyDescent="0.3">
      <c r="L2236" s="293"/>
    </row>
    <row r="2237" spans="12:12" x14ac:dyDescent="0.3">
      <c r="L2237" s="293"/>
    </row>
    <row r="2238" spans="12:12" x14ac:dyDescent="0.3">
      <c r="L2238" s="293"/>
    </row>
    <row r="2239" spans="12:12" x14ac:dyDescent="0.3">
      <c r="L2239" s="293"/>
    </row>
    <row r="2240" spans="12:12" x14ac:dyDescent="0.3">
      <c r="L2240" s="293"/>
    </row>
    <row r="2241" spans="12:12" x14ac:dyDescent="0.3">
      <c r="L2241" s="293"/>
    </row>
    <row r="2242" spans="12:12" x14ac:dyDescent="0.3">
      <c r="L2242" s="293"/>
    </row>
    <row r="2243" spans="12:12" x14ac:dyDescent="0.3">
      <c r="L2243" s="293"/>
    </row>
    <row r="2244" spans="12:12" x14ac:dyDescent="0.3">
      <c r="L2244" s="293"/>
    </row>
    <row r="2245" spans="12:12" x14ac:dyDescent="0.3">
      <c r="L2245" s="293"/>
    </row>
    <row r="2246" spans="12:12" x14ac:dyDescent="0.3">
      <c r="L2246" s="293"/>
    </row>
    <row r="2247" spans="12:12" x14ac:dyDescent="0.3">
      <c r="L2247" s="293"/>
    </row>
    <row r="2248" spans="12:12" x14ac:dyDescent="0.3">
      <c r="L2248" s="293"/>
    </row>
    <row r="2249" spans="12:12" x14ac:dyDescent="0.3">
      <c r="L2249" s="293"/>
    </row>
    <row r="2250" spans="12:12" x14ac:dyDescent="0.3">
      <c r="L2250" s="293"/>
    </row>
    <row r="2251" spans="12:12" x14ac:dyDescent="0.3">
      <c r="L2251" s="293"/>
    </row>
    <row r="2252" spans="12:12" x14ac:dyDescent="0.3">
      <c r="L2252" s="293"/>
    </row>
    <row r="2253" spans="12:12" x14ac:dyDescent="0.3">
      <c r="L2253" s="293"/>
    </row>
    <row r="2254" spans="12:12" x14ac:dyDescent="0.3">
      <c r="L2254" s="293"/>
    </row>
    <row r="2255" spans="12:12" x14ac:dyDescent="0.3">
      <c r="L2255" s="293"/>
    </row>
    <row r="2256" spans="12:12" x14ac:dyDescent="0.3">
      <c r="L2256" s="293"/>
    </row>
    <row r="2257" spans="12:12" x14ac:dyDescent="0.3">
      <c r="L2257" s="293"/>
    </row>
    <row r="2258" spans="12:12" x14ac:dyDescent="0.3">
      <c r="L2258" s="293"/>
    </row>
    <row r="2259" spans="12:12" x14ac:dyDescent="0.3">
      <c r="L2259" s="293"/>
    </row>
    <row r="2260" spans="12:12" x14ac:dyDescent="0.3">
      <c r="L2260" s="293"/>
    </row>
    <row r="2261" spans="12:12" x14ac:dyDescent="0.3">
      <c r="L2261" s="293"/>
    </row>
    <row r="2262" spans="12:12" x14ac:dyDescent="0.3">
      <c r="L2262" s="293"/>
    </row>
    <row r="2263" spans="12:12" x14ac:dyDescent="0.3">
      <c r="L2263" s="293"/>
    </row>
    <row r="2264" spans="12:12" x14ac:dyDescent="0.3">
      <c r="L2264" s="293"/>
    </row>
    <row r="2265" spans="12:12" x14ac:dyDescent="0.3">
      <c r="L2265" s="293"/>
    </row>
    <row r="2266" spans="12:12" x14ac:dyDescent="0.3">
      <c r="L2266" s="293"/>
    </row>
    <row r="2267" spans="12:12" x14ac:dyDescent="0.3">
      <c r="L2267" s="293"/>
    </row>
    <row r="2268" spans="12:12" x14ac:dyDescent="0.3">
      <c r="L2268" s="293"/>
    </row>
    <row r="2269" spans="12:12" x14ac:dyDescent="0.3">
      <c r="L2269" s="293"/>
    </row>
    <row r="2270" spans="12:12" x14ac:dyDescent="0.3">
      <c r="L2270" s="293"/>
    </row>
    <row r="2271" spans="12:12" x14ac:dyDescent="0.3">
      <c r="L2271" s="293"/>
    </row>
    <row r="2272" spans="12:12" x14ac:dyDescent="0.3">
      <c r="L2272" s="293"/>
    </row>
    <row r="2273" spans="12:12" x14ac:dyDescent="0.3">
      <c r="L2273" s="293"/>
    </row>
    <row r="2274" spans="12:12" x14ac:dyDescent="0.3">
      <c r="L2274" s="293"/>
    </row>
    <row r="2275" spans="12:12" x14ac:dyDescent="0.3">
      <c r="L2275" s="293"/>
    </row>
    <row r="2276" spans="12:12" x14ac:dyDescent="0.3">
      <c r="L2276" s="293"/>
    </row>
    <row r="2277" spans="12:12" x14ac:dyDescent="0.3">
      <c r="L2277" s="293"/>
    </row>
    <row r="2278" spans="12:12" x14ac:dyDescent="0.3">
      <c r="L2278" s="293"/>
    </row>
    <row r="2279" spans="12:12" x14ac:dyDescent="0.3">
      <c r="L2279" s="293"/>
    </row>
    <row r="2280" spans="12:12" x14ac:dyDescent="0.3">
      <c r="L2280" s="293"/>
    </row>
    <row r="2281" spans="12:12" x14ac:dyDescent="0.3">
      <c r="L2281" s="293"/>
    </row>
    <row r="2282" spans="12:12" x14ac:dyDescent="0.3">
      <c r="L2282" s="293"/>
    </row>
    <row r="2283" spans="12:12" x14ac:dyDescent="0.3">
      <c r="L2283" s="293"/>
    </row>
    <row r="2284" spans="12:12" x14ac:dyDescent="0.3">
      <c r="L2284" s="293"/>
    </row>
    <row r="2285" spans="12:12" x14ac:dyDescent="0.3">
      <c r="L2285" s="293"/>
    </row>
    <row r="2286" spans="12:12" x14ac:dyDescent="0.3">
      <c r="L2286" s="293"/>
    </row>
    <row r="2287" spans="12:12" x14ac:dyDescent="0.3">
      <c r="L2287" s="293"/>
    </row>
    <row r="2288" spans="12:12" x14ac:dyDescent="0.3">
      <c r="L2288" s="293"/>
    </row>
    <row r="2289" spans="12:12" x14ac:dyDescent="0.3">
      <c r="L2289" s="293"/>
    </row>
    <row r="2290" spans="12:12" x14ac:dyDescent="0.3">
      <c r="L2290" s="293"/>
    </row>
    <row r="2291" spans="12:12" x14ac:dyDescent="0.3">
      <c r="L2291" s="293"/>
    </row>
    <row r="2292" spans="12:12" x14ac:dyDescent="0.3">
      <c r="L2292" s="293"/>
    </row>
    <row r="2293" spans="12:12" x14ac:dyDescent="0.3">
      <c r="L2293" s="293"/>
    </row>
    <row r="2294" spans="12:12" x14ac:dyDescent="0.3">
      <c r="L2294" s="293"/>
    </row>
    <row r="2295" spans="12:12" x14ac:dyDescent="0.3">
      <c r="L2295" s="293"/>
    </row>
    <row r="2296" spans="12:12" x14ac:dyDescent="0.3">
      <c r="L2296" s="293"/>
    </row>
    <row r="2297" spans="12:12" x14ac:dyDescent="0.3">
      <c r="L2297" s="293"/>
    </row>
    <row r="2298" spans="12:12" x14ac:dyDescent="0.3">
      <c r="L2298" s="293"/>
    </row>
    <row r="2299" spans="12:12" x14ac:dyDescent="0.3">
      <c r="L2299" s="293"/>
    </row>
    <row r="2300" spans="12:12" x14ac:dyDescent="0.3">
      <c r="L2300" s="293"/>
    </row>
    <row r="2301" spans="12:12" x14ac:dyDescent="0.3">
      <c r="L2301" s="293"/>
    </row>
    <row r="2302" spans="12:12" x14ac:dyDescent="0.3">
      <c r="L2302" s="293"/>
    </row>
    <row r="2303" spans="12:12" x14ac:dyDescent="0.3">
      <c r="L2303" s="293"/>
    </row>
    <row r="2304" spans="12:12" x14ac:dyDescent="0.3">
      <c r="L2304" s="293"/>
    </row>
    <row r="2305" spans="12:12" x14ac:dyDescent="0.3">
      <c r="L2305" s="293"/>
    </row>
    <row r="2306" spans="12:12" x14ac:dyDescent="0.3">
      <c r="L2306" s="293"/>
    </row>
    <row r="2307" spans="12:12" x14ac:dyDescent="0.3">
      <c r="L2307" s="293"/>
    </row>
    <row r="2308" spans="12:12" x14ac:dyDescent="0.3">
      <c r="L2308" s="293"/>
    </row>
    <row r="2309" spans="12:12" x14ac:dyDescent="0.3">
      <c r="L2309" s="293"/>
    </row>
    <row r="2310" spans="12:12" x14ac:dyDescent="0.3">
      <c r="L2310" s="293"/>
    </row>
    <row r="2311" spans="12:12" x14ac:dyDescent="0.3">
      <c r="L2311" s="293"/>
    </row>
    <row r="2312" spans="12:12" x14ac:dyDescent="0.3">
      <c r="L2312" s="293"/>
    </row>
    <row r="2313" spans="12:12" x14ac:dyDescent="0.3">
      <c r="L2313" s="293"/>
    </row>
    <row r="2314" spans="12:12" x14ac:dyDescent="0.3">
      <c r="L2314" s="293"/>
    </row>
    <row r="2315" spans="12:12" x14ac:dyDescent="0.3">
      <c r="L2315" s="293"/>
    </row>
    <row r="2316" spans="12:12" x14ac:dyDescent="0.3">
      <c r="L2316" s="293"/>
    </row>
    <row r="2317" spans="12:12" x14ac:dyDescent="0.3">
      <c r="L2317" s="293"/>
    </row>
    <row r="2318" spans="12:12" x14ac:dyDescent="0.3">
      <c r="L2318" s="293"/>
    </row>
    <row r="2319" spans="12:12" x14ac:dyDescent="0.3">
      <c r="L2319" s="293"/>
    </row>
    <row r="2320" spans="12:12" x14ac:dyDescent="0.3">
      <c r="L2320" s="293"/>
    </row>
    <row r="2321" spans="12:12" x14ac:dyDescent="0.3">
      <c r="L2321" s="293"/>
    </row>
    <row r="2322" spans="12:12" x14ac:dyDescent="0.3">
      <c r="L2322" s="293"/>
    </row>
    <row r="2323" spans="12:12" x14ac:dyDescent="0.3">
      <c r="L2323" s="293"/>
    </row>
    <row r="2324" spans="12:12" x14ac:dyDescent="0.3">
      <c r="L2324" s="293"/>
    </row>
    <row r="2325" spans="12:12" x14ac:dyDescent="0.3">
      <c r="L2325" s="293"/>
    </row>
    <row r="2326" spans="12:12" x14ac:dyDescent="0.3">
      <c r="L2326" s="293"/>
    </row>
    <row r="2327" spans="12:12" x14ac:dyDescent="0.3">
      <c r="L2327" s="293"/>
    </row>
    <row r="2328" spans="12:12" x14ac:dyDescent="0.3">
      <c r="L2328" s="293"/>
    </row>
    <row r="2329" spans="12:12" x14ac:dyDescent="0.3">
      <c r="L2329" s="293"/>
    </row>
    <row r="2330" spans="12:12" x14ac:dyDescent="0.3">
      <c r="L2330" s="293"/>
    </row>
    <row r="2331" spans="12:12" x14ac:dyDescent="0.3">
      <c r="L2331" s="293"/>
    </row>
    <row r="2332" spans="12:12" x14ac:dyDescent="0.3">
      <c r="L2332" s="293"/>
    </row>
    <row r="2333" spans="12:12" x14ac:dyDescent="0.3">
      <c r="L2333" s="293"/>
    </row>
    <row r="2334" spans="12:12" x14ac:dyDescent="0.3">
      <c r="L2334" s="293"/>
    </row>
    <row r="2335" spans="12:12" x14ac:dyDescent="0.3">
      <c r="L2335" s="293"/>
    </row>
    <row r="2336" spans="12:12" x14ac:dyDescent="0.3">
      <c r="L2336" s="293"/>
    </row>
    <row r="2337" spans="12:12" x14ac:dyDescent="0.3">
      <c r="L2337" s="293"/>
    </row>
    <row r="2338" spans="12:12" x14ac:dyDescent="0.3">
      <c r="L2338" s="293"/>
    </row>
    <row r="2339" spans="12:12" x14ac:dyDescent="0.3">
      <c r="L2339" s="293"/>
    </row>
    <row r="2340" spans="12:12" x14ac:dyDescent="0.3">
      <c r="L2340" s="293"/>
    </row>
    <row r="2341" spans="12:12" x14ac:dyDescent="0.3">
      <c r="L2341" s="293"/>
    </row>
    <row r="2342" spans="12:12" x14ac:dyDescent="0.3">
      <c r="L2342" s="293"/>
    </row>
    <row r="2343" spans="12:12" x14ac:dyDescent="0.3">
      <c r="L2343" s="293"/>
    </row>
    <row r="2344" spans="12:12" x14ac:dyDescent="0.3">
      <c r="L2344" s="293"/>
    </row>
    <row r="2345" spans="12:12" x14ac:dyDescent="0.3">
      <c r="L2345" s="293"/>
    </row>
    <row r="2346" spans="12:12" x14ac:dyDescent="0.3">
      <c r="L2346" s="293"/>
    </row>
    <row r="2347" spans="12:12" x14ac:dyDescent="0.3">
      <c r="L2347" s="293"/>
    </row>
    <row r="2348" spans="12:12" x14ac:dyDescent="0.3">
      <c r="L2348" s="293"/>
    </row>
    <row r="2349" spans="12:12" x14ac:dyDescent="0.3">
      <c r="L2349" s="293"/>
    </row>
    <row r="2350" spans="12:12" x14ac:dyDescent="0.3">
      <c r="L2350" s="293"/>
    </row>
    <row r="2351" spans="12:12" x14ac:dyDescent="0.3">
      <c r="L2351" s="293"/>
    </row>
    <row r="2352" spans="12:12" x14ac:dyDescent="0.3">
      <c r="L2352" s="293"/>
    </row>
    <row r="2353" spans="12:12" x14ac:dyDescent="0.3">
      <c r="L2353" s="293"/>
    </row>
    <row r="2354" spans="12:12" x14ac:dyDescent="0.3">
      <c r="L2354" s="293"/>
    </row>
    <row r="2355" spans="12:12" x14ac:dyDescent="0.3">
      <c r="L2355" s="293"/>
    </row>
    <row r="2356" spans="12:12" x14ac:dyDescent="0.3">
      <c r="L2356" s="293"/>
    </row>
    <row r="2357" spans="12:12" x14ac:dyDescent="0.3">
      <c r="L2357" s="293"/>
    </row>
    <row r="2358" spans="12:12" x14ac:dyDescent="0.3">
      <c r="L2358" s="293"/>
    </row>
    <row r="2359" spans="12:12" x14ac:dyDescent="0.3">
      <c r="L2359" s="293"/>
    </row>
    <row r="2360" spans="12:12" x14ac:dyDescent="0.3">
      <c r="L2360" s="293"/>
    </row>
    <row r="2361" spans="12:12" x14ac:dyDescent="0.3">
      <c r="L2361" s="293"/>
    </row>
    <row r="2362" spans="12:12" x14ac:dyDescent="0.3">
      <c r="L2362" s="293"/>
    </row>
    <row r="2363" spans="12:12" x14ac:dyDescent="0.3">
      <c r="L2363" s="293"/>
    </row>
    <row r="2364" spans="12:12" x14ac:dyDescent="0.3">
      <c r="L2364" s="293"/>
    </row>
    <row r="2365" spans="12:12" x14ac:dyDescent="0.3">
      <c r="L2365" s="293"/>
    </row>
    <row r="2366" spans="12:12" x14ac:dyDescent="0.3">
      <c r="L2366" s="293"/>
    </row>
    <row r="2367" spans="12:12" x14ac:dyDescent="0.3">
      <c r="L2367" s="293"/>
    </row>
    <row r="2368" spans="12:12" x14ac:dyDescent="0.3">
      <c r="L2368" s="293"/>
    </row>
    <row r="2369" spans="12:12" x14ac:dyDescent="0.3">
      <c r="L2369" s="293"/>
    </row>
    <row r="2370" spans="12:12" x14ac:dyDescent="0.3">
      <c r="L2370" s="293"/>
    </row>
    <row r="2371" spans="12:12" x14ac:dyDescent="0.3">
      <c r="L2371" s="293"/>
    </row>
    <row r="2372" spans="12:12" x14ac:dyDescent="0.3">
      <c r="L2372" s="293"/>
    </row>
    <row r="2373" spans="12:12" x14ac:dyDescent="0.3">
      <c r="L2373" s="293"/>
    </row>
    <row r="2374" spans="12:12" x14ac:dyDescent="0.3">
      <c r="L2374" s="293"/>
    </row>
    <row r="2375" spans="12:12" x14ac:dyDescent="0.3">
      <c r="L2375" s="293"/>
    </row>
    <row r="2376" spans="12:12" x14ac:dyDescent="0.3">
      <c r="L2376" s="293"/>
    </row>
    <row r="2377" spans="12:12" x14ac:dyDescent="0.3">
      <c r="L2377" s="293"/>
    </row>
    <row r="2378" spans="12:12" x14ac:dyDescent="0.3">
      <c r="L2378" s="293"/>
    </row>
    <row r="2379" spans="12:12" x14ac:dyDescent="0.3">
      <c r="L2379" s="293"/>
    </row>
    <row r="2380" spans="12:12" x14ac:dyDescent="0.3">
      <c r="L2380" s="293"/>
    </row>
    <row r="2381" spans="12:12" x14ac:dyDescent="0.3">
      <c r="L2381" s="293"/>
    </row>
    <row r="2382" spans="12:12" x14ac:dyDescent="0.3">
      <c r="L2382" s="293"/>
    </row>
    <row r="2383" spans="12:12" x14ac:dyDescent="0.3">
      <c r="L2383" s="293"/>
    </row>
    <row r="2384" spans="12:12" x14ac:dyDescent="0.3">
      <c r="L2384" s="293"/>
    </row>
    <row r="2385" spans="12:12" x14ac:dyDescent="0.3">
      <c r="L2385" s="293"/>
    </row>
    <row r="2386" spans="12:12" x14ac:dyDescent="0.3">
      <c r="L2386" s="293"/>
    </row>
    <row r="2387" spans="12:12" x14ac:dyDescent="0.3">
      <c r="L2387" s="293"/>
    </row>
    <row r="2388" spans="12:12" x14ac:dyDescent="0.3">
      <c r="L2388" s="293"/>
    </row>
    <row r="2389" spans="12:12" x14ac:dyDescent="0.3">
      <c r="L2389" s="293"/>
    </row>
    <row r="2390" spans="12:12" x14ac:dyDescent="0.3">
      <c r="L2390" s="293"/>
    </row>
    <row r="2391" spans="12:12" x14ac:dyDescent="0.3">
      <c r="L2391" s="293"/>
    </row>
    <row r="2392" spans="12:12" x14ac:dyDescent="0.3">
      <c r="L2392" s="293"/>
    </row>
    <row r="2393" spans="12:12" x14ac:dyDescent="0.3">
      <c r="L2393" s="293"/>
    </row>
    <row r="2394" spans="12:12" x14ac:dyDescent="0.3">
      <c r="L2394" s="293"/>
    </row>
    <row r="2395" spans="12:12" x14ac:dyDescent="0.3">
      <c r="L2395" s="293"/>
    </row>
    <row r="2396" spans="12:12" x14ac:dyDescent="0.3">
      <c r="L2396" s="293"/>
    </row>
    <row r="2397" spans="12:12" x14ac:dyDescent="0.3">
      <c r="L2397" s="293"/>
    </row>
    <row r="2398" spans="12:12" x14ac:dyDescent="0.3">
      <c r="L2398" s="293"/>
    </row>
    <row r="2399" spans="12:12" x14ac:dyDescent="0.3">
      <c r="L2399" s="293"/>
    </row>
    <row r="2400" spans="12:12" x14ac:dyDescent="0.3">
      <c r="L2400" s="293"/>
    </row>
    <row r="2401" spans="12:12" x14ac:dyDescent="0.3">
      <c r="L2401" s="293"/>
    </row>
    <row r="2402" spans="12:12" x14ac:dyDescent="0.3">
      <c r="L2402" s="293"/>
    </row>
    <row r="2403" spans="12:12" x14ac:dyDescent="0.3">
      <c r="L2403" s="293"/>
    </row>
    <row r="2404" spans="12:12" x14ac:dyDescent="0.3">
      <c r="L2404" s="293"/>
    </row>
    <row r="2405" spans="12:12" x14ac:dyDescent="0.3">
      <c r="L2405" s="293"/>
    </row>
    <row r="2406" spans="12:12" x14ac:dyDescent="0.3">
      <c r="L2406" s="293"/>
    </row>
    <row r="2407" spans="12:12" x14ac:dyDescent="0.3">
      <c r="L2407" s="293"/>
    </row>
    <row r="2408" spans="12:12" x14ac:dyDescent="0.3">
      <c r="L2408" s="293"/>
    </row>
    <row r="2409" spans="12:12" x14ac:dyDescent="0.3">
      <c r="L2409" s="293"/>
    </row>
    <row r="2410" spans="12:12" x14ac:dyDescent="0.3">
      <c r="L2410" s="293"/>
    </row>
    <row r="2411" spans="12:12" x14ac:dyDescent="0.3">
      <c r="L2411" s="293"/>
    </row>
    <row r="2412" spans="12:12" x14ac:dyDescent="0.3">
      <c r="L2412" s="293"/>
    </row>
    <row r="2413" spans="12:12" x14ac:dyDescent="0.3">
      <c r="L2413" s="293"/>
    </row>
    <row r="2414" spans="12:12" x14ac:dyDescent="0.3">
      <c r="L2414" s="293"/>
    </row>
    <row r="2415" spans="12:12" x14ac:dyDescent="0.3">
      <c r="L2415" s="293"/>
    </row>
    <row r="2416" spans="12:12" x14ac:dyDescent="0.3">
      <c r="L2416" s="293"/>
    </row>
    <row r="2417" spans="12:12" x14ac:dyDescent="0.3">
      <c r="L2417" s="293"/>
    </row>
    <row r="2418" spans="12:12" x14ac:dyDescent="0.3">
      <c r="L2418" s="293"/>
    </row>
    <row r="2419" spans="12:12" x14ac:dyDescent="0.3">
      <c r="L2419" s="293"/>
    </row>
    <row r="2420" spans="12:12" x14ac:dyDescent="0.3">
      <c r="L2420" s="293"/>
    </row>
    <row r="2421" spans="12:12" x14ac:dyDescent="0.3">
      <c r="L2421" s="293"/>
    </row>
    <row r="2422" spans="12:12" x14ac:dyDescent="0.3">
      <c r="L2422" s="293"/>
    </row>
    <row r="2423" spans="12:12" x14ac:dyDescent="0.3">
      <c r="L2423" s="293"/>
    </row>
    <row r="2424" spans="12:12" x14ac:dyDescent="0.3">
      <c r="L2424" s="293"/>
    </row>
    <row r="2425" spans="12:12" x14ac:dyDescent="0.3">
      <c r="L2425" s="293"/>
    </row>
    <row r="2426" spans="12:12" x14ac:dyDescent="0.3">
      <c r="L2426" s="293"/>
    </row>
    <row r="2427" spans="12:12" x14ac:dyDescent="0.3">
      <c r="L2427" s="293"/>
    </row>
    <row r="2428" spans="12:12" x14ac:dyDescent="0.3">
      <c r="L2428" s="293"/>
    </row>
    <row r="2429" spans="12:12" x14ac:dyDescent="0.3">
      <c r="L2429" s="293"/>
    </row>
    <row r="2430" spans="12:12" x14ac:dyDescent="0.3">
      <c r="L2430" s="293"/>
    </row>
    <row r="2431" spans="12:12" x14ac:dyDescent="0.3">
      <c r="L2431" s="293"/>
    </row>
    <row r="2432" spans="12:12" x14ac:dyDescent="0.3">
      <c r="L2432" s="293"/>
    </row>
    <row r="2433" spans="12:12" x14ac:dyDescent="0.3">
      <c r="L2433" s="293"/>
    </row>
    <row r="2434" spans="12:12" x14ac:dyDescent="0.3">
      <c r="L2434" s="293"/>
    </row>
    <row r="2435" spans="12:12" x14ac:dyDescent="0.3">
      <c r="L2435" s="293"/>
    </row>
    <row r="2436" spans="12:12" x14ac:dyDescent="0.3">
      <c r="L2436" s="293"/>
    </row>
    <row r="2437" spans="12:12" x14ac:dyDescent="0.3">
      <c r="L2437" s="293"/>
    </row>
    <row r="2438" spans="12:12" x14ac:dyDescent="0.3">
      <c r="L2438" s="293"/>
    </row>
    <row r="2439" spans="12:12" x14ac:dyDescent="0.3">
      <c r="L2439" s="293"/>
    </row>
    <row r="2440" spans="12:12" x14ac:dyDescent="0.3">
      <c r="L2440" s="293"/>
    </row>
    <row r="2441" spans="12:12" x14ac:dyDescent="0.3">
      <c r="L2441" s="293"/>
    </row>
    <row r="2442" spans="12:12" x14ac:dyDescent="0.3">
      <c r="L2442" s="293"/>
    </row>
    <row r="2443" spans="12:12" x14ac:dyDescent="0.3">
      <c r="L2443" s="293"/>
    </row>
    <row r="2444" spans="12:12" x14ac:dyDescent="0.3">
      <c r="L2444" s="293"/>
    </row>
    <row r="2445" spans="12:12" x14ac:dyDescent="0.3">
      <c r="L2445" s="293"/>
    </row>
    <row r="2446" spans="12:12" x14ac:dyDescent="0.3">
      <c r="L2446" s="293"/>
    </row>
    <row r="2447" spans="12:12" x14ac:dyDescent="0.3">
      <c r="L2447" s="293"/>
    </row>
    <row r="2448" spans="12:12" x14ac:dyDescent="0.3">
      <c r="L2448" s="293"/>
    </row>
    <row r="2449" spans="12:12" x14ac:dyDescent="0.3">
      <c r="L2449" s="293"/>
    </row>
    <row r="2450" spans="12:12" x14ac:dyDescent="0.3">
      <c r="L2450" s="293"/>
    </row>
    <row r="2451" spans="12:12" x14ac:dyDescent="0.3">
      <c r="L2451" s="293"/>
    </row>
    <row r="2452" spans="12:12" x14ac:dyDescent="0.3">
      <c r="L2452" s="293"/>
    </row>
    <row r="2453" spans="12:12" x14ac:dyDescent="0.3">
      <c r="L2453" s="293"/>
    </row>
    <row r="2454" spans="12:12" x14ac:dyDescent="0.3">
      <c r="L2454" s="293"/>
    </row>
    <row r="2455" spans="12:12" x14ac:dyDescent="0.3">
      <c r="L2455" s="293"/>
    </row>
    <row r="2456" spans="12:12" x14ac:dyDescent="0.3">
      <c r="L2456" s="293"/>
    </row>
    <row r="2457" spans="12:12" x14ac:dyDescent="0.3">
      <c r="L2457" s="293"/>
    </row>
    <row r="2458" spans="12:12" x14ac:dyDescent="0.3">
      <c r="L2458" s="293"/>
    </row>
    <row r="2459" spans="12:12" x14ac:dyDescent="0.3">
      <c r="L2459" s="293"/>
    </row>
    <row r="2460" spans="12:12" x14ac:dyDescent="0.3">
      <c r="L2460" s="293"/>
    </row>
    <row r="2461" spans="12:12" x14ac:dyDescent="0.3">
      <c r="L2461" s="293"/>
    </row>
    <row r="2462" spans="12:12" x14ac:dyDescent="0.3">
      <c r="L2462" s="293"/>
    </row>
    <row r="2463" spans="12:12" x14ac:dyDescent="0.3">
      <c r="L2463" s="293"/>
    </row>
    <row r="2464" spans="12:12" x14ac:dyDescent="0.3">
      <c r="L2464" s="293"/>
    </row>
    <row r="2465" spans="12:12" x14ac:dyDescent="0.3">
      <c r="L2465" s="293"/>
    </row>
    <row r="2466" spans="12:12" x14ac:dyDescent="0.3">
      <c r="L2466" s="293"/>
    </row>
    <row r="2467" spans="12:12" x14ac:dyDescent="0.3">
      <c r="L2467" s="293"/>
    </row>
    <row r="2468" spans="12:12" x14ac:dyDescent="0.3">
      <c r="L2468" s="293"/>
    </row>
    <row r="2469" spans="12:12" x14ac:dyDescent="0.3">
      <c r="L2469" s="293"/>
    </row>
    <row r="2470" spans="12:12" x14ac:dyDescent="0.3">
      <c r="L2470" s="293"/>
    </row>
    <row r="2471" spans="12:12" x14ac:dyDescent="0.3">
      <c r="L2471" s="293"/>
    </row>
    <row r="2472" spans="12:12" x14ac:dyDescent="0.3">
      <c r="L2472" s="293"/>
    </row>
    <row r="2473" spans="12:12" x14ac:dyDescent="0.3">
      <c r="L2473" s="293"/>
    </row>
    <row r="2474" spans="12:12" x14ac:dyDescent="0.3">
      <c r="L2474" s="293"/>
    </row>
    <row r="2475" spans="12:12" x14ac:dyDescent="0.3">
      <c r="L2475" s="293"/>
    </row>
    <row r="2476" spans="12:12" x14ac:dyDescent="0.3">
      <c r="L2476" s="293"/>
    </row>
    <row r="2477" spans="12:12" x14ac:dyDescent="0.3">
      <c r="L2477" s="293"/>
    </row>
    <row r="2478" spans="12:12" x14ac:dyDescent="0.3">
      <c r="L2478" s="293"/>
    </row>
    <row r="2479" spans="12:12" x14ac:dyDescent="0.3">
      <c r="L2479" s="293"/>
    </row>
    <row r="2480" spans="12:12" x14ac:dyDescent="0.3">
      <c r="L2480" s="293"/>
    </row>
    <row r="2481" spans="12:12" x14ac:dyDescent="0.3">
      <c r="L2481" s="293"/>
    </row>
    <row r="2482" spans="12:12" x14ac:dyDescent="0.3">
      <c r="L2482" s="293"/>
    </row>
    <row r="2483" spans="12:12" x14ac:dyDescent="0.3">
      <c r="L2483" s="293"/>
    </row>
    <row r="2484" spans="12:12" x14ac:dyDescent="0.3">
      <c r="L2484" s="293"/>
    </row>
    <row r="2485" spans="12:12" x14ac:dyDescent="0.3">
      <c r="L2485" s="293"/>
    </row>
    <row r="2486" spans="12:12" x14ac:dyDescent="0.3">
      <c r="L2486" s="293"/>
    </row>
    <row r="2487" spans="12:12" x14ac:dyDescent="0.3">
      <c r="L2487" s="293"/>
    </row>
    <row r="2488" spans="12:12" x14ac:dyDescent="0.3">
      <c r="L2488" s="293"/>
    </row>
    <row r="2489" spans="12:12" x14ac:dyDescent="0.3">
      <c r="L2489" s="293"/>
    </row>
    <row r="2490" spans="12:12" x14ac:dyDescent="0.3">
      <c r="L2490" s="293"/>
    </row>
    <row r="2491" spans="12:12" x14ac:dyDescent="0.3">
      <c r="L2491" s="293"/>
    </row>
    <row r="2492" spans="12:12" x14ac:dyDescent="0.3">
      <c r="L2492" s="293"/>
    </row>
    <row r="2493" spans="12:12" x14ac:dyDescent="0.3">
      <c r="L2493" s="293"/>
    </row>
    <row r="2494" spans="12:12" x14ac:dyDescent="0.3">
      <c r="L2494" s="293"/>
    </row>
    <row r="2495" spans="12:12" x14ac:dyDescent="0.3">
      <c r="L2495" s="293"/>
    </row>
    <row r="2496" spans="12:12" x14ac:dyDescent="0.3">
      <c r="L2496" s="293"/>
    </row>
    <row r="2497" spans="12:12" x14ac:dyDescent="0.3">
      <c r="L2497" s="293"/>
    </row>
    <row r="2498" spans="12:12" x14ac:dyDescent="0.3">
      <c r="L2498" s="293"/>
    </row>
    <row r="2499" spans="12:12" x14ac:dyDescent="0.3">
      <c r="L2499" s="293"/>
    </row>
    <row r="2500" spans="12:12" x14ac:dyDescent="0.3">
      <c r="L2500" s="293"/>
    </row>
    <row r="2501" spans="12:12" x14ac:dyDescent="0.3">
      <c r="L2501" s="293"/>
    </row>
    <row r="2502" spans="12:12" x14ac:dyDescent="0.3">
      <c r="L2502" s="293"/>
    </row>
    <row r="2503" spans="12:12" x14ac:dyDescent="0.3">
      <c r="L2503" s="293"/>
    </row>
    <row r="2504" spans="12:12" x14ac:dyDescent="0.3">
      <c r="L2504" s="293"/>
    </row>
    <row r="2505" spans="12:12" x14ac:dyDescent="0.3">
      <c r="L2505" s="293"/>
    </row>
    <row r="2506" spans="12:12" x14ac:dyDescent="0.3">
      <c r="L2506" s="293"/>
    </row>
    <row r="2507" spans="12:12" x14ac:dyDescent="0.3">
      <c r="L2507" s="293"/>
    </row>
    <row r="2508" spans="12:12" x14ac:dyDescent="0.3">
      <c r="L2508" s="293"/>
    </row>
    <row r="2509" spans="12:12" x14ac:dyDescent="0.3">
      <c r="L2509" s="293"/>
    </row>
    <row r="2510" spans="12:12" x14ac:dyDescent="0.3">
      <c r="L2510" s="293"/>
    </row>
    <row r="2511" spans="12:12" x14ac:dyDescent="0.3">
      <c r="L2511" s="293"/>
    </row>
    <row r="2512" spans="12:12" x14ac:dyDescent="0.3">
      <c r="L2512" s="293"/>
    </row>
    <row r="2513" spans="12:12" x14ac:dyDescent="0.3">
      <c r="L2513" s="293"/>
    </row>
    <row r="2514" spans="12:12" x14ac:dyDescent="0.3">
      <c r="L2514" s="293"/>
    </row>
    <row r="2515" spans="12:12" x14ac:dyDescent="0.3">
      <c r="L2515" s="293"/>
    </row>
    <row r="2516" spans="12:12" x14ac:dyDescent="0.3">
      <c r="L2516" s="293"/>
    </row>
    <row r="2517" spans="12:12" x14ac:dyDescent="0.3">
      <c r="L2517" s="293"/>
    </row>
    <row r="2518" spans="12:12" x14ac:dyDescent="0.3">
      <c r="L2518" s="293"/>
    </row>
    <row r="2519" spans="12:12" x14ac:dyDescent="0.3">
      <c r="L2519" s="293"/>
    </row>
    <row r="2520" spans="12:12" x14ac:dyDescent="0.3">
      <c r="L2520" s="293"/>
    </row>
    <row r="2521" spans="12:12" x14ac:dyDescent="0.3">
      <c r="L2521" s="293"/>
    </row>
    <row r="2522" spans="12:12" x14ac:dyDescent="0.3">
      <c r="L2522" s="293"/>
    </row>
    <row r="2523" spans="12:12" x14ac:dyDescent="0.3">
      <c r="L2523" s="293"/>
    </row>
    <row r="2524" spans="12:12" x14ac:dyDescent="0.3">
      <c r="L2524" s="293"/>
    </row>
    <row r="2525" spans="12:12" x14ac:dyDescent="0.3">
      <c r="L2525" s="293"/>
    </row>
    <row r="2526" spans="12:12" x14ac:dyDescent="0.3">
      <c r="L2526" s="293"/>
    </row>
    <row r="2527" spans="12:12" x14ac:dyDescent="0.3">
      <c r="L2527" s="293"/>
    </row>
    <row r="2528" spans="12:12" x14ac:dyDescent="0.3">
      <c r="L2528" s="293"/>
    </row>
    <row r="2529" spans="12:12" x14ac:dyDescent="0.3">
      <c r="L2529" s="293"/>
    </row>
    <row r="2530" spans="12:12" x14ac:dyDescent="0.3">
      <c r="L2530" s="293"/>
    </row>
    <row r="2531" spans="12:12" x14ac:dyDescent="0.3">
      <c r="L2531" s="293"/>
    </row>
    <row r="2532" spans="12:12" x14ac:dyDescent="0.3">
      <c r="L2532" s="293"/>
    </row>
    <row r="2533" spans="12:12" x14ac:dyDescent="0.3">
      <c r="L2533" s="293"/>
    </row>
    <row r="2534" spans="12:12" x14ac:dyDescent="0.3">
      <c r="L2534" s="293"/>
    </row>
    <row r="2535" spans="12:12" x14ac:dyDescent="0.3">
      <c r="L2535" s="293"/>
    </row>
    <row r="2536" spans="12:12" x14ac:dyDescent="0.3">
      <c r="L2536" s="293"/>
    </row>
    <row r="2537" spans="12:12" x14ac:dyDescent="0.3">
      <c r="L2537" s="293"/>
    </row>
    <row r="2538" spans="12:12" x14ac:dyDescent="0.3">
      <c r="L2538" s="293"/>
    </row>
    <row r="2539" spans="12:12" x14ac:dyDescent="0.3">
      <c r="L2539" s="293"/>
    </row>
    <row r="2540" spans="12:12" x14ac:dyDescent="0.3">
      <c r="L2540" s="293"/>
    </row>
    <row r="2541" spans="12:12" x14ac:dyDescent="0.3">
      <c r="L2541" s="293"/>
    </row>
    <row r="2542" spans="12:12" x14ac:dyDescent="0.3">
      <c r="L2542" s="293"/>
    </row>
    <row r="2543" spans="12:12" x14ac:dyDescent="0.3">
      <c r="L2543" s="293"/>
    </row>
    <row r="2544" spans="12:12" x14ac:dyDescent="0.3">
      <c r="L2544" s="293"/>
    </row>
    <row r="2545" spans="12:12" x14ac:dyDescent="0.3">
      <c r="L2545" s="293"/>
    </row>
    <row r="2546" spans="12:12" x14ac:dyDescent="0.3">
      <c r="L2546" s="293"/>
    </row>
    <row r="2547" spans="12:12" x14ac:dyDescent="0.3">
      <c r="L2547" s="293"/>
    </row>
    <row r="2548" spans="12:12" x14ac:dyDescent="0.3">
      <c r="L2548" s="293"/>
    </row>
    <row r="2549" spans="12:12" x14ac:dyDescent="0.3">
      <c r="L2549" s="293"/>
    </row>
    <row r="2550" spans="12:12" x14ac:dyDescent="0.3">
      <c r="L2550" s="293"/>
    </row>
    <row r="2551" spans="12:12" x14ac:dyDescent="0.3">
      <c r="L2551" s="293"/>
    </row>
    <row r="2552" spans="12:12" x14ac:dyDescent="0.3">
      <c r="L2552" s="293"/>
    </row>
    <row r="2553" spans="12:12" x14ac:dyDescent="0.3">
      <c r="L2553" s="293"/>
    </row>
    <row r="2554" spans="12:12" x14ac:dyDescent="0.3">
      <c r="L2554" s="293"/>
    </row>
    <row r="2555" spans="12:12" x14ac:dyDescent="0.3">
      <c r="L2555" s="293"/>
    </row>
    <row r="2556" spans="12:12" x14ac:dyDescent="0.3">
      <c r="L2556" s="293"/>
    </row>
    <row r="2557" spans="12:12" x14ac:dyDescent="0.3">
      <c r="L2557" s="293"/>
    </row>
    <row r="2558" spans="12:12" x14ac:dyDescent="0.3">
      <c r="L2558" s="293"/>
    </row>
    <row r="2559" spans="12:12" x14ac:dyDescent="0.3">
      <c r="L2559" s="293"/>
    </row>
    <row r="2560" spans="12:12" x14ac:dyDescent="0.3">
      <c r="L2560" s="293"/>
    </row>
    <row r="2561" spans="12:12" x14ac:dyDescent="0.3">
      <c r="L2561" s="293"/>
    </row>
    <row r="2562" spans="12:12" x14ac:dyDescent="0.3">
      <c r="L2562" s="293"/>
    </row>
    <row r="2563" spans="12:12" x14ac:dyDescent="0.3">
      <c r="L2563" s="293"/>
    </row>
    <row r="2564" spans="12:12" x14ac:dyDescent="0.3">
      <c r="L2564" s="293"/>
    </row>
    <row r="2565" spans="12:12" x14ac:dyDescent="0.3">
      <c r="L2565" s="293"/>
    </row>
    <row r="2566" spans="12:12" x14ac:dyDescent="0.3">
      <c r="L2566" s="293"/>
    </row>
    <row r="2567" spans="12:12" x14ac:dyDescent="0.3">
      <c r="L2567" s="293"/>
    </row>
    <row r="2568" spans="12:12" x14ac:dyDescent="0.3">
      <c r="L2568" s="293"/>
    </row>
    <row r="2569" spans="12:12" x14ac:dyDescent="0.3">
      <c r="L2569" s="293"/>
    </row>
    <row r="2570" spans="12:12" x14ac:dyDescent="0.3">
      <c r="L2570" s="293"/>
    </row>
    <row r="2571" spans="12:12" x14ac:dyDescent="0.3">
      <c r="L2571" s="293"/>
    </row>
    <row r="2572" spans="12:12" x14ac:dyDescent="0.3">
      <c r="L2572" s="293"/>
    </row>
    <row r="2573" spans="12:12" x14ac:dyDescent="0.3">
      <c r="L2573" s="293"/>
    </row>
    <row r="2574" spans="12:12" x14ac:dyDescent="0.3">
      <c r="L2574" s="293"/>
    </row>
    <row r="2575" spans="12:12" x14ac:dyDescent="0.3">
      <c r="L2575" s="293"/>
    </row>
    <row r="2576" spans="12:12" x14ac:dyDescent="0.3">
      <c r="L2576" s="293"/>
    </row>
    <row r="2577" spans="12:12" x14ac:dyDescent="0.3">
      <c r="L2577" s="293"/>
    </row>
    <row r="2578" spans="12:12" x14ac:dyDescent="0.3">
      <c r="L2578" s="293"/>
    </row>
    <row r="2579" spans="12:12" x14ac:dyDescent="0.3">
      <c r="L2579" s="293"/>
    </row>
    <row r="2580" spans="12:12" x14ac:dyDescent="0.3">
      <c r="L2580" s="293"/>
    </row>
    <row r="2581" spans="12:12" x14ac:dyDescent="0.3">
      <c r="L2581" s="293"/>
    </row>
    <row r="2582" spans="12:12" x14ac:dyDescent="0.3">
      <c r="L2582" s="293"/>
    </row>
    <row r="2583" spans="12:12" x14ac:dyDescent="0.3">
      <c r="L2583" s="293"/>
    </row>
    <row r="2584" spans="12:12" x14ac:dyDescent="0.3">
      <c r="L2584" s="293"/>
    </row>
    <row r="2585" spans="12:12" x14ac:dyDescent="0.3">
      <c r="L2585" s="293"/>
    </row>
    <row r="2586" spans="12:12" x14ac:dyDescent="0.3">
      <c r="L2586" s="293"/>
    </row>
    <row r="2587" spans="12:12" x14ac:dyDescent="0.3">
      <c r="L2587" s="293"/>
    </row>
    <row r="2588" spans="12:12" x14ac:dyDescent="0.3">
      <c r="L2588" s="293"/>
    </row>
    <row r="2589" spans="12:12" x14ac:dyDescent="0.3">
      <c r="L2589" s="293"/>
    </row>
    <row r="2590" spans="12:12" x14ac:dyDescent="0.3">
      <c r="L2590" s="293"/>
    </row>
    <row r="2591" spans="12:12" x14ac:dyDescent="0.3">
      <c r="L2591" s="293"/>
    </row>
    <row r="2592" spans="12:12" x14ac:dyDescent="0.3">
      <c r="L2592" s="293"/>
    </row>
    <row r="2593" spans="12:12" x14ac:dyDescent="0.3">
      <c r="L2593" s="293"/>
    </row>
    <row r="2594" spans="12:12" x14ac:dyDescent="0.3">
      <c r="L2594" s="293"/>
    </row>
    <row r="2595" spans="12:12" x14ac:dyDescent="0.3">
      <c r="L2595" s="293"/>
    </row>
    <row r="2596" spans="12:12" x14ac:dyDescent="0.3">
      <c r="L2596" s="293"/>
    </row>
    <row r="2597" spans="12:12" x14ac:dyDescent="0.3">
      <c r="L2597" s="293"/>
    </row>
    <row r="2598" spans="12:12" x14ac:dyDescent="0.3">
      <c r="L2598" s="293"/>
    </row>
    <row r="2599" spans="12:12" x14ac:dyDescent="0.3">
      <c r="L2599" s="293"/>
    </row>
    <row r="2600" spans="12:12" x14ac:dyDescent="0.3">
      <c r="L2600" s="293"/>
    </row>
    <row r="2601" spans="12:12" x14ac:dyDescent="0.3">
      <c r="L2601" s="293"/>
    </row>
    <row r="2602" spans="12:12" x14ac:dyDescent="0.3">
      <c r="L2602" s="293"/>
    </row>
    <row r="2603" spans="12:12" x14ac:dyDescent="0.3">
      <c r="L2603" s="293"/>
    </row>
    <row r="2604" spans="12:12" x14ac:dyDescent="0.3">
      <c r="L2604" s="293"/>
    </row>
    <row r="2605" spans="12:12" x14ac:dyDescent="0.3">
      <c r="L2605" s="293"/>
    </row>
    <row r="2606" spans="12:12" x14ac:dyDescent="0.3">
      <c r="L2606" s="293"/>
    </row>
    <row r="2607" spans="12:12" x14ac:dyDescent="0.3">
      <c r="L2607" s="293"/>
    </row>
    <row r="2608" spans="12:12" x14ac:dyDescent="0.3">
      <c r="L2608" s="293"/>
    </row>
    <row r="2609" spans="12:12" x14ac:dyDescent="0.3">
      <c r="L2609" s="293"/>
    </row>
    <row r="2610" spans="12:12" x14ac:dyDescent="0.3">
      <c r="L2610" s="293"/>
    </row>
    <row r="2611" spans="12:12" x14ac:dyDescent="0.3">
      <c r="L2611" s="293"/>
    </row>
    <row r="2612" spans="12:12" x14ac:dyDescent="0.3">
      <c r="L2612" s="293"/>
    </row>
    <row r="2613" spans="12:12" x14ac:dyDescent="0.3">
      <c r="L2613" s="293"/>
    </row>
    <row r="2614" spans="12:12" x14ac:dyDescent="0.3">
      <c r="L2614" s="293"/>
    </row>
    <row r="2615" spans="12:12" x14ac:dyDescent="0.3">
      <c r="L2615" s="293"/>
    </row>
    <row r="2616" spans="12:12" x14ac:dyDescent="0.3">
      <c r="L2616" s="293"/>
    </row>
    <row r="2617" spans="12:12" x14ac:dyDescent="0.3">
      <c r="L2617" s="293"/>
    </row>
    <row r="2618" spans="12:12" x14ac:dyDescent="0.3">
      <c r="L2618" s="293"/>
    </row>
    <row r="2619" spans="12:12" x14ac:dyDescent="0.3">
      <c r="L2619" s="293"/>
    </row>
    <row r="2620" spans="12:12" x14ac:dyDescent="0.3">
      <c r="L2620" s="293"/>
    </row>
    <row r="2621" spans="12:12" x14ac:dyDescent="0.3">
      <c r="L2621" s="293"/>
    </row>
    <row r="2622" spans="12:12" x14ac:dyDescent="0.3">
      <c r="L2622" s="293"/>
    </row>
    <row r="2623" spans="12:12" x14ac:dyDescent="0.3">
      <c r="L2623" s="293"/>
    </row>
    <row r="2624" spans="12:12" x14ac:dyDescent="0.3">
      <c r="L2624" s="293"/>
    </row>
    <row r="2625" spans="12:12" x14ac:dyDescent="0.3">
      <c r="L2625" s="293"/>
    </row>
    <row r="2626" spans="12:12" x14ac:dyDescent="0.3">
      <c r="L2626" s="293"/>
    </row>
    <row r="2627" spans="12:12" x14ac:dyDescent="0.3">
      <c r="L2627" s="293"/>
    </row>
    <row r="2628" spans="12:12" x14ac:dyDescent="0.3">
      <c r="L2628" s="293"/>
    </row>
    <row r="2629" spans="12:12" x14ac:dyDescent="0.3">
      <c r="L2629" s="293"/>
    </row>
    <row r="2630" spans="12:12" x14ac:dyDescent="0.3">
      <c r="L2630" s="293"/>
    </row>
    <row r="2631" spans="12:12" x14ac:dyDescent="0.3">
      <c r="L2631" s="293"/>
    </row>
    <row r="2632" spans="12:12" x14ac:dyDescent="0.3">
      <c r="L2632" s="293"/>
    </row>
    <row r="2633" spans="12:12" x14ac:dyDescent="0.3">
      <c r="L2633" s="293"/>
    </row>
    <row r="2634" spans="12:12" x14ac:dyDescent="0.3">
      <c r="L2634" s="293"/>
    </row>
    <row r="2635" spans="12:12" x14ac:dyDescent="0.3">
      <c r="L2635" s="293"/>
    </row>
    <row r="2636" spans="12:12" x14ac:dyDescent="0.3">
      <c r="L2636" s="293"/>
    </row>
    <row r="2637" spans="12:12" x14ac:dyDescent="0.3">
      <c r="L2637" s="293"/>
    </row>
    <row r="2638" spans="12:12" x14ac:dyDescent="0.3">
      <c r="L2638" s="293"/>
    </row>
    <row r="2639" spans="12:12" x14ac:dyDescent="0.3">
      <c r="L2639" s="293"/>
    </row>
    <row r="2640" spans="12:12" x14ac:dyDescent="0.3">
      <c r="L2640" s="293"/>
    </row>
    <row r="2641" spans="12:12" x14ac:dyDescent="0.3">
      <c r="L2641" s="293"/>
    </row>
    <row r="2642" spans="12:12" x14ac:dyDescent="0.3">
      <c r="L2642" s="293"/>
    </row>
    <row r="2643" spans="12:12" x14ac:dyDescent="0.3">
      <c r="L2643" s="293"/>
    </row>
    <row r="2644" spans="12:12" x14ac:dyDescent="0.3">
      <c r="L2644" s="293"/>
    </row>
    <row r="2645" spans="12:12" x14ac:dyDescent="0.3">
      <c r="L2645" s="293"/>
    </row>
    <row r="2646" spans="12:12" x14ac:dyDescent="0.3">
      <c r="L2646" s="293"/>
    </row>
    <row r="2647" spans="12:12" x14ac:dyDescent="0.3">
      <c r="L2647" s="293"/>
    </row>
    <row r="2648" spans="12:12" x14ac:dyDescent="0.3">
      <c r="L2648" s="293"/>
    </row>
    <row r="2649" spans="12:12" x14ac:dyDescent="0.3">
      <c r="L2649" s="293"/>
    </row>
    <row r="2650" spans="12:12" x14ac:dyDescent="0.3">
      <c r="L2650" s="293"/>
    </row>
    <row r="2651" spans="12:12" x14ac:dyDescent="0.3">
      <c r="L2651" s="293"/>
    </row>
    <row r="2652" spans="12:12" x14ac:dyDescent="0.3">
      <c r="L2652" s="293"/>
    </row>
    <row r="2653" spans="12:12" x14ac:dyDescent="0.3">
      <c r="L2653" s="293"/>
    </row>
    <row r="2654" spans="12:12" x14ac:dyDescent="0.3">
      <c r="L2654" s="293"/>
    </row>
    <row r="2655" spans="12:12" x14ac:dyDescent="0.3">
      <c r="L2655" s="293"/>
    </row>
    <row r="2656" spans="12:12" x14ac:dyDescent="0.3">
      <c r="L2656" s="293"/>
    </row>
    <row r="2657" spans="12:12" x14ac:dyDescent="0.3">
      <c r="L2657" s="293"/>
    </row>
    <row r="2658" spans="12:12" x14ac:dyDescent="0.3">
      <c r="L2658" s="293"/>
    </row>
    <row r="2659" spans="12:12" x14ac:dyDescent="0.3">
      <c r="L2659" s="293"/>
    </row>
    <row r="2660" spans="12:12" x14ac:dyDescent="0.3">
      <c r="L2660" s="293"/>
    </row>
    <row r="2661" spans="12:12" x14ac:dyDescent="0.3">
      <c r="L2661" s="293"/>
    </row>
    <row r="2662" spans="12:12" x14ac:dyDescent="0.3">
      <c r="L2662" s="293"/>
    </row>
    <row r="2663" spans="12:12" x14ac:dyDescent="0.3">
      <c r="L2663" s="293"/>
    </row>
    <row r="2664" spans="12:12" x14ac:dyDescent="0.3">
      <c r="L2664" s="293"/>
    </row>
    <row r="2665" spans="12:12" x14ac:dyDescent="0.3">
      <c r="L2665" s="293"/>
    </row>
    <row r="2666" spans="12:12" x14ac:dyDescent="0.3">
      <c r="L2666" s="293"/>
    </row>
    <row r="2667" spans="12:12" x14ac:dyDescent="0.3">
      <c r="L2667" s="293"/>
    </row>
    <row r="2668" spans="12:12" x14ac:dyDescent="0.3">
      <c r="L2668" s="293"/>
    </row>
    <row r="2669" spans="12:12" x14ac:dyDescent="0.3">
      <c r="L2669" s="293"/>
    </row>
    <row r="2670" spans="12:12" x14ac:dyDescent="0.3">
      <c r="L2670" s="293"/>
    </row>
    <row r="2671" spans="12:12" x14ac:dyDescent="0.3">
      <c r="L2671" s="293"/>
    </row>
    <row r="2672" spans="12:12" x14ac:dyDescent="0.3">
      <c r="L2672" s="293"/>
    </row>
    <row r="2673" spans="12:12" x14ac:dyDescent="0.3">
      <c r="L2673" s="293"/>
    </row>
    <row r="2674" spans="12:12" x14ac:dyDescent="0.3">
      <c r="L2674" s="293"/>
    </row>
    <row r="2675" spans="12:12" x14ac:dyDescent="0.3">
      <c r="L2675" s="293"/>
    </row>
    <row r="2676" spans="12:12" x14ac:dyDescent="0.3">
      <c r="L2676" s="293"/>
    </row>
    <row r="2677" spans="12:12" x14ac:dyDescent="0.3">
      <c r="L2677" s="293"/>
    </row>
    <row r="2678" spans="12:12" x14ac:dyDescent="0.3">
      <c r="L2678" s="293"/>
    </row>
    <row r="2679" spans="12:12" x14ac:dyDescent="0.3">
      <c r="L2679" s="293"/>
    </row>
    <row r="2680" spans="12:12" x14ac:dyDescent="0.3">
      <c r="L2680" s="293"/>
    </row>
    <row r="2681" spans="12:12" x14ac:dyDescent="0.3">
      <c r="L2681" s="293"/>
    </row>
    <row r="2682" spans="12:12" x14ac:dyDescent="0.3">
      <c r="L2682" s="293"/>
    </row>
    <row r="2683" spans="12:12" x14ac:dyDescent="0.3">
      <c r="L2683" s="293"/>
    </row>
    <row r="2684" spans="12:12" x14ac:dyDescent="0.3">
      <c r="L2684" s="293"/>
    </row>
    <row r="2685" spans="12:12" x14ac:dyDescent="0.3">
      <c r="L2685" s="293"/>
    </row>
    <row r="2686" spans="12:12" x14ac:dyDescent="0.3">
      <c r="L2686" s="293"/>
    </row>
    <row r="2687" spans="12:12" x14ac:dyDescent="0.3">
      <c r="L2687" s="293"/>
    </row>
    <row r="2688" spans="12:12" x14ac:dyDescent="0.3">
      <c r="L2688" s="293"/>
    </row>
    <row r="2689" spans="12:12" x14ac:dyDescent="0.3">
      <c r="L2689" s="293"/>
    </row>
    <row r="2690" spans="12:12" x14ac:dyDescent="0.3">
      <c r="L2690" s="293"/>
    </row>
    <row r="2691" spans="12:12" x14ac:dyDescent="0.3">
      <c r="L2691" s="293"/>
    </row>
    <row r="2692" spans="12:12" x14ac:dyDescent="0.3">
      <c r="L2692" s="293"/>
    </row>
    <row r="2693" spans="12:12" x14ac:dyDescent="0.3">
      <c r="L2693" s="293"/>
    </row>
    <row r="2694" spans="12:12" x14ac:dyDescent="0.3">
      <c r="L2694" s="293"/>
    </row>
    <row r="2695" spans="12:12" x14ac:dyDescent="0.3">
      <c r="L2695" s="293"/>
    </row>
    <row r="2696" spans="12:12" x14ac:dyDescent="0.3">
      <c r="L2696" s="293"/>
    </row>
    <row r="2697" spans="12:12" x14ac:dyDescent="0.3">
      <c r="L2697" s="293"/>
    </row>
    <row r="2698" spans="12:12" x14ac:dyDescent="0.3">
      <c r="L2698" s="293"/>
    </row>
    <row r="2699" spans="12:12" x14ac:dyDescent="0.3">
      <c r="L2699" s="293"/>
    </row>
    <row r="2700" spans="12:12" x14ac:dyDescent="0.3">
      <c r="L2700" s="293"/>
    </row>
    <row r="2701" spans="12:12" x14ac:dyDescent="0.3">
      <c r="L2701" s="293"/>
    </row>
    <row r="2702" spans="12:12" x14ac:dyDescent="0.3">
      <c r="L2702" s="293"/>
    </row>
    <row r="2703" spans="12:12" x14ac:dyDescent="0.3">
      <c r="L2703" s="293"/>
    </row>
    <row r="2704" spans="12:12" x14ac:dyDescent="0.3">
      <c r="L2704" s="293"/>
    </row>
    <row r="2705" spans="12:12" x14ac:dyDescent="0.3">
      <c r="L2705" s="293"/>
    </row>
    <row r="2706" spans="12:12" x14ac:dyDescent="0.3">
      <c r="L2706" s="293"/>
    </row>
    <row r="2707" spans="12:12" x14ac:dyDescent="0.3">
      <c r="L2707" s="293"/>
    </row>
    <row r="2708" spans="12:12" x14ac:dyDescent="0.3">
      <c r="L2708" s="293"/>
    </row>
    <row r="2709" spans="12:12" x14ac:dyDescent="0.3">
      <c r="L2709" s="293"/>
    </row>
    <row r="2710" spans="12:12" x14ac:dyDescent="0.3">
      <c r="L2710" s="293"/>
    </row>
    <row r="2711" spans="12:12" x14ac:dyDescent="0.3">
      <c r="L2711" s="293"/>
    </row>
    <row r="2712" spans="12:12" x14ac:dyDescent="0.3">
      <c r="L2712" s="293"/>
    </row>
    <row r="2713" spans="12:12" x14ac:dyDescent="0.3">
      <c r="L2713" s="293"/>
    </row>
    <row r="2714" spans="12:12" x14ac:dyDescent="0.3">
      <c r="L2714" s="293"/>
    </row>
    <row r="2715" spans="12:12" x14ac:dyDescent="0.3">
      <c r="L2715" s="293"/>
    </row>
    <row r="2716" spans="12:12" x14ac:dyDescent="0.3">
      <c r="L2716" s="293"/>
    </row>
    <row r="2717" spans="12:12" x14ac:dyDescent="0.3">
      <c r="L2717" s="293"/>
    </row>
    <row r="2718" spans="12:12" x14ac:dyDescent="0.3">
      <c r="L2718" s="293"/>
    </row>
    <row r="2719" spans="12:12" x14ac:dyDescent="0.3">
      <c r="L2719" s="293"/>
    </row>
    <row r="2720" spans="12:12" x14ac:dyDescent="0.3">
      <c r="L2720" s="293"/>
    </row>
    <row r="2721" spans="12:12" x14ac:dyDescent="0.3">
      <c r="L2721" s="293"/>
    </row>
    <row r="2722" spans="12:12" x14ac:dyDescent="0.3">
      <c r="L2722" s="293"/>
    </row>
    <row r="2723" spans="12:12" x14ac:dyDescent="0.3">
      <c r="L2723" s="293"/>
    </row>
    <row r="2724" spans="12:12" x14ac:dyDescent="0.3">
      <c r="L2724" s="293"/>
    </row>
    <row r="2725" spans="12:12" x14ac:dyDescent="0.3">
      <c r="L2725" s="293"/>
    </row>
    <row r="2726" spans="12:12" x14ac:dyDescent="0.3">
      <c r="L2726" s="293"/>
    </row>
    <row r="2727" spans="12:12" x14ac:dyDescent="0.3">
      <c r="L2727" s="293"/>
    </row>
    <row r="2728" spans="12:12" x14ac:dyDescent="0.3">
      <c r="L2728" s="293"/>
    </row>
    <row r="2729" spans="12:12" x14ac:dyDescent="0.3">
      <c r="L2729" s="293"/>
    </row>
    <row r="2730" spans="12:12" x14ac:dyDescent="0.3">
      <c r="L2730" s="293"/>
    </row>
    <row r="2731" spans="12:12" x14ac:dyDescent="0.3">
      <c r="L2731" s="293"/>
    </row>
    <row r="2732" spans="12:12" x14ac:dyDescent="0.3">
      <c r="L2732" s="293"/>
    </row>
    <row r="2733" spans="12:12" x14ac:dyDescent="0.3">
      <c r="L2733" s="293"/>
    </row>
    <row r="2734" spans="12:12" x14ac:dyDescent="0.3">
      <c r="L2734" s="293"/>
    </row>
    <row r="2735" spans="12:12" x14ac:dyDescent="0.3">
      <c r="L2735" s="293"/>
    </row>
    <row r="2736" spans="12:12" x14ac:dyDescent="0.3">
      <c r="L2736" s="293"/>
    </row>
    <row r="2737" spans="12:12" x14ac:dyDescent="0.3">
      <c r="L2737" s="293"/>
    </row>
    <row r="2738" spans="12:12" x14ac:dyDescent="0.3">
      <c r="L2738" s="293"/>
    </row>
    <row r="2739" spans="12:12" x14ac:dyDescent="0.3">
      <c r="L2739" s="293"/>
    </row>
    <row r="2740" spans="12:12" x14ac:dyDescent="0.3">
      <c r="L2740" s="293"/>
    </row>
    <row r="2741" spans="12:12" x14ac:dyDescent="0.3">
      <c r="L2741" s="293"/>
    </row>
    <row r="2742" spans="12:12" x14ac:dyDescent="0.3">
      <c r="L2742" s="293"/>
    </row>
    <row r="2743" spans="12:12" x14ac:dyDescent="0.3">
      <c r="L2743" s="293"/>
    </row>
    <row r="2744" spans="12:12" x14ac:dyDescent="0.3">
      <c r="L2744" s="293"/>
    </row>
    <row r="2745" spans="12:12" x14ac:dyDescent="0.3">
      <c r="L2745" s="293"/>
    </row>
    <row r="2746" spans="12:12" x14ac:dyDescent="0.3">
      <c r="L2746" s="293"/>
    </row>
    <row r="2747" spans="12:12" x14ac:dyDescent="0.3">
      <c r="L2747" s="293"/>
    </row>
    <row r="2748" spans="12:12" x14ac:dyDescent="0.3">
      <c r="L2748" s="293"/>
    </row>
    <row r="2749" spans="12:12" x14ac:dyDescent="0.3">
      <c r="L2749" s="293"/>
    </row>
    <row r="2750" spans="12:12" x14ac:dyDescent="0.3">
      <c r="L2750" s="293"/>
    </row>
    <row r="2751" spans="12:12" x14ac:dyDescent="0.3">
      <c r="L2751" s="293"/>
    </row>
    <row r="2752" spans="12:12" x14ac:dyDescent="0.3">
      <c r="L2752" s="293"/>
    </row>
    <row r="2753" spans="12:12" x14ac:dyDescent="0.3">
      <c r="L2753" s="293"/>
    </row>
    <row r="2754" spans="12:12" x14ac:dyDescent="0.3">
      <c r="L2754" s="293"/>
    </row>
    <row r="2755" spans="12:12" x14ac:dyDescent="0.3">
      <c r="L2755" s="293"/>
    </row>
    <row r="2756" spans="12:12" x14ac:dyDescent="0.3">
      <c r="L2756" s="293"/>
    </row>
    <row r="2757" spans="12:12" x14ac:dyDescent="0.3">
      <c r="L2757" s="293"/>
    </row>
    <row r="2758" spans="12:12" x14ac:dyDescent="0.3">
      <c r="L2758" s="293"/>
    </row>
    <row r="2759" spans="12:12" x14ac:dyDescent="0.3">
      <c r="L2759" s="293"/>
    </row>
    <row r="2760" spans="12:12" x14ac:dyDescent="0.3">
      <c r="L2760" s="293"/>
    </row>
    <row r="2761" spans="12:12" x14ac:dyDescent="0.3">
      <c r="L2761" s="293"/>
    </row>
    <row r="2762" spans="12:12" x14ac:dyDescent="0.3">
      <c r="L2762" s="293"/>
    </row>
    <row r="2763" spans="12:12" x14ac:dyDescent="0.3">
      <c r="L2763" s="293"/>
    </row>
    <row r="2764" spans="12:12" x14ac:dyDescent="0.3">
      <c r="L2764" s="293"/>
    </row>
    <row r="2765" spans="12:12" x14ac:dyDescent="0.3">
      <c r="L2765" s="293"/>
    </row>
    <row r="2766" spans="12:12" x14ac:dyDescent="0.3">
      <c r="L2766" s="293"/>
    </row>
    <row r="2767" spans="12:12" x14ac:dyDescent="0.3">
      <c r="L2767" s="293"/>
    </row>
    <row r="2768" spans="12:12" x14ac:dyDescent="0.3">
      <c r="L2768" s="293"/>
    </row>
    <row r="2769" spans="12:12" x14ac:dyDescent="0.3">
      <c r="L2769" s="293"/>
    </row>
    <row r="2770" spans="12:12" x14ac:dyDescent="0.3">
      <c r="L2770" s="293"/>
    </row>
    <row r="2771" spans="12:12" x14ac:dyDescent="0.3">
      <c r="L2771" s="293"/>
    </row>
    <row r="2772" spans="12:12" x14ac:dyDescent="0.3">
      <c r="L2772" s="293"/>
    </row>
    <row r="2773" spans="12:12" x14ac:dyDescent="0.3">
      <c r="L2773" s="293"/>
    </row>
    <row r="2774" spans="12:12" x14ac:dyDescent="0.3">
      <c r="L2774" s="293"/>
    </row>
    <row r="2775" spans="12:12" x14ac:dyDescent="0.3">
      <c r="L2775" s="293"/>
    </row>
    <row r="2776" spans="12:12" x14ac:dyDescent="0.3">
      <c r="L2776" s="293"/>
    </row>
    <row r="2777" spans="12:12" x14ac:dyDescent="0.3">
      <c r="L2777" s="293"/>
    </row>
    <row r="2778" spans="12:12" x14ac:dyDescent="0.3">
      <c r="L2778" s="293"/>
    </row>
    <row r="2779" spans="12:12" x14ac:dyDescent="0.3">
      <c r="L2779" s="293"/>
    </row>
    <row r="2780" spans="12:12" x14ac:dyDescent="0.3">
      <c r="L2780" s="293"/>
    </row>
    <row r="2781" spans="12:12" x14ac:dyDescent="0.3">
      <c r="L2781" s="293"/>
    </row>
    <row r="2782" spans="12:12" x14ac:dyDescent="0.3">
      <c r="L2782" s="293"/>
    </row>
    <row r="2783" spans="12:12" x14ac:dyDescent="0.3">
      <c r="L2783" s="293"/>
    </row>
    <row r="2784" spans="12:12" x14ac:dyDescent="0.3">
      <c r="L2784" s="293"/>
    </row>
    <row r="2785" spans="12:12" x14ac:dyDescent="0.3">
      <c r="L2785" s="293"/>
    </row>
    <row r="2786" spans="12:12" x14ac:dyDescent="0.3">
      <c r="L2786" s="293"/>
    </row>
    <row r="2787" spans="12:12" x14ac:dyDescent="0.3">
      <c r="L2787" s="293"/>
    </row>
    <row r="2788" spans="12:12" x14ac:dyDescent="0.3">
      <c r="L2788" s="293"/>
    </row>
    <row r="2789" spans="12:12" x14ac:dyDescent="0.3">
      <c r="L2789" s="293"/>
    </row>
    <row r="2790" spans="12:12" x14ac:dyDescent="0.3">
      <c r="L2790" s="293"/>
    </row>
    <row r="2791" spans="12:12" x14ac:dyDescent="0.3">
      <c r="L2791" s="293"/>
    </row>
    <row r="2792" spans="12:12" x14ac:dyDescent="0.3">
      <c r="L2792" s="293"/>
    </row>
    <row r="2793" spans="12:12" x14ac:dyDescent="0.3">
      <c r="L2793" s="293"/>
    </row>
    <row r="2794" spans="12:12" x14ac:dyDescent="0.3">
      <c r="L2794" s="293"/>
    </row>
    <row r="2795" spans="12:12" x14ac:dyDescent="0.3">
      <c r="L2795" s="293"/>
    </row>
    <row r="2796" spans="12:12" x14ac:dyDescent="0.3">
      <c r="L2796" s="293"/>
    </row>
    <row r="2797" spans="12:12" x14ac:dyDescent="0.3">
      <c r="L2797" s="293"/>
    </row>
    <row r="2798" spans="12:12" x14ac:dyDescent="0.3">
      <c r="L2798" s="293"/>
    </row>
    <row r="2799" spans="12:12" x14ac:dyDescent="0.3">
      <c r="L2799" s="293"/>
    </row>
    <row r="2800" spans="12:12" x14ac:dyDescent="0.3">
      <c r="L2800" s="293"/>
    </row>
    <row r="2801" spans="12:12" x14ac:dyDescent="0.3">
      <c r="L2801" s="293"/>
    </row>
    <row r="2802" spans="12:12" x14ac:dyDescent="0.3">
      <c r="L2802" s="293"/>
    </row>
    <row r="2803" spans="12:12" x14ac:dyDescent="0.3">
      <c r="L2803" s="293"/>
    </row>
    <row r="2804" spans="12:12" x14ac:dyDescent="0.3">
      <c r="L2804" s="293"/>
    </row>
    <row r="2805" spans="12:12" x14ac:dyDescent="0.3">
      <c r="L2805" s="293"/>
    </row>
    <row r="2806" spans="12:12" x14ac:dyDescent="0.3">
      <c r="L2806" s="293"/>
    </row>
    <row r="2807" spans="12:12" x14ac:dyDescent="0.3">
      <c r="L2807" s="293"/>
    </row>
    <row r="2808" spans="12:12" x14ac:dyDescent="0.3">
      <c r="L2808" s="293"/>
    </row>
    <row r="2809" spans="12:12" x14ac:dyDescent="0.3">
      <c r="L2809" s="293"/>
    </row>
    <row r="2810" spans="12:12" x14ac:dyDescent="0.3">
      <c r="L2810" s="293"/>
    </row>
    <row r="2811" spans="12:12" x14ac:dyDescent="0.3">
      <c r="L2811" s="293"/>
    </row>
    <row r="2812" spans="12:12" x14ac:dyDescent="0.3">
      <c r="L2812" s="293"/>
    </row>
    <row r="2813" spans="12:12" x14ac:dyDescent="0.3">
      <c r="L2813" s="293"/>
    </row>
    <row r="2814" spans="12:12" x14ac:dyDescent="0.3">
      <c r="L2814" s="293"/>
    </row>
    <row r="2815" spans="12:12" x14ac:dyDescent="0.3">
      <c r="L2815" s="293"/>
    </row>
    <row r="2816" spans="12:12" x14ac:dyDescent="0.3">
      <c r="L2816" s="293"/>
    </row>
    <row r="2817" spans="12:12" x14ac:dyDescent="0.3">
      <c r="L2817" s="293"/>
    </row>
    <row r="2818" spans="12:12" x14ac:dyDescent="0.3">
      <c r="L2818" s="293"/>
    </row>
    <row r="2819" spans="12:12" x14ac:dyDescent="0.3">
      <c r="L2819" s="293"/>
    </row>
    <row r="2820" spans="12:12" x14ac:dyDescent="0.3">
      <c r="L2820" s="293"/>
    </row>
    <row r="2821" spans="12:12" x14ac:dyDescent="0.3">
      <c r="L2821" s="293"/>
    </row>
    <row r="2822" spans="12:12" x14ac:dyDescent="0.3">
      <c r="L2822" s="293"/>
    </row>
    <row r="2823" spans="12:12" x14ac:dyDescent="0.3">
      <c r="L2823" s="293"/>
    </row>
    <row r="2824" spans="12:12" x14ac:dyDescent="0.3">
      <c r="L2824" s="293"/>
    </row>
    <row r="2825" spans="12:12" x14ac:dyDescent="0.3">
      <c r="L2825" s="293"/>
    </row>
    <row r="2826" spans="12:12" x14ac:dyDescent="0.3">
      <c r="L2826" s="293"/>
    </row>
    <row r="2827" spans="12:12" x14ac:dyDescent="0.3">
      <c r="L2827" s="293"/>
    </row>
    <row r="2828" spans="12:12" x14ac:dyDescent="0.3">
      <c r="L2828" s="293"/>
    </row>
    <row r="2829" spans="12:12" x14ac:dyDescent="0.3">
      <c r="L2829" s="293"/>
    </row>
    <row r="2830" spans="12:12" x14ac:dyDescent="0.3">
      <c r="L2830" s="293"/>
    </row>
    <row r="2831" spans="12:12" x14ac:dyDescent="0.3">
      <c r="L2831" s="293"/>
    </row>
    <row r="2832" spans="12:12" x14ac:dyDescent="0.3">
      <c r="L2832" s="293"/>
    </row>
    <row r="2833" spans="12:12" x14ac:dyDescent="0.3">
      <c r="L2833" s="293"/>
    </row>
    <row r="2834" spans="12:12" x14ac:dyDescent="0.3">
      <c r="L2834" s="293"/>
    </row>
    <row r="2835" spans="12:12" x14ac:dyDescent="0.3">
      <c r="L2835" s="293"/>
    </row>
    <row r="2836" spans="12:12" x14ac:dyDescent="0.3">
      <c r="L2836" s="293"/>
    </row>
    <row r="2837" spans="12:12" x14ac:dyDescent="0.3">
      <c r="L2837" s="293"/>
    </row>
    <row r="2838" spans="12:12" x14ac:dyDescent="0.3">
      <c r="L2838" s="293"/>
    </row>
    <row r="2839" spans="12:12" x14ac:dyDescent="0.3">
      <c r="L2839" s="293"/>
    </row>
    <row r="2840" spans="12:12" x14ac:dyDescent="0.3">
      <c r="L2840" s="293"/>
    </row>
    <row r="2841" spans="12:12" x14ac:dyDescent="0.3">
      <c r="L2841" s="293"/>
    </row>
    <row r="2842" spans="12:12" x14ac:dyDescent="0.3">
      <c r="L2842" s="293"/>
    </row>
    <row r="2843" spans="12:12" x14ac:dyDescent="0.3">
      <c r="L2843" s="293"/>
    </row>
    <row r="2844" spans="12:12" x14ac:dyDescent="0.3">
      <c r="L2844" s="293"/>
    </row>
    <row r="2845" spans="12:12" x14ac:dyDescent="0.3">
      <c r="L2845" s="293"/>
    </row>
    <row r="2846" spans="12:12" x14ac:dyDescent="0.3">
      <c r="L2846" s="293"/>
    </row>
    <row r="2847" spans="12:12" x14ac:dyDescent="0.3">
      <c r="L2847" s="293"/>
    </row>
    <row r="2848" spans="12:12" x14ac:dyDescent="0.3">
      <c r="L2848" s="293"/>
    </row>
    <row r="2849" spans="12:12" x14ac:dyDescent="0.3">
      <c r="L2849" s="293"/>
    </row>
    <row r="2850" spans="12:12" x14ac:dyDescent="0.3">
      <c r="L2850" s="293"/>
    </row>
    <row r="2851" spans="12:12" x14ac:dyDescent="0.3">
      <c r="L2851" s="293"/>
    </row>
    <row r="2852" spans="12:12" x14ac:dyDescent="0.3">
      <c r="L2852" s="293"/>
    </row>
    <row r="2853" spans="12:12" x14ac:dyDescent="0.3">
      <c r="L2853" s="293"/>
    </row>
    <row r="2854" spans="12:12" x14ac:dyDescent="0.3">
      <c r="L2854" s="293"/>
    </row>
    <row r="2855" spans="12:12" x14ac:dyDescent="0.3">
      <c r="L2855" s="293"/>
    </row>
    <row r="2856" spans="12:12" x14ac:dyDescent="0.3">
      <c r="L2856" s="293"/>
    </row>
    <row r="2857" spans="12:12" x14ac:dyDescent="0.3">
      <c r="L2857" s="293"/>
    </row>
    <row r="2858" spans="12:12" x14ac:dyDescent="0.3">
      <c r="L2858" s="293"/>
    </row>
    <row r="2859" spans="12:12" x14ac:dyDescent="0.3">
      <c r="L2859" s="293"/>
    </row>
    <row r="2860" spans="12:12" x14ac:dyDescent="0.3">
      <c r="L2860" s="293"/>
    </row>
    <row r="2861" spans="12:12" x14ac:dyDescent="0.3">
      <c r="L2861" s="293"/>
    </row>
    <row r="2862" spans="12:12" x14ac:dyDescent="0.3">
      <c r="L2862" s="293"/>
    </row>
    <row r="2863" spans="12:12" x14ac:dyDescent="0.3">
      <c r="L2863" s="293"/>
    </row>
    <row r="2864" spans="12:12" x14ac:dyDescent="0.3">
      <c r="L2864" s="293"/>
    </row>
    <row r="2865" spans="12:12" x14ac:dyDescent="0.3">
      <c r="L2865" s="293"/>
    </row>
  </sheetData>
  <sheetProtection selectLockedCells="1"/>
  <protectedRanges>
    <protectedRange password="D2B3" sqref="N1:R1 P2:R2" name="Berechnungen"/>
    <protectedRange password="D2B3" sqref="N31:N40 O31:O41 N240 N141:N142 O141:O143 N30:O30 P30:P41 N140:O140 P140:P143 P228:P239 R240 Q228:Q240 N144:P226 N42:P139 Q30:R227 N3:R29 N241:R679" name="Berechnungen_1"/>
    <protectedRange password="D2B3" sqref="N41" name="Berechnungen_2"/>
    <protectedRange password="D2B3" sqref="N228:O239 R228:R239 N227:P227 O240:P240" name="Berechnungen_3"/>
  </protectedRanges>
  <autoFilter ref="A1:R668" xr:uid="{00000000-0009-0000-0000-000008000000}">
    <filterColumn colId="13" showButton="0"/>
    <filterColumn colId="14" showButton="0"/>
    <filterColumn colId="15" showButton="0"/>
  </autoFilter>
  <mergeCells count="4">
    <mergeCell ref="C2:E2"/>
    <mergeCell ref="A2:B3"/>
    <mergeCell ref="N1:Q1"/>
    <mergeCell ref="F2:K2"/>
  </mergeCells>
  <conditionalFormatting sqref="C6:C14">
    <cfRule type="cellIs" dxfId="133" priority="101" operator="greaterThan">
      <formula>0</formula>
    </cfRule>
  </conditionalFormatting>
  <conditionalFormatting sqref="C16:C28">
    <cfRule type="cellIs" dxfId="132" priority="1" operator="greaterThan">
      <formula>0</formula>
    </cfRule>
  </conditionalFormatting>
  <conditionalFormatting sqref="C30:C41">
    <cfRule type="cellIs" dxfId="131" priority="100" operator="greaterThan">
      <formula>0</formula>
    </cfRule>
  </conditionalFormatting>
  <conditionalFormatting sqref="C43:C55">
    <cfRule type="cellIs" dxfId="130" priority="99" operator="greaterThan">
      <formula>0</formula>
    </cfRule>
  </conditionalFormatting>
  <conditionalFormatting sqref="C57:C63">
    <cfRule type="cellIs" dxfId="129" priority="98" operator="greaterThan">
      <formula>0</formula>
    </cfRule>
  </conditionalFormatting>
  <conditionalFormatting sqref="C67:C72">
    <cfRule type="cellIs" dxfId="128" priority="97" operator="greaterThan">
      <formula>0</formula>
    </cfRule>
  </conditionalFormatting>
  <conditionalFormatting sqref="C74:C90">
    <cfRule type="cellIs" dxfId="127" priority="96" operator="greaterThan">
      <formula>0</formula>
    </cfRule>
  </conditionalFormatting>
  <conditionalFormatting sqref="C92:C102">
    <cfRule type="cellIs" dxfId="126" priority="95" operator="greaterThan">
      <formula>0</formula>
    </cfRule>
  </conditionalFormatting>
  <conditionalFormatting sqref="C104:C105">
    <cfRule type="cellIs" dxfId="125" priority="94" operator="greaterThan">
      <formula>0</formula>
    </cfRule>
  </conditionalFormatting>
  <conditionalFormatting sqref="C108:C118">
    <cfRule type="cellIs" dxfId="124" priority="93" operator="greaterThan">
      <formula>0</formula>
    </cfRule>
  </conditionalFormatting>
  <conditionalFormatting sqref="C120:C122">
    <cfRule type="cellIs" dxfId="123" priority="92" operator="greaterThan">
      <formula>0</formula>
    </cfRule>
  </conditionalFormatting>
  <conditionalFormatting sqref="C124:C126">
    <cfRule type="cellIs" dxfId="122" priority="91" operator="greaterThan">
      <formula>0</formula>
    </cfRule>
  </conditionalFormatting>
  <conditionalFormatting sqref="C129:C132">
    <cfRule type="cellIs" dxfId="121" priority="90" operator="greaterThan">
      <formula>0</formula>
    </cfRule>
  </conditionalFormatting>
  <conditionalFormatting sqref="C134:C138">
    <cfRule type="cellIs" dxfId="120" priority="89" operator="greaterThan">
      <formula>0</formula>
    </cfRule>
  </conditionalFormatting>
  <conditionalFormatting sqref="C140:C143">
    <cfRule type="cellIs" dxfId="119" priority="88" operator="greaterThan">
      <formula>0</formula>
    </cfRule>
  </conditionalFormatting>
  <conditionalFormatting sqref="C146:C151">
    <cfRule type="cellIs" dxfId="118" priority="87" operator="greaterThan">
      <formula>0</formula>
    </cfRule>
  </conditionalFormatting>
  <conditionalFormatting sqref="C153:C163">
    <cfRule type="cellIs" dxfId="117" priority="86" operator="greaterThan">
      <formula>0</formula>
    </cfRule>
  </conditionalFormatting>
  <conditionalFormatting sqref="C165:C169">
    <cfRule type="cellIs" dxfId="116" priority="85" operator="greaterThan">
      <formula>0</formula>
    </cfRule>
  </conditionalFormatting>
  <conditionalFormatting sqref="C171:C174">
    <cfRule type="cellIs" dxfId="115" priority="84" operator="greaterThan">
      <formula>0</formula>
    </cfRule>
  </conditionalFormatting>
  <conditionalFormatting sqref="C176:C181">
    <cfRule type="cellIs" dxfId="114" priority="83" operator="greaterThan">
      <formula>0</formula>
    </cfRule>
  </conditionalFormatting>
  <conditionalFormatting sqref="C183:C188">
    <cfRule type="cellIs" dxfId="113" priority="82" operator="greaterThan">
      <formula>0</formula>
    </cfRule>
  </conditionalFormatting>
  <conditionalFormatting sqref="C190:C192">
    <cfRule type="cellIs" dxfId="112" priority="81" operator="greaterThan">
      <formula>0</formula>
    </cfRule>
  </conditionalFormatting>
  <conditionalFormatting sqref="C194:C222">
    <cfRule type="cellIs" dxfId="111" priority="80" operator="greaterThan">
      <formula>0</formula>
    </cfRule>
  </conditionalFormatting>
  <conditionalFormatting sqref="C224:C226">
    <cfRule type="cellIs" dxfId="110" priority="79" operator="greaterThan">
      <formula>0</formula>
    </cfRule>
  </conditionalFormatting>
  <conditionalFormatting sqref="C228:C239">
    <cfRule type="cellIs" dxfId="109" priority="78" operator="greaterThan">
      <formula>0</formula>
    </cfRule>
  </conditionalFormatting>
  <conditionalFormatting sqref="C242:C248">
    <cfRule type="cellIs" dxfId="108" priority="77" operator="greaterThan">
      <formula>0</formula>
    </cfRule>
  </conditionalFormatting>
  <conditionalFormatting sqref="C250:C284">
    <cfRule type="cellIs" dxfId="107" priority="76" operator="greaterThan">
      <formula>0</formula>
    </cfRule>
  </conditionalFormatting>
  <conditionalFormatting sqref="C286:C292">
    <cfRule type="cellIs" dxfId="106" priority="75" operator="greaterThan">
      <formula>0</formula>
    </cfRule>
  </conditionalFormatting>
  <conditionalFormatting sqref="C294:C296">
    <cfRule type="cellIs" dxfId="105" priority="74" operator="greaterThan">
      <formula>0</formula>
    </cfRule>
  </conditionalFormatting>
  <conditionalFormatting sqref="C298:C303">
    <cfRule type="cellIs" dxfId="104" priority="73" operator="greaterThan">
      <formula>0</formula>
    </cfRule>
  </conditionalFormatting>
  <conditionalFormatting sqref="C305:C308">
    <cfRule type="cellIs" dxfId="103" priority="27" operator="greaterThan">
      <formula>0</formula>
    </cfRule>
  </conditionalFormatting>
  <conditionalFormatting sqref="C310:C316">
    <cfRule type="cellIs" dxfId="102" priority="71" operator="greaterThan">
      <formula>0</formula>
    </cfRule>
  </conditionalFormatting>
  <conditionalFormatting sqref="C318">
    <cfRule type="cellIs" dxfId="101" priority="70" operator="greaterThan">
      <formula>0</formula>
    </cfRule>
  </conditionalFormatting>
  <conditionalFormatting sqref="C321:C325">
    <cfRule type="cellIs" dxfId="100" priority="69" operator="greaterThan">
      <formula>0</formula>
    </cfRule>
  </conditionalFormatting>
  <conditionalFormatting sqref="C327:C339">
    <cfRule type="cellIs" dxfId="99" priority="68" operator="greaterThan">
      <formula>0</formula>
    </cfRule>
  </conditionalFormatting>
  <conditionalFormatting sqref="C341:C349">
    <cfRule type="cellIs" dxfId="98" priority="67" operator="greaterThan">
      <formula>0</formula>
    </cfRule>
  </conditionalFormatting>
  <conditionalFormatting sqref="C351:C367">
    <cfRule type="cellIs" dxfId="97" priority="66" operator="greaterThan">
      <formula>0</formula>
    </cfRule>
  </conditionalFormatting>
  <conditionalFormatting sqref="C370:C379">
    <cfRule type="cellIs" dxfId="96" priority="65" operator="greaterThan">
      <formula>0</formula>
    </cfRule>
  </conditionalFormatting>
  <conditionalFormatting sqref="C381:C391">
    <cfRule type="cellIs" dxfId="95" priority="64" operator="greaterThan">
      <formula>0</formula>
    </cfRule>
  </conditionalFormatting>
  <conditionalFormatting sqref="C394:C409">
    <cfRule type="cellIs" dxfId="94" priority="63" operator="greaterThan">
      <formula>0</formula>
    </cfRule>
  </conditionalFormatting>
  <conditionalFormatting sqref="C411:C422">
    <cfRule type="cellIs" dxfId="93" priority="62" operator="greaterThan">
      <formula>0</formula>
    </cfRule>
  </conditionalFormatting>
  <conditionalFormatting sqref="C424:C428">
    <cfRule type="cellIs" dxfId="92" priority="61" operator="greaterThan">
      <formula>0</formula>
    </cfRule>
  </conditionalFormatting>
  <conditionalFormatting sqref="C431:C436">
    <cfRule type="cellIs" dxfId="91" priority="60" operator="greaterThan">
      <formula>0</formula>
    </cfRule>
  </conditionalFormatting>
  <conditionalFormatting sqref="C438:C444">
    <cfRule type="cellIs" dxfId="90" priority="59" operator="greaterThan">
      <formula>0</formula>
    </cfRule>
  </conditionalFormatting>
  <conditionalFormatting sqref="C447:C453">
    <cfRule type="cellIs" dxfId="89" priority="58" operator="greaterThan">
      <formula>0</formula>
    </cfRule>
  </conditionalFormatting>
  <conditionalFormatting sqref="C455:C463">
    <cfRule type="cellIs" dxfId="88" priority="57" operator="greaterThan">
      <formula>0</formula>
    </cfRule>
  </conditionalFormatting>
  <conditionalFormatting sqref="C465:C490">
    <cfRule type="cellIs" dxfId="87" priority="56" operator="greaterThan">
      <formula>0</formula>
    </cfRule>
  </conditionalFormatting>
  <conditionalFormatting sqref="C492:C506">
    <cfRule type="cellIs" dxfId="86" priority="55" operator="greaterThan">
      <formula>0</formula>
    </cfRule>
  </conditionalFormatting>
  <conditionalFormatting sqref="C508:C516">
    <cfRule type="cellIs" dxfId="85" priority="54" operator="greaterThan">
      <formula>0</formula>
    </cfRule>
  </conditionalFormatting>
  <conditionalFormatting sqref="C518:C525">
    <cfRule type="cellIs" dxfId="84" priority="53" operator="greaterThan">
      <formula>0</formula>
    </cfRule>
  </conditionalFormatting>
  <conditionalFormatting sqref="C527:C531">
    <cfRule type="cellIs" dxfId="83" priority="52" operator="greaterThan">
      <formula>0</formula>
    </cfRule>
  </conditionalFormatting>
  <conditionalFormatting sqref="C533:C539">
    <cfRule type="cellIs" dxfId="82" priority="51" operator="greaterThan">
      <formula>0</formula>
    </cfRule>
  </conditionalFormatting>
  <conditionalFormatting sqref="C541:C549">
    <cfRule type="cellIs" dxfId="81" priority="29" operator="greaterThan">
      <formula>0</formula>
    </cfRule>
  </conditionalFormatting>
  <conditionalFormatting sqref="C551:C555">
    <cfRule type="cellIs" dxfId="80" priority="49" operator="greaterThan">
      <formula>0</formula>
    </cfRule>
  </conditionalFormatting>
  <conditionalFormatting sqref="C558:C570">
    <cfRule type="cellIs" dxfId="79" priority="48" operator="greaterThan">
      <formula>0</formula>
    </cfRule>
  </conditionalFormatting>
  <conditionalFormatting sqref="C572:C581">
    <cfRule type="cellIs" dxfId="78" priority="47" operator="greaterThan">
      <formula>0</formula>
    </cfRule>
  </conditionalFormatting>
  <conditionalFormatting sqref="C583:C586">
    <cfRule type="cellIs" dxfId="77" priority="46" operator="greaterThan">
      <formula>0</formula>
    </cfRule>
  </conditionalFormatting>
  <conditionalFormatting sqref="C588:C606">
    <cfRule type="cellIs" dxfId="76" priority="45" operator="greaterThan">
      <formula>0</formula>
    </cfRule>
  </conditionalFormatting>
  <conditionalFormatting sqref="C608:C628">
    <cfRule type="cellIs" dxfId="75" priority="44" operator="greaterThan">
      <formula>0</formula>
    </cfRule>
  </conditionalFormatting>
  <conditionalFormatting sqref="C630:C656">
    <cfRule type="cellIs" dxfId="74" priority="43" operator="greaterThan">
      <formula>0</formula>
    </cfRule>
  </conditionalFormatting>
  <conditionalFormatting sqref="C659:C661">
    <cfRule type="cellIs" dxfId="73" priority="42" operator="greaterThan">
      <formula>0</formula>
    </cfRule>
  </conditionalFormatting>
  <conditionalFormatting sqref="C663">
    <cfRule type="cellIs" dxfId="72" priority="41" operator="greaterThan">
      <formula>0</formula>
    </cfRule>
  </conditionalFormatting>
  <conditionalFormatting sqref="C665:C666">
    <cfRule type="cellIs" dxfId="71" priority="37" operator="greaterThan">
      <formula>0</formula>
    </cfRule>
  </conditionalFormatting>
  <conditionalFormatting sqref="C668">
    <cfRule type="cellIs" dxfId="70" priority="36" operator="greaterThan">
      <formula>0</formula>
    </cfRule>
  </conditionalFormatting>
  <conditionalFormatting sqref="C670:C672">
    <cfRule type="cellIs" dxfId="69" priority="35" operator="greaterThan">
      <formula>0</formula>
    </cfRule>
  </conditionalFormatting>
  <conditionalFormatting sqref="C674">
    <cfRule type="cellIs" dxfId="68" priority="34" operator="greaterThan">
      <formula>0</formula>
    </cfRule>
  </conditionalFormatting>
  <conditionalFormatting sqref="C676:C679">
    <cfRule type="cellIs" dxfId="67" priority="33" operator="greaterThan">
      <formula>0</formula>
    </cfRule>
  </conditionalFormatting>
  <conditionalFormatting sqref="D6:D14">
    <cfRule type="containsText" dxfId="66" priority="171" operator="containsText" text="*">
      <formula>NOT(ISERROR(SEARCH("*",D6)))</formula>
    </cfRule>
  </conditionalFormatting>
  <conditionalFormatting sqref="D16:D28">
    <cfRule type="containsText" dxfId="65" priority="170" operator="containsText" text="*">
      <formula>NOT(ISERROR(SEARCH("*",D16)))</formula>
    </cfRule>
  </conditionalFormatting>
  <conditionalFormatting sqref="D30:D41">
    <cfRule type="containsText" dxfId="64" priority="169" operator="containsText" text="*">
      <formula>NOT(ISERROR(SEARCH("*",D30)))</formula>
    </cfRule>
  </conditionalFormatting>
  <conditionalFormatting sqref="D43:D55">
    <cfRule type="containsText" dxfId="63" priority="168" operator="containsText" text="*">
      <formula>NOT(ISERROR(SEARCH("*",D43)))</formula>
    </cfRule>
  </conditionalFormatting>
  <conditionalFormatting sqref="D57:D63">
    <cfRule type="containsText" dxfId="62" priority="167" operator="containsText" text="*">
      <formula>NOT(ISERROR(SEARCH("*",D57)))</formula>
    </cfRule>
  </conditionalFormatting>
  <conditionalFormatting sqref="D67:D72">
    <cfRule type="containsText" dxfId="61" priority="166" operator="containsText" text="*">
      <formula>NOT(ISERROR(SEARCH("*",D67)))</formula>
    </cfRule>
  </conditionalFormatting>
  <conditionalFormatting sqref="D74:D90">
    <cfRule type="containsText" dxfId="60" priority="165" operator="containsText" text="*">
      <formula>NOT(ISERROR(SEARCH("*",D74)))</formula>
    </cfRule>
  </conditionalFormatting>
  <conditionalFormatting sqref="D92:D102">
    <cfRule type="containsText" dxfId="59" priority="164" operator="containsText" text="*">
      <formula>NOT(ISERROR(SEARCH("*",D92)))</formula>
    </cfRule>
  </conditionalFormatting>
  <conditionalFormatting sqref="D104:D105">
    <cfRule type="containsText" dxfId="58" priority="163" operator="containsText" text="*">
      <formula>NOT(ISERROR(SEARCH("*",D104)))</formula>
    </cfRule>
  </conditionalFormatting>
  <conditionalFormatting sqref="D108:D118">
    <cfRule type="containsText" dxfId="57" priority="162" operator="containsText" text="*">
      <formula>NOT(ISERROR(SEARCH("*",D108)))</formula>
    </cfRule>
  </conditionalFormatting>
  <conditionalFormatting sqref="D120:D122">
    <cfRule type="containsText" dxfId="56" priority="161" operator="containsText" text="*">
      <formula>NOT(ISERROR(SEARCH("*",D120)))</formula>
    </cfRule>
  </conditionalFormatting>
  <conditionalFormatting sqref="D124:D126">
    <cfRule type="containsText" dxfId="55" priority="160" operator="containsText" text="*">
      <formula>NOT(ISERROR(SEARCH("*",D124)))</formula>
    </cfRule>
  </conditionalFormatting>
  <conditionalFormatting sqref="D129:D132">
    <cfRule type="containsText" dxfId="54" priority="159" operator="containsText" text="*">
      <formula>NOT(ISERROR(SEARCH("*",D129)))</formula>
    </cfRule>
  </conditionalFormatting>
  <conditionalFormatting sqref="D134:D138">
    <cfRule type="containsText" dxfId="53" priority="158" operator="containsText" text="*">
      <formula>NOT(ISERROR(SEARCH("*",D134)))</formula>
    </cfRule>
  </conditionalFormatting>
  <conditionalFormatting sqref="D140:D143">
    <cfRule type="containsText" dxfId="52" priority="157" operator="containsText" text="*">
      <formula>NOT(ISERROR(SEARCH("*",D140)))</formula>
    </cfRule>
  </conditionalFormatting>
  <conditionalFormatting sqref="D146:D151">
    <cfRule type="containsText" dxfId="51" priority="156" operator="containsText" text="*">
      <formula>NOT(ISERROR(SEARCH("*",D146)))</formula>
    </cfRule>
  </conditionalFormatting>
  <conditionalFormatting sqref="D153:D163">
    <cfRule type="containsText" dxfId="50" priority="155" operator="containsText" text="*">
      <formula>NOT(ISERROR(SEARCH("*",D153)))</formula>
    </cfRule>
  </conditionalFormatting>
  <conditionalFormatting sqref="D165:D169">
    <cfRule type="containsText" dxfId="49" priority="154" operator="containsText" text="*">
      <formula>NOT(ISERROR(SEARCH("*",D165)))</formula>
    </cfRule>
  </conditionalFormatting>
  <conditionalFormatting sqref="D171:D174">
    <cfRule type="containsText" dxfId="48" priority="153" operator="containsText" text="*">
      <formula>NOT(ISERROR(SEARCH("*",D171)))</formula>
    </cfRule>
  </conditionalFormatting>
  <conditionalFormatting sqref="D176:D181">
    <cfRule type="containsText" dxfId="47" priority="152" operator="containsText" text="*">
      <formula>NOT(ISERROR(SEARCH("*",D176)))</formula>
    </cfRule>
  </conditionalFormatting>
  <conditionalFormatting sqref="D183:D188">
    <cfRule type="containsText" dxfId="46" priority="151" operator="containsText" text="*">
      <formula>NOT(ISERROR(SEARCH("*",D183)))</formula>
    </cfRule>
  </conditionalFormatting>
  <conditionalFormatting sqref="D190:D192">
    <cfRule type="containsText" dxfId="45" priority="150" operator="containsText" text="*">
      <formula>NOT(ISERROR(SEARCH("*",D190)))</formula>
    </cfRule>
  </conditionalFormatting>
  <conditionalFormatting sqref="D194:D222">
    <cfRule type="containsText" dxfId="44" priority="149" operator="containsText" text="*">
      <formula>NOT(ISERROR(SEARCH("*",D194)))</formula>
    </cfRule>
  </conditionalFormatting>
  <conditionalFormatting sqref="D224:D226">
    <cfRule type="containsText" dxfId="43" priority="148" operator="containsText" text="*">
      <formula>NOT(ISERROR(SEARCH("*",D224)))</formula>
    </cfRule>
  </conditionalFormatting>
  <conditionalFormatting sqref="D228:D239">
    <cfRule type="containsText" dxfId="42" priority="147" operator="containsText" text="*">
      <formula>NOT(ISERROR(SEARCH("*",D228)))</formula>
    </cfRule>
  </conditionalFormatting>
  <conditionalFormatting sqref="D242:D248">
    <cfRule type="containsText" dxfId="41" priority="146" operator="containsText" text="*">
      <formula>NOT(ISERROR(SEARCH("*",D242)))</formula>
    </cfRule>
  </conditionalFormatting>
  <conditionalFormatting sqref="D250:D284">
    <cfRule type="containsText" dxfId="40" priority="145" operator="containsText" text="*">
      <formula>NOT(ISERROR(SEARCH("*",D250)))</formula>
    </cfRule>
  </conditionalFormatting>
  <conditionalFormatting sqref="D286:D292">
    <cfRule type="containsText" dxfId="39" priority="144" operator="containsText" text="*">
      <formula>NOT(ISERROR(SEARCH("*",D286)))</formula>
    </cfRule>
  </conditionalFormatting>
  <conditionalFormatting sqref="D294:D296">
    <cfRule type="containsText" dxfId="38" priority="143" operator="containsText" text="*">
      <formula>NOT(ISERROR(SEARCH("*",D294)))</formula>
    </cfRule>
  </conditionalFormatting>
  <conditionalFormatting sqref="D298:D303">
    <cfRule type="containsText" dxfId="37" priority="142" operator="containsText" text="*">
      <formula>NOT(ISERROR(SEARCH("*",D298)))</formula>
    </cfRule>
  </conditionalFormatting>
  <conditionalFormatting sqref="D305:D308">
    <cfRule type="containsText" dxfId="36" priority="28" operator="containsText" text="*">
      <formula>NOT(ISERROR(SEARCH("*",D305)))</formula>
    </cfRule>
  </conditionalFormatting>
  <conditionalFormatting sqref="D310:D316">
    <cfRule type="containsText" dxfId="35" priority="140" operator="containsText" text="*">
      <formula>NOT(ISERROR(SEARCH("*",D310)))</formula>
    </cfRule>
  </conditionalFormatting>
  <conditionalFormatting sqref="D318">
    <cfRule type="containsText" dxfId="34" priority="139" operator="containsText" text="*">
      <formula>NOT(ISERROR(SEARCH("*",D318)))</formula>
    </cfRule>
  </conditionalFormatting>
  <conditionalFormatting sqref="D321:D325">
    <cfRule type="containsText" dxfId="33" priority="138" operator="containsText" text="*">
      <formula>NOT(ISERROR(SEARCH("*",D321)))</formula>
    </cfRule>
  </conditionalFormatting>
  <conditionalFormatting sqref="D327:D339">
    <cfRule type="containsText" dxfId="32" priority="137" operator="containsText" text="*">
      <formula>NOT(ISERROR(SEARCH("*",D327)))</formula>
    </cfRule>
  </conditionalFormatting>
  <conditionalFormatting sqref="D341:D349">
    <cfRule type="containsText" dxfId="31" priority="136" operator="containsText" text="*">
      <formula>NOT(ISERROR(SEARCH("*",D341)))</formula>
    </cfRule>
  </conditionalFormatting>
  <conditionalFormatting sqref="D351:D367">
    <cfRule type="containsText" dxfId="30" priority="25" operator="containsText" text="*">
      <formula>NOT(ISERROR(SEARCH("*",D351)))</formula>
    </cfRule>
  </conditionalFormatting>
  <conditionalFormatting sqref="D370:D379">
    <cfRule type="containsText" dxfId="29" priority="24" operator="containsText" text="*">
      <formula>NOT(ISERROR(SEARCH("*",D370)))</formula>
    </cfRule>
  </conditionalFormatting>
  <conditionalFormatting sqref="D381:D391">
    <cfRule type="containsText" dxfId="28" priority="22" operator="containsText" text="*">
      <formula>NOT(ISERROR(SEARCH("*",D381)))</formula>
    </cfRule>
  </conditionalFormatting>
  <conditionalFormatting sqref="D394:D409">
    <cfRule type="containsText" dxfId="27" priority="19" operator="containsText" text="*">
      <formula>NOT(ISERROR(SEARCH("*",D394)))</formula>
    </cfRule>
  </conditionalFormatting>
  <conditionalFormatting sqref="D411:D422">
    <cfRule type="containsText" dxfId="26" priority="17" operator="containsText" text="*">
      <formula>NOT(ISERROR(SEARCH("*",D411)))</formula>
    </cfRule>
  </conditionalFormatting>
  <conditionalFormatting sqref="D424:D428">
    <cfRule type="containsText" dxfId="25" priority="15" operator="containsText" text="*">
      <formula>NOT(ISERROR(SEARCH("*",D424)))</formula>
    </cfRule>
  </conditionalFormatting>
  <conditionalFormatting sqref="D431:D436">
    <cfRule type="containsText" dxfId="24" priority="129" operator="containsText" text="*">
      <formula>NOT(ISERROR(SEARCH("*",D431)))</formula>
    </cfRule>
  </conditionalFormatting>
  <conditionalFormatting sqref="D438:D444">
    <cfRule type="containsText" dxfId="23" priority="13" operator="containsText" text="*">
      <formula>NOT(ISERROR(SEARCH("*",D438)))</formula>
    </cfRule>
  </conditionalFormatting>
  <conditionalFormatting sqref="D447:D453">
    <cfRule type="containsText" dxfId="22" priority="127" operator="containsText" text="*">
      <formula>NOT(ISERROR(SEARCH("*",D447)))</formula>
    </cfRule>
  </conditionalFormatting>
  <conditionalFormatting sqref="D455:D463">
    <cfRule type="containsText" dxfId="21" priority="12" operator="containsText" text="*">
      <formula>NOT(ISERROR(SEARCH("*",D455)))</formula>
    </cfRule>
  </conditionalFormatting>
  <conditionalFormatting sqref="D465:D490">
    <cfRule type="containsText" dxfId="20" priority="11" operator="containsText" text="*">
      <formula>NOT(ISERROR(SEARCH("*",D465)))</formula>
    </cfRule>
  </conditionalFormatting>
  <conditionalFormatting sqref="D492:D506">
    <cfRule type="containsText" dxfId="19" priority="10" operator="containsText" text="*">
      <formula>NOT(ISERROR(SEARCH("*",D492)))</formula>
    </cfRule>
  </conditionalFormatting>
  <conditionalFormatting sqref="D508:D516">
    <cfRule type="containsText" dxfId="18" priority="9" operator="containsText" text="*">
      <formula>NOT(ISERROR(SEARCH("*",D508)))</formula>
    </cfRule>
  </conditionalFormatting>
  <conditionalFormatting sqref="D518:D525">
    <cfRule type="containsText" dxfId="17" priority="8" operator="containsText" text="*">
      <formula>NOT(ISERROR(SEARCH("*",D518)))</formula>
    </cfRule>
  </conditionalFormatting>
  <conditionalFormatting sqref="D527:D531">
    <cfRule type="containsText" dxfId="16" priority="7" operator="containsText" text="*">
      <formula>NOT(ISERROR(SEARCH("*",D527)))</formula>
    </cfRule>
  </conditionalFormatting>
  <conditionalFormatting sqref="D533:D539">
    <cfRule type="containsText" dxfId="15" priority="6" operator="containsText" text="*">
      <formula>NOT(ISERROR(SEARCH("*",D533)))</formula>
    </cfRule>
  </conditionalFormatting>
  <conditionalFormatting sqref="D541:D549">
    <cfRule type="containsText" dxfId="14" priority="5" operator="containsText" text="*">
      <formula>NOT(ISERROR(SEARCH("*",D541)))</formula>
    </cfRule>
  </conditionalFormatting>
  <conditionalFormatting sqref="D551:D555">
    <cfRule type="containsText" dxfId="13" priority="4" operator="containsText" text="*">
      <formula>NOT(ISERROR(SEARCH("*",D551)))</formula>
    </cfRule>
  </conditionalFormatting>
  <conditionalFormatting sqref="D558:D570">
    <cfRule type="containsText" dxfId="12" priority="117" operator="containsText" text="*">
      <formula>NOT(ISERROR(SEARCH("*",D558)))</formula>
    </cfRule>
  </conditionalFormatting>
  <conditionalFormatting sqref="D572:D581">
    <cfRule type="containsText" dxfId="11" priority="3" operator="containsText" text="*">
      <formula>NOT(ISERROR(SEARCH("*",D572)))</formula>
    </cfRule>
  </conditionalFormatting>
  <conditionalFormatting sqref="D583:D586">
    <cfRule type="containsText" dxfId="10" priority="2" operator="containsText" text="*">
      <formula>NOT(ISERROR(SEARCH("*",D583)))</formula>
    </cfRule>
  </conditionalFormatting>
  <conditionalFormatting sqref="D588:D606">
    <cfRule type="containsText" dxfId="9" priority="114" operator="containsText" text="*">
      <formula>NOT(ISERROR(SEARCH("*",D588)))</formula>
    </cfRule>
  </conditionalFormatting>
  <conditionalFormatting sqref="D608:D628">
    <cfRule type="containsText" dxfId="8" priority="113" operator="containsText" text="*">
      <formula>NOT(ISERROR(SEARCH("*",D608)))</formula>
    </cfRule>
  </conditionalFormatting>
  <conditionalFormatting sqref="D630:D656">
    <cfRule type="containsText" dxfId="7" priority="112" operator="containsText" text="*">
      <formula>NOT(ISERROR(SEARCH("*",D630)))</formula>
    </cfRule>
  </conditionalFormatting>
  <conditionalFormatting sqref="D659:D661">
    <cfRule type="containsText" dxfId="6" priority="111" operator="containsText" text="*">
      <formula>NOT(ISERROR(SEARCH("*",D659)))</formula>
    </cfRule>
  </conditionalFormatting>
  <conditionalFormatting sqref="D663">
    <cfRule type="containsText" dxfId="5" priority="110" operator="containsText" text="*">
      <formula>NOT(ISERROR(SEARCH("*",D663)))</formula>
    </cfRule>
  </conditionalFormatting>
  <conditionalFormatting sqref="D665:D666">
    <cfRule type="containsText" dxfId="4" priority="109" operator="containsText" text="*">
      <formula>NOT(ISERROR(SEARCH("*",D665)))</formula>
    </cfRule>
  </conditionalFormatting>
  <conditionalFormatting sqref="D668">
    <cfRule type="containsText" dxfId="3" priority="108" operator="containsText" text="*">
      <formula>NOT(ISERROR(SEARCH("*",D668)))</formula>
    </cfRule>
  </conditionalFormatting>
  <conditionalFormatting sqref="D670:D672">
    <cfRule type="containsText" dxfId="2" priority="107" operator="containsText" text="*">
      <formula>NOT(ISERROR(SEARCH("*",D670)))</formula>
    </cfRule>
  </conditionalFormatting>
  <conditionalFormatting sqref="D674">
    <cfRule type="containsText" dxfId="1" priority="106" operator="containsText" text="*">
      <formula>NOT(ISERROR(SEARCH("*",D674)))</formula>
    </cfRule>
  </conditionalFormatting>
  <conditionalFormatting sqref="D676:D679">
    <cfRule type="containsText" dxfId="0" priority="105" operator="containsText" text="*">
      <formula>NOT(ISERROR(SEARCH("*",D676)))</formula>
    </cfRule>
  </conditionalFormatting>
  <pageMargins left="0.7" right="0.7" top="0.78740157499999996" bottom="0.78740157499999996" header="0.3" footer="0.3"/>
  <pageSetup paperSize="9" scale="66" fitToHeight="0" orientation="portrait" r:id="rId1"/>
  <ignoredErrors>
    <ignoredError sqref="N29" formulaRange="1"/>
    <ignoredError sqref="P15"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7"/>
  <dimension ref="A1:J23"/>
  <sheetViews>
    <sheetView zoomScale="80" zoomScaleNormal="80" workbookViewId="0">
      <selection activeCell="D5" sqref="D5"/>
    </sheetView>
  </sheetViews>
  <sheetFormatPr defaultColWidth="11.44140625" defaultRowHeight="13.2" x14ac:dyDescent="0.25"/>
  <cols>
    <col min="1" max="1" width="27.33203125" style="11" customWidth="1"/>
    <col min="2" max="2" width="13.33203125" style="9" customWidth="1"/>
    <col min="3" max="3" width="19" style="9" customWidth="1"/>
    <col min="4" max="4" width="13.44140625" style="9" customWidth="1"/>
    <col min="5" max="5" width="19.44140625" style="9" bestFit="1" customWidth="1"/>
    <col min="6" max="6" width="2.33203125" style="10" customWidth="1"/>
    <col min="7" max="7" width="12.44140625" style="9" customWidth="1"/>
    <col min="8" max="16384" width="11.44140625" style="9"/>
  </cols>
  <sheetData>
    <row r="1" spans="1:10" x14ac:dyDescent="0.25">
      <c r="A1" s="20"/>
      <c r="B1" s="10"/>
      <c r="C1" s="10"/>
      <c r="D1" s="10"/>
      <c r="E1" s="21"/>
      <c r="F1" s="21"/>
      <c r="G1" s="21"/>
    </row>
    <row r="2" spans="1:10" ht="13.8" thickBot="1" x14ac:dyDescent="0.3">
      <c r="A2" s="20"/>
      <c r="B2" s="403" t="s">
        <v>296</v>
      </c>
      <c r="C2" s="404"/>
      <c r="D2" s="404"/>
      <c r="E2" s="404"/>
      <c r="F2" s="20"/>
      <c r="G2" s="10"/>
    </row>
    <row r="3" spans="1:10" s="18" customFormat="1" ht="30.75" customHeight="1" thickBot="1" x14ac:dyDescent="0.3">
      <c r="A3" s="74" t="s">
        <v>295</v>
      </c>
      <c r="B3" s="399" t="str">
        <f xml:space="preserve"> "Selbstbeurteilung "&amp;Analyse!B1</f>
        <v>Selbstbeurteilung Muster AG</v>
      </c>
      <c r="C3" s="400"/>
      <c r="D3" s="401" t="s">
        <v>1582</v>
      </c>
      <c r="E3" s="402"/>
      <c r="F3" s="19"/>
      <c r="G3" s="276" t="s">
        <v>294</v>
      </c>
    </row>
    <row r="4" spans="1:10" s="18" customFormat="1" ht="30" customHeight="1" x14ac:dyDescent="0.25">
      <c r="A4" s="75"/>
      <c r="B4" s="76" t="s">
        <v>1063</v>
      </c>
      <c r="C4" s="76" t="s">
        <v>1337</v>
      </c>
      <c r="D4" s="76" t="s">
        <v>1063</v>
      </c>
      <c r="E4" s="76" t="s">
        <v>1337</v>
      </c>
      <c r="F4" s="72"/>
      <c r="G4" s="276" t="s">
        <v>1338</v>
      </c>
    </row>
    <row r="5" spans="1:10" ht="30" customHeight="1" x14ac:dyDescent="0.25">
      <c r="A5" s="16" t="str">
        <f>CONCATENATE(Analyse!A4," ",Analyse!B4)</f>
        <v>1 Leitbild, Sicherheitsziele und Strategien</v>
      </c>
      <c r="B5" s="17">
        <f>Analyse!C4</f>
        <v>3.529411764705883E-2</v>
      </c>
      <c r="C5" s="73">
        <f>B5</f>
        <v>3.529411764705883E-2</v>
      </c>
      <c r="D5" s="274">
        <f>Analyse!L4</f>
        <v>0</v>
      </c>
      <c r="E5" s="73">
        <f>D5</f>
        <v>0</v>
      </c>
      <c r="F5" s="15"/>
      <c r="G5" s="275">
        <f t="shared" ref="G5:G15" si="0">E5-C5</f>
        <v>-3.529411764705883E-2</v>
      </c>
      <c r="H5" s="12"/>
      <c r="I5" s="12"/>
      <c r="J5" s="12"/>
    </row>
    <row r="6" spans="1:10" ht="30" customHeight="1" x14ac:dyDescent="0.25">
      <c r="A6" s="16" t="str">
        <f>CONCATENATE(Analyse!A64," ",Analyse!B64)</f>
        <v>2. Organisation</v>
      </c>
      <c r="B6" s="17">
        <f>Analyse!C64</f>
        <v>0</v>
      </c>
      <c r="C6" s="73">
        <f t="shared" ref="C6:C15" si="1">B6</f>
        <v>0</v>
      </c>
      <c r="D6" s="274">
        <f>Analyse!L64</f>
        <v>0</v>
      </c>
      <c r="E6" s="73">
        <f t="shared" ref="E6:E15" si="2">D6</f>
        <v>0</v>
      </c>
      <c r="F6" s="15"/>
      <c r="G6" s="275">
        <f t="shared" si="0"/>
        <v>0</v>
      </c>
      <c r="H6" s="12"/>
      <c r="I6" s="12"/>
      <c r="J6" s="12"/>
    </row>
    <row r="7" spans="1:10" ht="30" customHeight="1" x14ac:dyDescent="0.25">
      <c r="A7" s="16" t="str">
        <f>CONCATENATE(Analyse!A144," ",Analyse!B144)</f>
        <v>3. Befähigung, Schulung, Kommunikation</v>
      </c>
      <c r="B7" s="17">
        <f>Analyse!C144</f>
        <v>0</v>
      </c>
      <c r="C7" s="73">
        <f t="shared" si="1"/>
        <v>0</v>
      </c>
      <c r="D7" s="274">
        <f>Analyse!L144</f>
        <v>0</v>
      </c>
      <c r="E7" s="73">
        <f t="shared" si="2"/>
        <v>0</v>
      </c>
      <c r="F7" s="15"/>
      <c r="G7" s="275">
        <f t="shared" si="0"/>
        <v>0</v>
      </c>
      <c r="H7" s="12"/>
      <c r="I7" s="12"/>
      <c r="J7" s="12"/>
    </row>
    <row r="8" spans="1:10" ht="30" customHeight="1" x14ac:dyDescent="0.25">
      <c r="A8" s="16" t="str">
        <f>CONCATENATE(Analyse!A240," ",Analyse!B240)</f>
        <v>4. Sicherheitsstandards</v>
      </c>
      <c r="B8" s="17">
        <f>Analyse!C240</f>
        <v>0</v>
      </c>
      <c r="C8" s="73">
        <f t="shared" si="1"/>
        <v>0</v>
      </c>
      <c r="D8" s="274">
        <f>Analyse!L240</f>
        <v>0</v>
      </c>
      <c r="E8" s="73">
        <f t="shared" si="2"/>
        <v>0</v>
      </c>
      <c r="F8" s="15"/>
      <c r="G8" s="275">
        <f t="shared" si="0"/>
        <v>0</v>
      </c>
      <c r="H8" s="12"/>
      <c r="I8" s="12"/>
      <c r="J8" s="12"/>
    </row>
    <row r="9" spans="1:10" ht="30" customHeight="1" x14ac:dyDescent="0.25">
      <c r="A9" s="16" t="str">
        <f>CONCATENATE(Analyse!A319," ",Analyse!B319)</f>
        <v>5. Gefährdungsermittlung, Risikobeurteilung</v>
      </c>
      <c r="B9" s="17">
        <f>Analyse!C319</f>
        <v>3.4090909090909088E-2</v>
      </c>
      <c r="C9" s="73">
        <f>B9</f>
        <v>3.4090909090909088E-2</v>
      </c>
      <c r="D9" s="274">
        <f>Analyse!L319</f>
        <v>3.4090909090909088E-2</v>
      </c>
      <c r="E9" s="73">
        <f t="shared" si="2"/>
        <v>3.4090909090909088E-2</v>
      </c>
      <c r="F9" s="15"/>
      <c r="G9" s="275">
        <f t="shared" si="0"/>
        <v>0</v>
      </c>
      <c r="H9" s="12"/>
      <c r="I9" s="12"/>
      <c r="J9" s="12"/>
    </row>
    <row r="10" spans="1:10" ht="30" customHeight="1" x14ac:dyDescent="0.25">
      <c r="A10" s="16" t="str">
        <f>CONCATENATE(Analyse!A368," ",Analyse!B368)</f>
        <v>6. Massnahmen</v>
      </c>
      <c r="B10" s="17">
        <f>Analyse!C368</f>
        <v>0</v>
      </c>
      <c r="C10" s="73">
        <f t="shared" si="1"/>
        <v>0</v>
      </c>
      <c r="D10" s="274">
        <f>Analyse!L368</f>
        <v>0</v>
      </c>
      <c r="E10" s="73">
        <f t="shared" si="2"/>
        <v>0</v>
      </c>
      <c r="F10" s="15"/>
      <c r="G10" s="275">
        <f t="shared" si="0"/>
        <v>0</v>
      </c>
      <c r="H10" s="12"/>
      <c r="I10" s="12"/>
      <c r="J10" s="12"/>
    </row>
    <row r="11" spans="1:10" ht="30" customHeight="1" x14ac:dyDescent="0.25">
      <c r="A11" s="16" t="str">
        <f>CONCATENATE(Analyse!A392," ",Analyse!B392)</f>
        <v>7. Notfallorganisation</v>
      </c>
      <c r="B11" s="17">
        <f>Analyse!C392</f>
        <v>0</v>
      </c>
      <c r="C11" s="73">
        <f t="shared" si="1"/>
        <v>0</v>
      </c>
      <c r="D11" s="274">
        <f>Analyse!L392</f>
        <v>0</v>
      </c>
      <c r="E11" s="73">
        <f t="shared" si="2"/>
        <v>0</v>
      </c>
      <c r="F11" s="15"/>
      <c r="G11" s="275">
        <f t="shared" si="0"/>
        <v>0</v>
      </c>
      <c r="H11" s="12"/>
      <c r="I11" s="12"/>
      <c r="J11" s="12"/>
    </row>
    <row r="12" spans="1:10" ht="30" customHeight="1" x14ac:dyDescent="0.25">
      <c r="A12" s="16" t="str">
        <f>CONCATENATE(Analyse!A429," ",Analyse!B429)</f>
        <v>8. Mitwirkung</v>
      </c>
      <c r="B12" s="17">
        <f>Analyse!C429</f>
        <v>0</v>
      </c>
      <c r="C12" s="73">
        <f t="shared" si="1"/>
        <v>0</v>
      </c>
      <c r="D12" s="274">
        <f>Analyse!L429</f>
        <v>0</v>
      </c>
      <c r="E12" s="73">
        <f t="shared" si="2"/>
        <v>0</v>
      </c>
      <c r="F12" s="15"/>
      <c r="G12" s="275">
        <f t="shared" si="0"/>
        <v>0</v>
      </c>
      <c r="H12" s="12"/>
      <c r="I12" s="12"/>
      <c r="J12" s="12"/>
    </row>
    <row r="13" spans="1:10" ht="30" customHeight="1" x14ac:dyDescent="0.25">
      <c r="A13" s="16" t="str">
        <f>CONCATENATE(Analyse!A445," ",Analyse!B445)</f>
        <v>9. Gesundheitsschutz</v>
      </c>
      <c r="B13" s="17">
        <f>Analyse!C445</f>
        <v>0.15227272727272725</v>
      </c>
      <c r="C13" s="73">
        <f t="shared" si="1"/>
        <v>0.15227272727272725</v>
      </c>
      <c r="D13" s="274">
        <f>Analyse!L445</f>
        <v>0.15227272727272725</v>
      </c>
      <c r="E13" s="73">
        <f t="shared" si="2"/>
        <v>0.15227272727272725</v>
      </c>
      <c r="F13" s="15"/>
      <c r="G13" s="275">
        <f t="shared" si="0"/>
        <v>0</v>
      </c>
      <c r="H13" s="12"/>
      <c r="I13" s="12"/>
      <c r="J13" s="12"/>
    </row>
    <row r="14" spans="1:10" ht="30" customHeight="1" x14ac:dyDescent="0.25">
      <c r="A14" s="16" t="str">
        <f>CONCATENATE(Analyse!A556," ",Analyse!B556)</f>
        <v>10. Kontrolle</v>
      </c>
      <c r="B14" s="17">
        <f>Analyse!C556</f>
        <v>0</v>
      </c>
      <c r="C14" s="73">
        <f t="shared" si="1"/>
        <v>0</v>
      </c>
      <c r="D14" s="274">
        <f>Analyse!L556</f>
        <v>0</v>
      </c>
      <c r="E14" s="73">
        <f t="shared" si="2"/>
        <v>0</v>
      </c>
      <c r="F14" s="15"/>
      <c r="G14" s="294">
        <f t="shared" si="0"/>
        <v>0</v>
      </c>
      <c r="H14" s="12"/>
      <c r="I14" s="12"/>
      <c r="J14" s="12"/>
    </row>
    <row r="15" spans="1:10" ht="30" customHeight="1" x14ac:dyDescent="0.25">
      <c r="A15" s="16" t="str">
        <f>CONCATENATE(Analyse!A587," ",Analyse!B587)</f>
        <v>11. Absenzenmanagement</v>
      </c>
      <c r="B15" s="17">
        <f>Analyse!C587</f>
        <v>0</v>
      </c>
      <c r="C15" s="73">
        <f t="shared" si="1"/>
        <v>0</v>
      </c>
      <c r="D15" s="274">
        <f>Analyse!L587</f>
        <v>0</v>
      </c>
      <c r="E15" s="73">
        <f t="shared" si="2"/>
        <v>0</v>
      </c>
      <c r="F15" s="15"/>
      <c r="G15" s="275">
        <f t="shared" si="0"/>
        <v>0</v>
      </c>
      <c r="H15" s="12"/>
      <c r="I15" s="12"/>
      <c r="J15" s="12"/>
    </row>
    <row r="16" spans="1:10" ht="30" customHeight="1" x14ac:dyDescent="0.25">
      <c r="A16" s="16" t="str">
        <f>CONCATENATE(Analyse!A607," ",Analyse!B607)</f>
        <v>12 Freizeitsicherheit (Fakultativ)</v>
      </c>
      <c r="B16" s="17">
        <f>Analyse!C607</f>
        <v>0</v>
      </c>
      <c r="C16" s="73">
        <f>B16</f>
        <v>0</v>
      </c>
      <c r="D16" s="274">
        <f>Analyse!L607</f>
        <v>0</v>
      </c>
      <c r="E16" s="73">
        <f t="shared" ref="E16:E18" si="3">D16</f>
        <v>0</v>
      </c>
      <c r="F16" s="15"/>
      <c r="G16" s="275">
        <f t="shared" ref="G16:G18" si="4">E16-C16</f>
        <v>0</v>
      </c>
      <c r="H16" s="12"/>
      <c r="I16" s="12"/>
      <c r="J16" s="12"/>
    </row>
    <row r="17" spans="1:10" ht="30" customHeight="1" x14ac:dyDescent="0.25">
      <c r="A17" s="16" t="str">
        <f>CONCATENATE(Analyse!A629," ",Analyse!B629)</f>
        <v>13  BGM: Betriebliches Gesundheitsmanagement (Fakultativ)</v>
      </c>
      <c r="B17" s="17">
        <f>Analyse!C629</f>
        <v>0</v>
      </c>
      <c r="C17" s="73">
        <f t="shared" ref="C17:C18" si="5">B17</f>
        <v>0</v>
      </c>
      <c r="D17" s="274">
        <f>Analyse!L629</f>
        <v>0</v>
      </c>
      <c r="E17" s="73">
        <f t="shared" si="3"/>
        <v>0</v>
      </c>
      <c r="F17" s="15"/>
      <c r="G17" s="275">
        <f t="shared" si="4"/>
        <v>0</v>
      </c>
      <c r="H17" s="12"/>
      <c r="I17" s="12"/>
      <c r="J17" s="12"/>
    </row>
    <row r="18" spans="1:10" ht="30" customHeight="1" x14ac:dyDescent="0.25">
      <c r="A18" s="16" t="str">
        <f>CONCATENATE(Analyse!A657," ",Analyse!B657)</f>
        <v>14 Erweiterung für ISO 45001 (Fakultativ)</v>
      </c>
      <c r="B18" s="17">
        <f>Analyse!C657</f>
        <v>0</v>
      </c>
      <c r="C18" s="73">
        <f t="shared" si="5"/>
        <v>0</v>
      </c>
      <c r="D18" s="274">
        <f>Analyse!L657</f>
        <v>0</v>
      </c>
      <c r="E18" s="73">
        <f t="shared" si="3"/>
        <v>0</v>
      </c>
      <c r="F18" s="15"/>
      <c r="G18" s="275">
        <f t="shared" si="4"/>
        <v>0</v>
      </c>
      <c r="H18" s="12"/>
      <c r="I18" s="12"/>
      <c r="J18" s="12"/>
    </row>
    <row r="19" spans="1:10" ht="21" x14ac:dyDescent="0.25">
      <c r="A19" s="14"/>
      <c r="B19" s="13"/>
      <c r="C19" s="13"/>
      <c r="D19" s="12"/>
      <c r="E19" s="12"/>
      <c r="F19" s="12"/>
      <c r="G19" s="12"/>
      <c r="H19" s="12"/>
      <c r="I19" s="12"/>
      <c r="J19" s="12"/>
    </row>
    <row r="20" spans="1:10" ht="21" x14ac:dyDescent="0.25">
      <c r="A20" s="14"/>
      <c r="B20" s="13"/>
      <c r="C20" s="13"/>
      <c r="D20" s="12"/>
      <c r="E20" s="12"/>
      <c r="F20" s="12"/>
      <c r="G20" s="12"/>
      <c r="H20" s="12"/>
      <c r="I20" s="12"/>
      <c r="J20" s="12"/>
    </row>
    <row r="21" spans="1:10" ht="21" x14ac:dyDescent="0.25">
      <c r="A21" s="14"/>
      <c r="B21" s="13"/>
      <c r="C21" s="13"/>
      <c r="D21" s="12"/>
      <c r="E21" s="12"/>
      <c r="F21" s="12"/>
      <c r="G21" s="12"/>
      <c r="H21" s="12"/>
      <c r="I21" s="12"/>
      <c r="J21" s="12"/>
    </row>
    <row r="22" spans="1:10" ht="21" x14ac:dyDescent="0.25">
      <c r="A22" s="14"/>
      <c r="B22" s="13"/>
      <c r="C22" s="13"/>
      <c r="D22" s="12"/>
      <c r="E22" s="12"/>
      <c r="F22" s="12"/>
      <c r="G22" s="12"/>
      <c r="H22" s="12"/>
      <c r="I22" s="12"/>
      <c r="J22" s="12"/>
    </row>
    <row r="23" spans="1:10" ht="21" x14ac:dyDescent="0.25">
      <c r="A23" s="14"/>
      <c r="B23" s="13"/>
      <c r="C23" s="13"/>
      <c r="D23" s="12"/>
      <c r="E23" s="12"/>
      <c r="F23" s="12"/>
      <c r="G23" s="12"/>
      <c r="H23" s="12"/>
      <c r="I23" s="12"/>
      <c r="J23" s="12"/>
    </row>
  </sheetData>
  <sheetProtection selectLockedCells="1"/>
  <mergeCells count="3">
    <mergeCell ref="B3:C3"/>
    <mergeCell ref="D3:E3"/>
    <mergeCell ref="B2:E2"/>
  </mergeCells>
  <pageMargins left="0.78740157499999996" right="0.78740157499999996" top="0.984251969" bottom="0.984251969" header="0.4921259845" footer="0.4921259845"/>
  <pageSetup paperSize="9"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
  <dimension ref="A2:C82"/>
  <sheetViews>
    <sheetView workbookViewId="0">
      <selection activeCell="E29" sqref="E29"/>
    </sheetView>
  </sheetViews>
  <sheetFormatPr defaultColWidth="11.44140625" defaultRowHeight="14.4" x14ac:dyDescent="0.3"/>
  <cols>
    <col min="1" max="1" width="13.5546875" customWidth="1"/>
    <col min="2" max="2" width="26.109375" customWidth="1"/>
    <col min="3" max="3" width="102.6640625" customWidth="1"/>
  </cols>
  <sheetData>
    <row r="2" spans="1:3" ht="17.399999999999999" x14ac:dyDescent="0.3">
      <c r="A2" s="302" t="s">
        <v>1510</v>
      </c>
    </row>
    <row r="4" spans="1:3" x14ac:dyDescent="0.3">
      <c r="A4" s="303" t="s">
        <v>1511</v>
      </c>
      <c r="B4" s="351" t="s">
        <v>1512</v>
      </c>
      <c r="C4" s="303" t="s">
        <v>1513</v>
      </c>
    </row>
    <row r="5" spans="1:3" x14ac:dyDescent="0.3">
      <c r="A5" s="304" t="s">
        <v>1653</v>
      </c>
      <c r="B5" s="305" t="s">
        <v>1328</v>
      </c>
      <c r="C5" s="305" t="s">
        <v>1655</v>
      </c>
    </row>
    <row r="6" spans="1:3" x14ac:dyDescent="0.3">
      <c r="A6" s="334" t="s">
        <v>1533</v>
      </c>
      <c r="B6" s="308"/>
      <c r="C6" s="308"/>
    </row>
    <row r="7" spans="1:3" x14ac:dyDescent="0.3">
      <c r="A7" s="335">
        <v>45061</v>
      </c>
      <c r="B7" s="308"/>
      <c r="C7" s="308"/>
    </row>
    <row r="8" spans="1:3" x14ac:dyDescent="0.3">
      <c r="A8" s="307"/>
      <c r="B8" s="308" t="s">
        <v>1519</v>
      </c>
      <c r="C8" s="308" t="s">
        <v>1530</v>
      </c>
    </row>
    <row r="9" spans="1:3" x14ac:dyDescent="0.3">
      <c r="A9" s="307"/>
      <c r="B9" s="308" t="s">
        <v>1328</v>
      </c>
      <c r="C9" s="309" t="s">
        <v>1530</v>
      </c>
    </row>
    <row r="10" spans="1:3" x14ac:dyDescent="0.3">
      <c r="A10" s="313" t="s">
        <v>1650</v>
      </c>
      <c r="B10" s="314" t="s">
        <v>1651</v>
      </c>
      <c r="C10" s="315" t="s">
        <v>1652</v>
      </c>
    </row>
    <row r="11" spans="1:3" x14ac:dyDescent="0.3">
      <c r="A11" s="332" t="s">
        <v>1533</v>
      </c>
      <c r="B11" s="316"/>
      <c r="C11" s="317"/>
    </row>
    <row r="12" spans="1:3" x14ac:dyDescent="0.3">
      <c r="A12" s="333">
        <v>45028</v>
      </c>
      <c r="B12" s="316"/>
      <c r="C12" s="317"/>
    </row>
    <row r="13" spans="1:3" x14ac:dyDescent="0.3">
      <c r="A13" s="333"/>
      <c r="B13" s="316" t="s">
        <v>1519</v>
      </c>
      <c r="C13" s="317" t="s">
        <v>1530</v>
      </c>
    </row>
    <row r="14" spans="1:3" x14ac:dyDescent="0.3">
      <c r="A14" s="333"/>
      <c r="B14" s="319" t="s">
        <v>1328</v>
      </c>
      <c r="C14" s="317" t="s">
        <v>1530</v>
      </c>
    </row>
    <row r="15" spans="1:3" x14ac:dyDescent="0.3">
      <c r="A15" s="342" t="s">
        <v>1640</v>
      </c>
      <c r="B15" s="338" t="s">
        <v>1328</v>
      </c>
      <c r="C15" s="337" t="s">
        <v>1526</v>
      </c>
    </row>
    <row r="16" spans="1:3" x14ac:dyDescent="0.3">
      <c r="A16" s="343" t="s">
        <v>1533</v>
      </c>
      <c r="B16" s="338" t="s">
        <v>1519</v>
      </c>
      <c r="C16" s="338" t="s">
        <v>1530</v>
      </c>
    </row>
    <row r="17" spans="1:3" x14ac:dyDescent="0.3">
      <c r="A17" s="344">
        <v>44841</v>
      </c>
      <c r="B17" s="338" t="s">
        <v>1535</v>
      </c>
      <c r="C17" s="338" t="s">
        <v>1642</v>
      </c>
    </row>
    <row r="18" spans="1:3" x14ac:dyDescent="0.3">
      <c r="A18" s="307"/>
      <c r="B18" s="338" t="s">
        <v>1535</v>
      </c>
      <c r="C18" s="338" t="s">
        <v>1643</v>
      </c>
    </row>
    <row r="19" spans="1:3" x14ac:dyDescent="0.3">
      <c r="A19" s="307"/>
      <c r="B19" s="338" t="s">
        <v>1328</v>
      </c>
      <c r="C19" s="338" t="s">
        <v>1649</v>
      </c>
    </row>
    <row r="20" spans="1:3" x14ac:dyDescent="0.3">
      <c r="A20" s="307"/>
      <c r="B20" s="338"/>
      <c r="C20" s="345"/>
    </row>
    <row r="21" spans="1:3" x14ac:dyDescent="0.3">
      <c r="A21" s="313" t="s">
        <v>1636</v>
      </c>
      <c r="B21" s="314" t="s">
        <v>1328</v>
      </c>
      <c r="C21" s="315" t="s">
        <v>1526</v>
      </c>
    </row>
    <row r="22" spans="1:3" x14ac:dyDescent="0.3">
      <c r="A22" s="332" t="s">
        <v>1533</v>
      </c>
      <c r="B22" s="316" t="s">
        <v>1519</v>
      </c>
      <c r="C22" s="317" t="s">
        <v>1530</v>
      </c>
    </row>
    <row r="23" spans="1:3" x14ac:dyDescent="0.3">
      <c r="A23" s="333">
        <v>43712</v>
      </c>
      <c r="B23" s="316" t="s">
        <v>1328</v>
      </c>
      <c r="C23" s="317" t="s">
        <v>1639</v>
      </c>
    </row>
    <row r="24" spans="1:3" x14ac:dyDescent="0.3">
      <c r="A24" s="333"/>
      <c r="B24" s="316" t="s">
        <v>1637</v>
      </c>
      <c r="C24" s="317" t="s">
        <v>1638</v>
      </c>
    </row>
    <row r="25" spans="1:3" x14ac:dyDescent="0.3">
      <c r="A25" s="333"/>
      <c r="B25" s="319" t="s">
        <v>1535</v>
      </c>
      <c r="C25" s="317" t="s">
        <v>1631</v>
      </c>
    </row>
    <row r="26" spans="1:3" x14ac:dyDescent="0.3">
      <c r="A26" s="342" t="s">
        <v>1573</v>
      </c>
      <c r="B26" s="338" t="s">
        <v>1328</v>
      </c>
      <c r="C26" s="337" t="s">
        <v>1526</v>
      </c>
    </row>
    <row r="27" spans="1:3" x14ac:dyDescent="0.3">
      <c r="A27" s="343" t="s">
        <v>1533</v>
      </c>
      <c r="B27" s="338" t="s">
        <v>1519</v>
      </c>
      <c r="C27" s="338" t="s">
        <v>1530</v>
      </c>
    </row>
    <row r="28" spans="1:3" x14ac:dyDescent="0.3">
      <c r="A28" s="344">
        <v>42913</v>
      </c>
      <c r="B28" s="338" t="s">
        <v>1535</v>
      </c>
      <c r="C28" s="338" t="s">
        <v>1574</v>
      </c>
    </row>
    <row r="29" spans="1:3" x14ac:dyDescent="0.3">
      <c r="A29" s="307"/>
      <c r="B29" s="338" t="s">
        <v>1535</v>
      </c>
      <c r="C29" s="338" t="s">
        <v>1575</v>
      </c>
    </row>
    <row r="30" spans="1:3" x14ac:dyDescent="0.3">
      <c r="A30" s="307"/>
      <c r="B30" s="338" t="s">
        <v>1535</v>
      </c>
      <c r="C30" s="338" t="s">
        <v>1576</v>
      </c>
    </row>
    <row r="31" spans="1:3" x14ac:dyDescent="0.3">
      <c r="A31" s="307"/>
      <c r="B31" s="338" t="s">
        <v>1535</v>
      </c>
      <c r="C31" s="345" t="s">
        <v>1577</v>
      </c>
    </row>
    <row r="32" spans="1:3" x14ac:dyDescent="0.3">
      <c r="A32" s="307"/>
      <c r="B32" s="338" t="s">
        <v>1535</v>
      </c>
      <c r="C32" s="345" t="s">
        <v>1578</v>
      </c>
    </row>
    <row r="33" spans="1:3" x14ac:dyDescent="0.3">
      <c r="A33" s="307"/>
      <c r="B33" s="338" t="s">
        <v>1535</v>
      </c>
      <c r="C33" s="345" t="s">
        <v>1579</v>
      </c>
    </row>
    <row r="34" spans="1:3" x14ac:dyDescent="0.3">
      <c r="A34" s="307"/>
      <c r="B34" s="338" t="s">
        <v>1580</v>
      </c>
      <c r="C34" s="345" t="s">
        <v>1581</v>
      </c>
    </row>
    <row r="35" spans="1:3" x14ac:dyDescent="0.3">
      <c r="A35" s="307"/>
      <c r="B35" s="338"/>
      <c r="C35" s="345"/>
    </row>
    <row r="36" spans="1:3" x14ac:dyDescent="0.3">
      <c r="A36" s="313" t="s">
        <v>1560</v>
      </c>
      <c r="B36" s="314" t="s">
        <v>1328</v>
      </c>
      <c r="C36" s="315" t="s">
        <v>1526</v>
      </c>
    </row>
    <row r="37" spans="1:3" x14ac:dyDescent="0.3">
      <c r="A37" s="332" t="s">
        <v>1533</v>
      </c>
      <c r="B37" s="316" t="s">
        <v>1519</v>
      </c>
      <c r="C37" s="317" t="s">
        <v>1530</v>
      </c>
    </row>
    <row r="38" spans="1:3" x14ac:dyDescent="0.3">
      <c r="A38" s="333">
        <v>42555</v>
      </c>
      <c r="B38" s="316" t="s">
        <v>1535</v>
      </c>
      <c r="C38" s="317" t="s">
        <v>1561</v>
      </c>
    </row>
    <row r="39" spans="1:3" x14ac:dyDescent="0.3">
      <c r="A39" s="333"/>
      <c r="B39" s="316" t="s">
        <v>1535</v>
      </c>
      <c r="C39" s="317" t="s">
        <v>1562</v>
      </c>
    </row>
    <row r="40" spans="1:3" x14ac:dyDescent="0.3">
      <c r="A40" s="333"/>
      <c r="B40" s="316" t="s">
        <v>1535</v>
      </c>
      <c r="C40" s="317" t="s">
        <v>1563</v>
      </c>
    </row>
    <row r="41" spans="1:3" x14ac:dyDescent="0.3">
      <c r="A41" s="333"/>
      <c r="B41" s="316" t="s">
        <v>1535</v>
      </c>
      <c r="C41" s="317" t="s">
        <v>1564</v>
      </c>
    </row>
    <row r="42" spans="1:3" x14ac:dyDescent="0.3">
      <c r="A42" s="333"/>
      <c r="B42" s="316" t="s">
        <v>1571</v>
      </c>
      <c r="C42" s="317" t="s">
        <v>1572</v>
      </c>
    </row>
    <row r="43" spans="1:3" x14ac:dyDescent="0.3">
      <c r="A43" s="342" t="s">
        <v>1558</v>
      </c>
      <c r="B43" s="337" t="s">
        <v>1328</v>
      </c>
      <c r="C43" s="337" t="s">
        <v>1526</v>
      </c>
    </row>
    <row r="44" spans="1:3" x14ac:dyDescent="0.3">
      <c r="A44" s="343" t="s">
        <v>1533</v>
      </c>
      <c r="B44" s="338" t="s">
        <v>1519</v>
      </c>
      <c r="C44" s="338" t="s">
        <v>1530</v>
      </c>
    </row>
    <row r="45" spans="1:3" x14ac:dyDescent="0.3">
      <c r="A45" s="344">
        <v>42499</v>
      </c>
      <c r="B45" s="338" t="s">
        <v>1535</v>
      </c>
      <c r="C45" s="338" t="s">
        <v>1559</v>
      </c>
    </row>
    <row r="46" spans="1:3" x14ac:dyDescent="0.3">
      <c r="A46" s="307"/>
      <c r="B46" s="339"/>
      <c r="C46" s="339"/>
    </row>
    <row r="47" spans="1:3" x14ac:dyDescent="0.3">
      <c r="A47" s="313" t="s">
        <v>1546</v>
      </c>
      <c r="B47" s="314" t="s">
        <v>1328</v>
      </c>
      <c r="C47" s="315" t="s">
        <v>1526</v>
      </c>
    </row>
    <row r="48" spans="1:3" x14ac:dyDescent="0.3">
      <c r="A48" s="332" t="s">
        <v>1533</v>
      </c>
      <c r="B48" s="316" t="s">
        <v>1519</v>
      </c>
      <c r="C48" s="317" t="s">
        <v>1530</v>
      </c>
    </row>
    <row r="49" spans="1:3" x14ac:dyDescent="0.3">
      <c r="A49" s="333">
        <v>42492</v>
      </c>
      <c r="B49" s="316" t="s">
        <v>302</v>
      </c>
      <c r="C49" s="317" t="s">
        <v>1554</v>
      </c>
    </row>
    <row r="50" spans="1:3" x14ac:dyDescent="0.3">
      <c r="A50" s="333"/>
      <c r="B50" s="316" t="s">
        <v>1535</v>
      </c>
      <c r="C50" s="317" t="s">
        <v>1553</v>
      </c>
    </row>
    <row r="51" spans="1:3" x14ac:dyDescent="0.3">
      <c r="A51" s="333"/>
      <c r="B51" s="316" t="s">
        <v>1535</v>
      </c>
      <c r="C51" s="317" t="s">
        <v>1555</v>
      </c>
    </row>
    <row r="52" spans="1:3" x14ac:dyDescent="0.3">
      <c r="A52" s="333"/>
      <c r="B52" s="316" t="s">
        <v>1556</v>
      </c>
      <c r="C52" s="317" t="s">
        <v>1557</v>
      </c>
    </row>
    <row r="53" spans="1:3" x14ac:dyDescent="0.3">
      <c r="A53" s="318"/>
      <c r="B53" s="319"/>
      <c r="C53" s="320"/>
    </row>
    <row r="54" spans="1:3" x14ac:dyDescent="0.3">
      <c r="A54" s="337" t="s">
        <v>1534</v>
      </c>
      <c r="B54" s="337" t="s">
        <v>1328</v>
      </c>
      <c r="C54" s="337" t="s">
        <v>1526</v>
      </c>
    </row>
    <row r="55" spans="1:3" x14ac:dyDescent="0.3">
      <c r="A55" s="334" t="s">
        <v>1533</v>
      </c>
      <c r="B55" s="338" t="s">
        <v>1519</v>
      </c>
      <c r="C55" s="338" t="s">
        <v>1530</v>
      </c>
    </row>
    <row r="56" spans="1:3" x14ac:dyDescent="0.3">
      <c r="A56" s="335">
        <v>42458</v>
      </c>
      <c r="B56" s="338" t="s">
        <v>1519</v>
      </c>
      <c r="C56" s="338" t="s">
        <v>1542</v>
      </c>
    </row>
    <row r="57" spans="1:3" x14ac:dyDescent="0.3">
      <c r="A57" s="338"/>
      <c r="B57" s="338" t="s">
        <v>1543</v>
      </c>
      <c r="C57" s="338" t="s">
        <v>1544</v>
      </c>
    </row>
    <row r="58" spans="1:3" x14ac:dyDescent="0.3">
      <c r="A58" s="338"/>
      <c r="B58" s="338" t="s">
        <v>302</v>
      </c>
      <c r="C58" s="338" t="s">
        <v>1545</v>
      </c>
    </row>
    <row r="59" spans="1:3" x14ac:dyDescent="0.3">
      <c r="A59" s="339"/>
      <c r="B59" s="339"/>
      <c r="C59" s="339"/>
    </row>
    <row r="60" spans="1:3" x14ac:dyDescent="0.3">
      <c r="A60" s="313" t="s">
        <v>1529</v>
      </c>
      <c r="B60" s="316" t="s">
        <v>1328</v>
      </c>
      <c r="C60" s="317" t="s">
        <v>1526</v>
      </c>
    </row>
    <row r="61" spans="1:3" x14ac:dyDescent="0.3">
      <c r="A61" s="332" t="s">
        <v>1533</v>
      </c>
      <c r="B61" s="316" t="s">
        <v>1519</v>
      </c>
      <c r="C61" s="317" t="s">
        <v>1530</v>
      </c>
    </row>
    <row r="62" spans="1:3" x14ac:dyDescent="0.3">
      <c r="A62" s="333">
        <v>42437</v>
      </c>
      <c r="B62" s="316" t="s">
        <v>1535</v>
      </c>
      <c r="C62" s="317" t="s">
        <v>1536</v>
      </c>
    </row>
    <row r="63" spans="1:3" x14ac:dyDescent="0.3">
      <c r="A63" s="333"/>
      <c r="B63" s="316" t="s">
        <v>1535</v>
      </c>
      <c r="C63" s="317" t="s">
        <v>1537</v>
      </c>
    </row>
    <row r="64" spans="1:3" x14ac:dyDescent="0.3">
      <c r="A64" s="333"/>
      <c r="B64" s="316" t="s">
        <v>1535</v>
      </c>
      <c r="C64" s="317" t="s">
        <v>1538</v>
      </c>
    </row>
    <row r="65" spans="1:3" x14ac:dyDescent="0.3">
      <c r="A65" s="333"/>
      <c r="B65" s="316" t="s">
        <v>1535</v>
      </c>
      <c r="C65" s="317" t="s">
        <v>1539</v>
      </c>
    </row>
    <row r="66" spans="1:3" x14ac:dyDescent="0.3">
      <c r="A66" s="318"/>
      <c r="B66" s="319"/>
      <c r="C66" s="320"/>
    </row>
    <row r="67" spans="1:3" x14ac:dyDescent="0.3">
      <c r="A67" s="304" t="s">
        <v>1514</v>
      </c>
      <c r="B67" s="305" t="s">
        <v>1519</v>
      </c>
      <c r="C67" s="306" t="s">
        <v>1520</v>
      </c>
    </row>
    <row r="68" spans="1:3" x14ac:dyDescent="0.3">
      <c r="A68" s="307"/>
      <c r="B68" s="308" t="s">
        <v>1521</v>
      </c>
      <c r="C68" s="309" t="s">
        <v>1531</v>
      </c>
    </row>
    <row r="69" spans="1:3" x14ac:dyDescent="0.3">
      <c r="A69" s="334" t="s">
        <v>1533</v>
      </c>
      <c r="B69" s="308" t="s">
        <v>1522</v>
      </c>
      <c r="C69" s="309" t="s">
        <v>1531</v>
      </c>
    </row>
    <row r="70" spans="1:3" x14ac:dyDescent="0.3">
      <c r="A70" s="335">
        <v>42401</v>
      </c>
      <c r="B70" s="308" t="s">
        <v>1523</v>
      </c>
      <c r="C70" s="309" t="s">
        <v>1524</v>
      </c>
    </row>
    <row r="71" spans="1:3" x14ac:dyDescent="0.3">
      <c r="A71" s="307"/>
      <c r="B71" s="308" t="s">
        <v>1510</v>
      </c>
      <c r="C71" s="309" t="s">
        <v>1525</v>
      </c>
    </row>
    <row r="72" spans="1:3" x14ac:dyDescent="0.3">
      <c r="A72" s="307"/>
      <c r="B72" s="308" t="s">
        <v>1328</v>
      </c>
      <c r="C72" s="309" t="s">
        <v>1526</v>
      </c>
    </row>
    <row r="73" spans="1:3" x14ac:dyDescent="0.3">
      <c r="A73" s="307"/>
      <c r="B73" s="308" t="s">
        <v>1519</v>
      </c>
      <c r="C73" s="309" t="s">
        <v>1527</v>
      </c>
    </row>
    <row r="74" spans="1:3" x14ac:dyDescent="0.3">
      <c r="A74" s="310"/>
      <c r="B74" s="311"/>
      <c r="C74" s="312"/>
    </row>
    <row r="75" spans="1:3" x14ac:dyDescent="0.3">
      <c r="A75" s="313" t="s">
        <v>1515</v>
      </c>
      <c r="B75" s="314"/>
      <c r="C75" s="315" t="s">
        <v>1516</v>
      </c>
    </row>
    <row r="76" spans="1:3" x14ac:dyDescent="0.3">
      <c r="A76" s="332" t="s">
        <v>1533</v>
      </c>
      <c r="B76" s="316"/>
      <c r="C76" s="317" t="s">
        <v>1517</v>
      </c>
    </row>
    <row r="77" spans="1:3" x14ac:dyDescent="0.3">
      <c r="A77" s="333">
        <v>42352</v>
      </c>
      <c r="B77" s="316"/>
      <c r="C77" s="317" t="s">
        <v>1518</v>
      </c>
    </row>
    <row r="78" spans="1:3" x14ac:dyDescent="0.3">
      <c r="A78" s="318"/>
      <c r="B78" s="319"/>
      <c r="C78" s="320"/>
    </row>
    <row r="79" spans="1:3" x14ac:dyDescent="0.3">
      <c r="C79" s="321"/>
    </row>
    <row r="80" spans="1:3" x14ac:dyDescent="0.3">
      <c r="C80" s="321"/>
    </row>
    <row r="81" spans="3:3" x14ac:dyDescent="0.3">
      <c r="C81" s="321"/>
    </row>
    <row r="82" spans="3:3" x14ac:dyDescent="0.3">
      <c r="C82" s="321"/>
    </row>
  </sheetData>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st xmlns="4b2400fe-f831-49a8-a009-c60ecffd4822" xsi:nil="true"/>
    <lcf76f155ced4ddcb4097134ff3c332f xmlns="4b2400fe-f831-49a8-a009-c60ecffd4822">
      <Terms xmlns="http://schemas.microsoft.com/office/infopath/2007/PartnerControls"/>
    </lcf76f155ced4ddcb4097134ff3c332f>
    <TaxCatchAll xmlns="a808b08c-7c2d-4bd0-a9ec-71cceca54455" xsi:nil="true"/>
    <_Flow_SignoffStatus xmlns="4b2400fe-f831-49a8-a009-c60ecffd4822" xsi:nil="tru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859D6B2F2F8B184B84CD1A0E1ADAAB78" ma:contentTypeVersion="20" ma:contentTypeDescription="Ein neues Dokument erstellen." ma:contentTypeScope="" ma:versionID="3fcfa37e0be72f645c279f7488897fb0">
  <xsd:schema xmlns:xsd="http://www.w3.org/2001/XMLSchema" xmlns:xs="http://www.w3.org/2001/XMLSchema" xmlns:p="http://schemas.microsoft.com/office/2006/metadata/properties" xmlns:ns1="http://schemas.microsoft.com/sharepoint/v3" xmlns:ns2="4b2400fe-f831-49a8-a009-c60ecffd4822" xmlns:ns3="a808b08c-7c2d-4bd0-a9ec-71cceca54455" targetNamespace="http://schemas.microsoft.com/office/2006/metadata/properties" ma:root="true" ma:fieldsID="47a7f7023c42d4d432f1ab1db246cb28" ns1:_="" ns2:_="" ns3:_="">
    <xsd:import namespace="http://schemas.microsoft.com/sharepoint/v3"/>
    <xsd:import namespace="4b2400fe-f831-49a8-a009-c60ecffd4822"/>
    <xsd:import namespace="a808b08c-7c2d-4bd0-a9ec-71cceca5445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_Flow_SignoffStatu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test"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Eigenschaften der einheitlichen Compliancerichtlinie" ma:hidden="true" ma:internalName="_ip_UnifiedCompliancePolicyProperties">
      <xsd:simpleType>
        <xsd:restriction base="dms:Note"/>
      </xsd:simpleType>
    </xsd:element>
    <xsd:element name="_ip_UnifiedCompliancePolicyUIAction" ma:index="26" nillable="true" ma:displayName="UI-Aktion der einheitlichen Compliancerichtlini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b2400fe-f831-49a8-a009-c60ecffd48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Flow_SignoffStatus" ma:index="12" nillable="true" ma:displayName="Status Unterschrift" ma:internalName="Status_x0020_Unterschrift">
      <xsd:simpleType>
        <xsd:restriction base="dms:Text"/>
      </xsd:simpleType>
    </xsd:element>
    <xsd:element name="lcf76f155ced4ddcb4097134ff3c332f" ma:index="14" nillable="true" ma:taxonomy="true" ma:internalName="lcf76f155ced4ddcb4097134ff3c332f" ma:taxonomyFieldName="MediaServiceImageTags" ma:displayName="Bildmarkierungen" ma:readOnly="false" ma:fieldId="{5cf76f15-5ced-4ddc-b409-7134ff3c332f}" ma:taxonomyMulti="true" ma:sspId="5398598b-1692-41ba-b181-08e92b7f9036"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test" ma:index="21" nillable="true" ma:displayName="test" ma:format="Dropdown" ma:internalName="test" ma:percentage="FALSE">
      <xsd:simpleType>
        <xsd:restriction base="dms:Number"/>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808b08c-7c2d-4bd0-a9ec-71cceca54455" elementFormDefault="qualified">
    <xsd:import namespace="http://schemas.microsoft.com/office/2006/documentManagement/types"/>
    <xsd:import namespace="http://schemas.microsoft.com/office/infopath/2007/PartnerControls"/>
    <xsd:element name="SharedWithUsers" ma:index="1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Freigegeben für - Details" ma:internalName="SharedWithDetails" ma:readOnly="true">
      <xsd:simpleType>
        <xsd:restriction base="dms:Note">
          <xsd:maxLength value="255"/>
        </xsd:restriction>
      </xsd:simpleType>
    </xsd:element>
    <xsd:element name="TaxCatchAll" ma:index="15" nillable="true" ma:displayName="Taxonomy Catch All Column" ma:hidden="true" ma:list="{d1db793e-95a7-416f-a27c-636b26f16c80}" ma:internalName="TaxCatchAll" ma:showField="CatchAllData" ma:web="a808b08c-7c2d-4bd0-a9ec-71cceca544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500C67-D54C-4EA8-9E92-67F009F815D1}">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a808b08c-7c2d-4bd0-a9ec-71cceca54455"/>
    <ds:schemaRef ds:uri="http://purl.org/dc/terms/"/>
    <ds:schemaRef ds:uri="4b2400fe-f831-49a8-a009-c60ecffd4822"/>
    <ds:schemaRef ds:uri="http://schemas.openxmlformats.org/package/2006/metadata/core-properties"/>
    <ds:schemaRef ds:uri="http://www.w3.org/XML/1998/namespace"/>
    <ds:schemaRef ds:uri="http://purl.org/dc/dcmitype/"/>
    <ds:schemaRef ds:uri="http://schemas.microsoft.com/sharepoint/v3"/>
  </ds:schemaRefs>
</ds:datastoreItem>
</file>

<file path=customXml/itemProps2.xml><?xml version="1.0" encoding="utf-8"?>
<ds:datastoreItem xmlns:ds="http://schemas.openxmlformats.org/officeDocument/2006/customXml" ds:itemID="{251814FC-3483-45C7-8FFE-44A8186C11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b2400fe-f831-49a8-a009-c60ecffd4822"/>
    <ds:schemaRef ds:uri="a808b08c-7c2d-4bd0-a9ec-71cceca544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696809C-C28F-4AD6-9321-CA2829E71F38}">
  <ds:schemaRefs>
    <ds:schemaRef ds:uri="http://schemas.microsoft.com/sharepoint/v3/contenttype/forms"/>
  </ds:schemaRefs>
</ds:datastoreItem>
</file>

<file path=docMetadata/LabelInfo.xml><?xml version="1.0" encoding="utf-8"?>
<clbl:labelList xmlns:clbl="http://schemas.microsoft.com/office/2020/mipLabelMetadata">
  <clbl:label id="{40f20d95-30f1-4757-92d7-5495691a0c29}" enabled="1" method="Privileged" siteId="{98616167-5668-4e66-acbf-925e81df8b0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8</vt:i4>
      </vt:variant>
      <vt:variant>
        <vt:lpstr>Charts</vt:lpstr>
      </vt:variant>
      <vt:variant>
        <vt:i4>2</vt:i4>
      </vt:variant>
      <vt:variant>
        <vt:lpstr>Named Ranges</vt:lpstr>
      </vt:variant>
      <vt:variant>
        <vt:i4>6</vt:i4>
      </vt:variant>
    </vt:vector>
  </HeadingPairs>
  <TitlesOfParts>
    <vt:vector size="16" baseType="lpstr">
      <vt:lpstr>Anleitung</vt:lpstr>
      <vt:lpstr>Betriebsspiegel</vt:lpstr>
      <vt:lpstr>Schlüsselpersonen Sicherheit</vt:lpstr>
      <vt:lpstr>Selbstbeurteilung Kunde</vt:lpstr>
      <vt:lpstr>Übersicht Anhänge</vt:lpstr>
      <vt:lpstr>Analyse</vt:lpstr>
      <vt:lpstr>Auswertungen</vt:lpstr>
      <vt:lpstr>Versionenprotokoll</vt:lpstr>
      <vt:lpstr>Spinne ohne FZ, BGM, ISO45001</vt:lpstr>
      <vt:lpstr>Spinne mit FZ, BGM, ISO45001</vt:lpstr>
      <vt:lpstr>Analyse!Print_Area</vt:lpstr>
      <vt:lpstr>'Schlüsselpersonen Sicherheit'!Print_Area</vt:lpstr>
      <vt:lpstr>Betriebsspiegel!Print_Titles</vt:lpstr>
      <vt:lpstr>'Schlüsselpersonen Sicherheit'!Print_Titles</vt:lpstr>
      <vt:lpstr>'Selbstbeurteilung Kunde'!Print_Titles</vt:lpstr>
      <vt:lpstr>Spinne1</vt:lpstr>
    </vt:vector>
  </TitlesOfParts>
  <Company>SUVA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Martinez Lopez Victor (MVD)</dc:creator>
  <cp:lastModifiedBy>DeCaro Oliver (OLD)</cp:lastModifiedBy>
  <cp:lastPrinted>2022-10-07T14:29:42Z</cp:lastPrinted>
  <dcterms:created xsi:type="dcterms:W3CDTF">2015-04-27T06:23:23Z</dcterms:created>
  <dcterms:modified xsi:type="dcterms:W3CDTF">2026-01-06T05:12:24Z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f20d95-30f1-4757-92d7-5495691a0c29_Enabled">
    <vt:lpwstr>true</vt:lpwstr>
  </property>
  <property fmtid="{D5CDD505-2E9C-101B-9397-08002B2CF9AE}" pid="3" name="MSIP_Label_40f20d95-30f1-4757-92d7-5495691a0c29_SetDate">
    <vt:lpwstr>2023-04-12T06:25:13Z</vt:lpwstr>
  </property>
  <property fmtid="{D5CDD505-2E9C-101B-9397-08002B2CF9AE}" pid="4" name="MSIP_Label_40f20d95-30f1-4757-92d7-5495691a0c29_Method">
    <vt:lpwstr>Privileged</vt:lpwstr>
  </property>
  <property fmtid="{D5CDD505-2E9C-101B-9397-08002B2CF9AE}" pid="5" name="MSIP_Label_40f20d95-30f1-4757-92d7-5495691a0c29_Name">
    <vt:lpwstr>Intern</vt:lpwstr>
  </property>
  <property fmtid="{D5CDD505-2E9C-101B-9397-08002B2CF9AE}" pid="6" name="MSIP_Label_40f20d95-30f1-4757-92d7-5495691a0c29_SiteId">
    <vt:lpwstr>98616167-5668-4e66-acbf-925e81df8b00</vt:lpwstr>
  </property>
  <property fmtid="{D5CDD505-2E9C-101B-9397-08002B2CF9AE}" pid="7" name="MSIP_Label_40f20d95-30f1-4757-92d7-5495691a0c29_ActionId">
    <vt:lpwstr>6aa6054e-c66b-4a4e-adf5-0879a3dae18c</vt:lpwstr>
  </property>
  <property fmtid="{D5CDD505-2E9C-101B-9397-08002B2CF9AE}" pid="8" name="MSIP_Label_40f20d95-30f1-4757-92d7-5495691a0c29_ContentBits">
    <vt:lpwstr>0</vt:lpwstr>
  </property>
  <property fmtid="{D5CDD505-2E9C-101B-9397-08002B2CF9AE}" pid="9" name="ContentTypeId">
    <vt:lpwstr>0x010100859D6B2F2F8B184B84CD1A0E1ADAAB78</vt:lpwstr>
  </property>
  <property fmtid="{D5CDD505-2E9C-101B-9397-08002B2CF9AE}" pid="10" name="MediaServiceImageTags">
    <vt:lpwstr/>
  </property>
</Properties>
</file>